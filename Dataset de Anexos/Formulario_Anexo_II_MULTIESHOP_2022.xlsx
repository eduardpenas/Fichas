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W:\7E_Fiscal (edición)\Clientes Barcelona\ORANGE\05 DEDUCCIONES\02 I+D+i\2022\03 TEC\03 ANEXOS\"/>
    </mc:Choice>
  </mc:AlternateContent>
  <xr:revisionPtr revIDLastSave="0" documentId="13_ncr:1_{0955E0E4-813F-4EFB-B744-E0463B680209}" xr6:coauthVersionLast="47" xr6:coauthVersionMax="47" xr10:uidLastSave="{00000000-0000-0000-0000-000000000000}"/>
  <bookViews>
    <workbookView xWindow="28680" yWindow="-120" windowWidth="29040" windowHeight="15720" tabRatio="835" activeTab="13" xr2:uid="{00000000-000D-0000-FFFF-FFFF00000000}"/>
  </bookViews>
  <sheets>
    <sheet name="Datos solicitud" sheetId="45" r:id="rId1"/>
    <sheet name="Instrucciones" sheetId="47" r:id="rId2"/>
    <sheet name="Personal" sheetId="27" r:id="rId3"/>
    <sheet name="C.Externas (OPIS)" sheetId="28" state="hidden" r:id="rId4"/>
    <sheet name="C.Externas (Otros)" sheetId="34"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r:id="rId13"/>
    <sheet name="DOC JUSTIFICATIVOS" sheetId="38" r:id="rId14"/>
  </sheets>
  <definedNames>
    <definedName name="_xlnm._FilterDatabase" localSheetId="0" hidden="1">'Datos solicitud'!#REF!</definedName>
    <definedName name="_xlnm._FilterDatabase" localSheetId="2" hidden="1">Personal!$B$13:$J$37</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(OPIS)'!$1:$15</definedName>
    <definedName name="_xlnm.Print_Titles" localSheetId="4">'C.Externas (Otros)'!$1:$13</definedName>
    <definedName name="_xlnm.Print_Titles" localSheetId="0">'Datos solicitud'!$1:$17</definedName>
    <definedName name="_xlnm.Print_Titles" localSheetId="12">DESVIACIONES!$1:$8</definedName>
    <definedName name="_xlnm.Print_Titles" localSheetId="13">'DOC JUSTIFICATIVOS'!$1:$4</definedName>
    <definedName name="_xlnm.Print_Titles" localSheetId="5">'El._inmovilizado (AMORTIZACIÓN)'!$1:$12</definedName>
    <definedName name="_xlnm.Print_Titles" localSheetId="6">'El._inmovilizado (INVERSIÓN)'!$1:$12</definedName>
    <definedName name="_xlnm.Print_Titles" localSheetId="7">Fungibles!$1:$12</definedName>
    <definedName name="_xlnm.Print_Titles" localSheetId="8">'Otros Gastos'!$1:$14</definedName>
    <definedName name="_xlnm.Print_Titles" localSheetId="2">Personal!$1:$14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169" i="38" l="1"/>
  <c r="K170" i="38"/>
  <c r="K171" i="38"/>
  <c r="K172" i="38"/>
  <c r="K173" i="38"/>
  <c r="K174" i="38"/>
  <c r="K175" i="38"/>
  <c r="K176" i="38"/>
  <c r="K77" i="38"/>
  <c r="K78" i="38"/>
  <c r="K79" i="38"/>
  <c r="K80" i="38"/>
  <c r="K81" i="38"/>
  <c r="K82" i="38"/>
  <c r="K83" i="38"/>
  <c r="K84" i="38"/>
  <c r="K85" i="38"/>
  <c r="K86" i="38"/>
  <c r="K87" i="38"/>
  <c r="K88" i="38"/>
  <c r="K89" i="38"/>
  <c r="K90" i="38"/>
  <c r="K91" i="38"/>
  <c r="K92" i="38"/>
  <c r="K93" i="38"/>
  <c r="K94" i="38"/>
  <c r="K95" i="38"/>
  <c r="K96" i="38"/>
  <c r="K97" i="38"/>
  <c r="K98" i="38"/>
  <c r="K99" i="38"/>
  <c r="K100" i="38"/>
  <c r="K101" i="38"/>
  <c r="K102" i="38"/>
  <c r="K103" i="38"/>
  <c r="K104" i="38"/>
  <c r="K105" i="38"/>
  <c r="K106" i="38"/>
  <c r="K107" i="38"/>
  <c r="K108" i="38"/>
  <c r="K109" i="38"/>
  <c r="K110" i="38"/>
  <c r="K111" i="38"/>
  <c r="K112" i="38"/>
  <c r="K113" i="38"/>
  <c r="K114" i="38"/>
  <c r="K115" i="38"/>
  <c r="K116" i="38"/>
  <c r="K117" i="38"/>
  <c r="K118" i="38"/>
  <c r="K119" i="38"/>
  <c r="K120" i="38"/>
  <c r="K121" i="38"/>
  <c r="K122" i="38"/>
  <c r="K123" i="38"/>
  <c r="K124" i="38"/>
  <c r="K125" i="38"/>
  <c r="K126" i="38"/>
  <c r="K127" i="38"/>
  <c r="K128" i="38"/>
  <c r="K129" i="38"/>
  <c r="K130" i="38"/>
  <c r="K131" i="38"/>
  <c r="K132" i="38"/>
  <c r="K133" i="38"/>
  <c r="K134" i="38"/>
  <c r="K135" i="38"/>
  <c r="K136" i="38"/>
  <c r="K137" i="38"/>
  <c r="K138" i="38"/>
  <c r="K139" i="38"/>
  <c r="K140" i="38"/>
  <c r="K141" i="38"/>
  <c r="K142" i="38"/>
  <c r="K143" i="38"/>
  <c r="K144" i="38"/>
  <c r="K145" i="38"/>
  <c r="K146" i="38"/>
  <c r="K147" i="38"/>
  <c r="K148" i="38"/>
  <c r="K149" i="38"/>
  <c r="K150" i="38"/>
  <c r="K151" i="38"/>
  <c r="K152" i="38"/>
  <c r="K153" i="38"/>
  <c r="K154" i="38"/>
  <c r="K155" i="38"/>
  <c r="K156" i="38"/>
  <c r="K157" i="38"/>
  <c r="K158" i="38"/>
  <c r="K159" i="38"/>
  <c r="K160" i="38"/>
  <c r="K161" i="38"/>
  <c r="K162" i="38"/>
  <c r="K163" i="38"/>
  <c r="K164" i="38"/>
  <c r="K165" i="38"/>
  <c r="K166" i="38"/>
  <c r="K167" i="38"/>
  <c r="I34" i="34"/>
  <c r="K34" i="34"/>
  <c r="L34" i="34"/>
  <c r="N34" i="34"/>
  <c r="O34" i="34"/>
  <c r="Q34" i="34"/>
  <c r="R34" i="34"/>
  <c r="T34" i="34"/>
  <c r="U34" i="34"/>
  <c r="H34" i="34"/>
  <c r="G14" i="34"/>
  <c r="F34" i="34"/>
  <c r="E34" i="34"/>
  <c r="G34" i="34" l="1"/>
  <c r="H16" i="28" l="1"/>
  <c r="AI21" i="27"/>
  <c r="AI22" i="27"/>
  <c r="AI23" i="27"/>
  <c r="AI24" i="27"/>
  <c r="AI25" i="27"/>
  <c r="AI26" i="27"/>
  <c r="AI27" i="27"/>
  <c r="AI28" i="27"/>
  <c r="AI29" i="27"/>
  <c r="AI30" i="27"/>
  <c r="AI31" i="27"/>
  <c r="AI32" i="27"/>
  <c r="AI33" i="27"/>
  <c r="AD21" i="27"/>
  <c r="AD22" i="27"/>
  <c r="AD23" i="27"/>
  <c r="AD24" i="27"/>
  <c r="AD25" i="27"/>
  <c r="AD26" i="27"/>
  <c r="AD27" i="27"/>
  <c r="AD28" i="27"/>
  <c r="AD29" i="27"/>
  <c r="AD30" i="27"/>
  <c r="AD31" i="27"/>
  <c r="AD32" i="27"/>
  <c r="AD33" i="27"/>
  <c r="Y20" i="27"/>
  <c r="Y21" i="27"/>
  <c r="Y22" i="27"/>
  <c r="Y23" i="27"/>
  <c r="Y24" i="27"/>
  <c r="Y25" i="27"/>
  <c r="Y26" i="27"/>
  <c r="Y27" i="27"/>
  <c r="Y28" i="27"/>
  <c r="Y29" i="27"/>
  <c r="Y30" i="27"/>
  <c r="Y31" i="27"/>
  <c r="Y32" i="27"/>
  <c r="Y33" i="27"/>
  <c r="T22" i="27"/>
  <c r="T23" i="27"/>
  <c r="T24" i="27"/>
  <c r="T25" i="27"/>
  <c r="T26" i="27"/>
  <c r="T27" i="27"/>
  <c r="T28" i="27"/>
  <c r="T29" i="27"/>
  <c r="T30" i="27"/>
  <c r="T31" i="27"/>
  <c r="T32" i="27"/>
  <c r="T33" i="27"/>
  <c r="O23" i="27"/>
  <c r="O24" i="27"/>
  <c r="O25" i="27"/>
  <c r="O26" i="27"/>
  <c r="O27" i="27"/>
  <c r="O28" i="27"/>
  <c r="O29" i="27"/>
  <c r="O30" i="27"/>
  <c r="O31" i="27"/>
  <c r="O32" i="27"/>
  <c r="O33" i="27"/>
  <c r="J33" i="27"/>
  <c r="J34" i="27"/>
  <c r="J23" i="27"/>
  <c r="J24" i="27"/>
  <c r="J25" i="27"/>
  <c r="J26" i="27"/>
  <c r="J27" i="27"/>
  <c r="J28" i="27"/>
  <c r="J29" i="27"/>
  <c r="J30" i="27"/>
  <c r="J31" i="27"/>
  <c r="J32" i="27"/>
  <c r="G35" i="27"/>
  <c r="J20" i="27"/>
  <c r="I35" i="27"/>
  <c r="J35" i="27" l="1"/>
  <c r="I9" i="39"/>
  <c r="F9" i="39"/>
  <c r="J9" i="39" s="1"/>
  <c r="F13" i="27"/>
  <c r="K13" i="27" l="1"/>
  <c r="F13" i="43"/>
  <c r="G15" i="34"/>
  <c r="G16" i="34"/>
  <c r="G17" i="34"/>
  <c r="G18" i="34"/>
  <c r="G19" i="34"/>
  <c r="G20" i="34"/>
  <c r="G21" i="34"/>
  <c r="G22" i="34"/>
  <c r="G23" i="34"/>
  <c r="G24" i="34"/>
  <c r="G25" i="34"/>
  <c r="G26" i="34"/>
  <c r="G27" i="34"/>
  <c r="G28" i="34"/>
  <c r="G29" i="34"/>
  <c r="G30" i="34"/>
  <c r="G31" i="34"/>
  <c r="G32" i="34"/>
  <c r="G33" i="34"/>
  <c r="I13" i="30"/>
  <c r="Y15" i="27" l="1"/>
  <c r="T15" i="27"/>
  <c r="O15" i="27"/>
  <c r="J15" i="27"/>
  <c r="AI16" i="27"/>
  <c r="AI17" i="27"/>
  <c r="AI18" i="27"/>
  <c r="AI19" i="27"/>
  <c r="AI20" i="27"/>
  <c r="AI34" i="27"/>
  <c r="AI15" i="27"/>
  <c r="AD16" i="27"/>
  <c r="AD17" i="27"/>
  <c r="AD18" i="27"/>
  <c r="AD19" i="27"/>
  <c r="AD20" i="27"/>
  <c r="AD34" i="27"/>
  <c r="AD15" i="27"/>
  <c r="Y16" i="27"/>
  <c r="Y17" i="27"/>
  <c r="Y18" i="27"/>
  <c r="Y19" i="27"/>
  <c r="Y34" i="27"/>
  <c r="T16" i="27"/>
  <c r="T17" i="27"/>
  <c r="T18" i="27"/>
  <c r="T19" i="27"/>
  <c r="T20" i="27"/>
  <c r="T21" i="27"/>
  <c r="T34" i="27"/>
  <c r="O16" i="27"/>
  <c r="O17" i="27"/>
  <c r="O18" i="27"/>
  <c r="O19" i="27"/>
  <c r="O20" i="27"/>
  <c r="O21" i="27"/>
  <c r="O22" i="27"/>
  <c r="O34" i="27"/>
  <c r="I37" i="27"/>
  <c r="J16" i="27"/>
  <c r="J17" i="27"/>
  <c r="J18" i="27"/>
  <c r="J19" i="27"/>
  <c r="J21" i="27"/>
  <c r="J22" i="27"/>
  <c r="P13" i="27" l="1"/>
  <c r="U13" i="27" s="1"/>
  <c r="Z13" i="27" s="1"/>
  <c r="AE13" i="27" s="1"/>
  <c r="AF36" i="27"/>
  <c r="I10" i="41" s="1"/>
  <c r="I11" i="40" s="1"/>
  <c r="AE36" i="27"/>
  <c r="AH35" i="27"/>
  <c r="I9" i="42" s="1"/>
  <c r="AG35" i="27"/>
  <c r="AG37" i="27" s="1"/>
  <c r="AF35" i="27"/>
  <c r="AE35" i="27"/>
  <c r="AA36" i="27"/>
  <c r="H10" i="41" s="1"/>
  <c r="H11" i="40" s="1"/>
  <c r="Z36" i="27"/>
  <c r="AC35" i="27"/>
  <c r="H9" i="42" s="1"/>
  <c r="AB35" i="27"/>
  <c r="AB37" i="27" s="1"/>
  <c r="AA35" i="27"/>
  <c r="Z35" i="27"/>
  <c r="V36" i="27"/>
  <c r="G10" i="41" s="1"/>
  <c r="G11" i="40" s="1"/>
  <c r="U36" i="27"/>
  <c r="X35" i="27"/>
  <c r="G9" i="42" s="1"/>
  <c r="W35" i="27"/>
  <c r="W37" i="27" s="1"/>
  <c r="V35" i="27"/>
  <c r="U35" i="27"/>
  <c r="Q36" i="27"/>
  <c r="F10" i="41" s="1"/>
  <c r="F11" i="40" s="1"/>
  <c r="P36" i="27"/>
  <c r="S35" i="27"/>
  <c r="F9" i="42" s="1"/>
  <c r="R35" i="27"/>
  <c r="R37" i="27" s="1"/>
  <c r="Q35" i="27"/>
  <c r="F9" i="41" s="1"/>
  <c r="P35" i="27"/>
  <c r="L36" i="27"/>
  <c r="E10" i="41" s="1"/>
  <c r="E11" i="40" s="1"/>
  <c r="K36" i="27"/>
  <c r="N35" i="27"/>
  <c r="N37" i="27" s="1"/>
  <c r="M35" i="27"/>
  <c r="M37" i="27" s="1"/>
  <c r="L35" i="27"/>
  <c r="E9" i="41" s="1"/>
  <c r="K35" i="27"/>
  <c r="G36" i="27"/>
  <c r="J36" i="27" s="1"/>
  <c r="F36" i="27"/>
  <c r="F35" i="27"/>
  <c r="H35" i="27"/>
  <c r="H37" i="27" s="1"/>
  <c r="I10" i="39"/>
  <c r="F10" i="39"/>
  <c r="J10" i="39" s="1"/>
  <c r="H16" i="39"/>
  <c r="G16" i="39"/>
  <c r="I14" i="39"/>
  <c r="E16" i="39"/>
  <c r="D16" i="39"/>
  <c r="F14" i="39"/>
  <c r="J14" i="39" s="1"/>
  <c r="K219" i="38"/>
  <c r="K218" i="38"/>
  <c r="K217" i="38"/>
  <c r="K216" i="38"/>
  <c r="K215" i="38"/>
  <c r="K214" i="38"/>
  <c r="K213" i="38"/>
  <c r="K212" i="38"/>
  <c r="K211" i="38"/>
  <c r="K210" i="38"/>
  <c r="S33" i="43"/>
  <c r="I18" i="41"/>
  <c r="P33" i="43"/>
  <c r="M33" i="43"/>
  <c r="G18" i="41" s="1"/>
  <c r="J33" i="43"/>
  <c r="G33" i="43"/>
  <c r="E19" i="40" s="1"/>
  <c r="E18" i="41"/>
  <c r="D33" i="43"/>
  <c r="U32" i="43"/>
  <c r="R32" i="43"/>
  <c r="O32" i="43"/>
  <c r="L32" i="43"/>
  <c r="I32" i="43"/>
  <c r="F32" i="43"/>
  <c r="U31" i="43"/>
  <c r="R31" i="43"/>
  <c r="O31" i="43"/>
  <c r="L31" i="43"/>
  <c r="I31" i="43"/>
  <c r="F31" i="43"/>
  <c r="U30" i="43"/>
  <c r="R30" i="43"/>
  <c r="O30" i="43"/>
  <c r="L30" i="43"/>
  <c r="I30" i="43"/>
  <c r="F30" i="43"/>
  <c r="U29" i="43"/>
  <c r="R29" i="43"/>
  <c r="O29" i="43"/>
  <c r="L29" i="43"/>
  <c r="I29" i="43"/>
  <c r="F29" i="43"/>
  <c r="U28" i="43"/>
  <c r="R28" i="43"/>
  <c r="O28" i="43"/>
  <c r="L28" i="43"/>
  <c r="I28" i="43"/>
  <c r="F28" i="43"/>
  <c r="U27" i="43"/>
  <c r="R27" i="43"/>
  <c r="O27" i="43"/>
  <c r="L27" i="43"/>
  <c r="I27" i="43"/>
  <c r="F27" i="43"/>
  <c r="U26" i="43"/>
  <c r="R26" i="43"/>
  <c r="O26" i="43"/>
  <c r="L26" i="43"/>
  <c r="I26" i="43"/>
  <c r="F26" i="43"/>
  <c r="U25" i="43"/>
  <c r="R25" i="43"/>
  <c r="O25" i="43"/>
  <c r="L25" i="43"/>
  <c r="I25" i="43"/>
  <c r="F25" i="43"/>
  <c r="U24" i="43"/>
  <c r="R24" i="43"/>
  <c r="O24" i="43"/>
  <c r="L24" i="43"/>
  <c r="I24" i="43"/>
  <c r="F24" i="43"/>
  <c r="U23" i="43"/>
  <c r="R23" i="43"/>
  <c r="O23" i="43"/>
  <c r="L23" i="43"/>
  <c r="I23" i="43"/>
  <c r="F23" i="43"/>
  <c r="U22" i="43"/>
  <c r="R22" i="43"/>
  <c r="O22" i="43"/>
  <c r="L22" i="43"/>
  <c r="I22" i="43"/>
  <c r="F22" i="43"/>
  <c r="U21" i="43"/>
  <c r="R21" i="43"/>
  <c r="O21" i="43"/>
  <c r="L21" i="43"/>
  <c r="I21" i="43"/>
  <c r="F21" i="43"/>
  <c r="U20" i="43"/>
  <c r="R20" i="43"/>
  <c r="O20" i="43"/>
  <c r="L20" i="43"/>
  <c r="I20" i="43"/>
  <c r="F20" i="43"/>
  <c r="U19" i="43"/>
  <c r="R19" i="43"/>
  <c r="O19" i="43"/>
  <c r="L19" i="43"/>
  <c r="I19" i="43"/>
  <c r="F19" i="43"/>
  <c r="U18" i="43"/>
  <c r="R18" i="43"/>
  <c r="O18" i="43"/>
  <c r="L18" i="43"/>
  <c r="I18" i="43"/>
  <c r="F18" i="43"/>
  <c r="U17" i="43"/>
  <c r="R17" i="43"/>
  <c r="O17" i="43"/>
  <c r="L17" i="43"/>
  <c r="I17" i="43"/>
  <c r="F17" i="43"/>
  <c r="U16" i="43"/>
  <c r="R16" i="43"/>
  <c r="O16" i="43"/>
  <c r="L16" i="43"/>
  <c r="I16" i="43"/>
  <c r="F16" i="43"/>
  <c r="U15" i="43"/>
  <c r="R15" i="43"/>
  <c r="O15" i="43"/>
  <c r="L15" i="43"/>
  <c r="I15" i="43"/>
  <c r="F15" i="43"/>
  <c r="U14" i="43"/>
  <c r="R14" i="43"/>
  <c r="O14" i="43"/>
  <c r="L14" i="43"/>
  <c r="I14" i="43"/>
  <c r="F14" i="43"/>
  <c r="B14" i="43"/>
  <c r="B15" i="43" s="1"/>
  <c r="B16" i="43" s="1"/>
  <c r="B17" i="43" s="1"/>
  <c r="B18" i="43" s="1"/>
  <c r="B19" i="43" s="1"/>
  <c r="B20" i="43" s="1"/>
  <c r="B21" i="43" s="1"/>
  <c r="B22" i="43" s="1"/>
  <c r="B23" i="43" s="1"/>
  <c r="B24" i="43" s="1"/>
  <c r="B25" i="43" s="1"/>
  <c r="B26" i="43" s="1"/>
  <c r="B27" i="43" s="1"/>
  <c r="B28" i="43" s="1"/>
  <c r="B29" i="43" s="1"/>
  <c r="B30" i="43" s="1"/>
  <c r="B31" i="43" s="1"/>
  <c r="B32" i="43" s="1"/>
  <c r="U13" i="43"/>
  <c r="R13" i="43"/>
  <c r="O13" i="43"/>
  <c r="L13" i="43"/>
  <c r="I13" i="43"/>
  <c r="D11" i="43"/>
  <c r="G11" i="43" s="1"/>
  <c r="J11" i="43" s="1"/>
  <c r="M11" i="43" s="1"/>
  <c r="P11" i="43" s="1"/>
  <c r="S11" i="43" s="1"/>
  <c r="B15" i="34"/>
  <c r="B16" i="34" s="1"/>
  <c r="B17" i="34" s="1"/>
  <c r="B18" i="34" s="1"/>
  <c r="B19" i="34" s="1"/>
  <c r="B20" i="34" s="1"/>
  <c r="B21" i="34" s="1"/>
  <c r="B22" i="34" s="1"/>
  <c r="B23" i="34" s="1"/>
  <c r="B24" i="34" s="1"/>
  <c r="B25" i="34" s="1"/>
  <c r="B26" i="34" s="1"/>
  <c r="B27" i="34" s="1"/>
  <c r="B28" i="34" s="1"/>
  <c r="B29" i="34" s="1"/>
  <c r="B30" i="34" s="1"/>
  <c r="B31" i="34" s="1"/>
  <c r="B32" i="34" s="1"/>
  <c r="B33" i="34" s="1"/>
  <c r="B16" i="32"/>
  <c r="B17" i="32" s="1"/>
  <c r="B18" i="32" s="1"/>
  <c r="B19" i="32" s="1"/>
  <c r="B20" i="32" s="1"/>
  <c r="B21" i="32" s="1"/>
  <c r="B22" i="32" s="1"/>
  <c r="B23" i="32" s="1"/>
  <c r="B24" i="32" s="1"/>
  <c r="B25" i="32" s="1"/>
  <c r="B26" i="32" s="1"/>
  <c r="B27" i="32" s="1"/>
  <c r="B28" i="32" s="1"/>
  <c r="B29" i="32" s="1"/>
  <c r="B30" i="32" s="1"/>
  <c r="B31" i="32" s="1"/>
  <c r="B32" i="32" s="1"/>
  <c r="B33" i="32" s="1"/>
  <c r="B34" i="32" s="1"/>
  <c r="F11" i="39"/>
  <c r="J11" i="39" s="1"/>
  <c r="F12" i="39"/>
  <c r="J12" i="39" s="1"/>
  <c r="F13" i="39"/>
  <c r="J13" i="39" s="1"/>
  <c r="F15" i="39"/>
  <c r="J15" i="39" s="1"/>
  <c r="K16" i="38"/>
  <c r="C10" i="38"/>
  <c r="C11" i="38" s="1"/>
  <c r="C12" i="38" s="1"/>
  <c r="C13" i="38" s="1"/>
  <c r="C14" i="38" s="1"/>
  <c r="C15" i="38" s="1"/>
  <c r="C16" i="38" s="1"/>
  <c r="C17" i="38" s="1"/>
  <c r="C18" i="38" s="1"/>
  <c r="K191" i="38"/>
  <c r="F16" i="32"/>
  <c r="K190" i="38"/>
  <c r="K23" i="38"/>
  <c r="K24" i="38"/>
  <c r="K25" i="38"/>
  <c r="K26" i="38"/>
  <c r="K27" i="38"/>
  <c r="K28" i="38"/>
  <c r="K29" i="38"/>
  <c r="K30" i="38"/>
  <c r="K31" i="38"/>
  <c r="K22" i="38"/>
  <c r="J19" i="38"/>
  <c r="J48" i="38"/>
  <c r="J61" i="38"/>
  <c r="J74" i="38"/>
  <c r="J185" i="38"/>
  <c r="J198" i="38"/>
  <c r="K9" i="38"/>
  <c r="K10" i="38"/>
  <c r="K11" i="38"/>
  <c r="K12" i="38"/>
  <c r="K13" i="38"/>
  <c r="K14" i="38"/>
  <c r="K15" i="38"/>
  <c r="K17" i="38"/>
  <c r="K18" i="38"/>
  <c r="K38" i="38"/>
  <c r="K39" i="38"/>
  <c r="K40" i="38"/>
  <c r="K41" i="38"/>
  <c r="K42" i="38"/>
  <c r="K43" i="38"/>
  <c r="K44" i="38"/>
  <c r="K45" i="38"/>
  <c r="K46" i="38"/>
  <c r="K47" i="38"/>
  <c r="K51" i="38"/>
  <c r="K52" i="38"/>
  <c r="K53" i="38"/>
  <c r="K54" i="38"/>
  <c r="K55" i="38"/>
  <c r="K56" i="38"/>
  <c r="K57" i="38"/>
  <c r="K58" i="38"/>
  <c r="K59" i="38"/>
  <c r="K60" i="38"/>
  <c r="K64" i="38"/>
  <c r="K65" i="38"/>
  <c r="K66" i="38"/>
  <c r="K67" i="38"/>
  <c r="K68" i="38"/>
  <c r="K69" i="38"/>
  <c r="K70" i="38"/>
  <c r="K71" i="38"/>
  <c r="K72" i="38"/>
  <c r="K73" i="38"/>
  <c r="K168" i="38"/>
  <c r="K177" i="38"/>
  <c r="K178" i="38"/>
  <c r="K179" i="38"/>
  <c r="K180" i="38"/>
  <c r="K181" i="38"/>
  <c r="K182" i="38"/>
  <c r="K183" i="38"/>
  <c r="K184" i="38"/>
  <c r="K188" i="38"/>
  <c r="K189" i="38"/>
  <c r="K192" i="38"/>
  <c r="K193" i="38"/>
  <c r="K194" i="38"/>
  <c r="K195" i="38"/>
  <c r="K196" i="38"/>
  <c r="K197" i="38"/>
  <c r="I19" i="38"/>
  <c r="I32" i="38"/>
  <c r="I48" i="38"/>
  <c r="I61" i="38"/>
  <c r="I74" i="38"/>
  <c r="I185" i="38"/>
  <c r="I198" i="38"/>
  <c r="D33" i="31"/>
  <c r="E33" i="31"/>
  <c r="D12" i="42" s="1"/>
  <c r="B16" i="27"/>
  <c r="B17" i="27" s="1"/>
  <c r="B18" i="27" s="1"/>
  <c r="B19" i="27" s="1"/>
  <c r="B20" i="27" s="1"/>
  <c r="B21" i="27" s="1"/>
  <c r="B22" i="27" s="1"/>
  <c r="B23" i="27" s="1"/>
  <c r="B24" i="27" s="1"/>
  <c r="B25" i="27" s="1"/>
  <c r="B26" i="27" s="1"/>
  <c r="B27" i="27" s="1"/>
  <c r="B28" i="27" s="1"/>
  <c r="B29" i="27" s="1"/>
  <c r="B30" i="27" s="1"/>
  <c r="B31" i="27" s="1"/>
  <c r="B32" i="27" s="1"/>
  <c r="B33" i="27" s="1"/>
  <c r="B34" i="27" s="1"/>
  <c r="S33" i="31"/>
  <c r="I12" i="41"/>
  <c r="T33" i="31"/>
  <c r="S35" i="32"/>
  <c r="I15" i="41" s="1"/>
  <c r="T35" i="32"/>
  <c r="I15" i="42" s="1"/>
  <c r="P33" i="31"/>
  <c r="H12" i="41"/>
  <c r="Q33" i="31"/>
  <c r="H12" i="42" s="1"/>
  <c r="P35" i="32"/>
  <c r="H15" i="41" s="1"/>
  <c r="Q35" i="32"/>
  <c r="H15" i="42" s="1"/>
  <c r="M33" i="31"/>
  <c r="G12" i="41" s="1"/>
  <c r="N33" i="31"/>
  <c r="G12" i="42" s="1"/>
  <c r="M35" i="32"/>
  <c r="G15" i="41" s="1"/>
  <c r="N35" i="32"/>
  <c r="G15" i="42" s="1"/>
  <c r="U34" i="32"/>
  <c r="U33" i="32"/>
  <c r="U32" i="32"/>
  <c r="U31" i="32"/>
  <c r="U30" i="32"/>
  <c r="U29" i="32"/>
  <c r="U28" i="32"/>
  <c r="U27" i="32"/>
  <c r="U26" i="32"/>
  <c r="U25" i="32"/>
  <c r="U24" i="32"/>
  <c r="U23" i="32"/>
  <c r="U22" i="32"/>
  <c r="U21" i="32"/>
  <c r="U20" i="32"/>
  <c r="U19" i="32"/>
  <c r="U18" i="32"/>
  <c r="U17" i="32"/>
  <c r="U16" i="32"/>
  <c r="U15" i="32"/>
  <c r="R34" i="32"/>
  <c r="R33" i="32"/>
  <c r="R32" i="32"/>
  <c r="R31" i="32"/>
  <c r="R30" i="32"/>
  <c r="R29" i="32"/>
  <c r="R28" i="32"/>
  <c r="R27" i="32"/>
  <c r="R26" i="32"/>
  <c r="R25" i="32"/>
  <c r="R24" i="32"/>
  <c r="R23" i="32"/>
  <c r="R22" i="32"/>
  <c r="R21" i="32"/>
  <c r="R20" i="32"/>
  <c r="R19" i="32"/>
  <c r="R18" i="32"/>
  <c r="R17" i="32"/>
  <c r="R16" i="32"/>
  <c r="R15" i="32"/>
  <c r="O34" i="32"/>
  <c r="O33" i="32"/>
  <c r="O32" i="32"/>
  <c r="O31" i="32"/>
  <c r="O30" i="32"/>
  <c r="O29" i="32"/>
  <c r="O28" i="32"/>
  <c r="O27" i="32"/>
  <c r="O26" i="32"/>
  <c r="O25" i="32"/>
  <c r="O24" i="32"/>
  <c r="O23" i="32"/>
  <c r="O22" i="32"/>
  <c r="O21" i="32"/>
  <c r="O20" i="32"/>
  <c r="O19" i="32"/>
  <c r="O18" i="32"/>
  <c r="O17" i="32"/>
  <c r="O16" i="32"/>
  <c r="O15" i="32"/>
  <c r="J35" i="32"/>
  <c r="K35" i="32"/>
  <c r="F15" i="42" s="1"/>
  <c r="G35" i="32"/>
  <c r="H35" i="32"/>
  <c r="E15" i="42" s="1"/>
  <c r="D35" i="32"/>
  <c r="E35" i="32"/>
  <c r="D15" i="42" s="1"/>
  <c r="U32" i="31"/>
  <c r="U31" i="31"/>
  <c r="U30" i="31"/>
  <c r="U29" i="31"/>
  <c r="U28" i="31"/>
  <c r="U27" i="31"/>
  <c r="U26" i="31"/>
  <c r="U25" i="31"/>
  <c r="U24" i="31"/>
  <c r="U23" i="31"/>
  <c r="U22" i="31"/>
  <c r="U21" i="31"/>
  <c r="U20" i="31"/>
  <c r="U19" i="31"/>
  <c r="U18" i="31"/>
  <c r="U17" i="31"/>
  <c r="U16" i="31"/>
  <c r="U15" i="31"/>
  <c r="U14" i="31"/>
  <c r="U13" i="31"/>
  <c r="R32" i="31"/>
  <c r="R31" i="31"/>
  <c r="R30" i="31"/>
  <c r="R29" i="31"/>
  <c r="R28" i="31"/>
  <c r="R27" i="31"/>
  <c r="R26" i="31"/>
  <c r="R25" i="31"/>
  <c r="R24" i="31"/>
  <c r="R23" i="31"/>
  <c r="R22" i="31"/>
  <c r="R21" i="31"/>
  <c r="R20" i="31"/>
  <c r="R19" i="31"/>
  <c r="R18" i="31"/>
  <c r="R17" i="31"/>
  <c r="R16" i="31"/>
  <c r="R15" i="31"/>
  <c r="R14" i="31"/>
  <c r="R13" i="31"/>
  <c r="O32" i="31"/>
  <c r="O31" i="31"/>
  <c r="O30" i="31"/>
  <c r="O29" i="31"/>
  <c r="O28" i="31"/>
  <c r="O27" i="31"/>
  <c r="O26" i="31"/>
  <c r="O25" i="31"/>
  <c r="O24" i="31"/>
  <c r="O23" i="31"/>
  <c r="O22" i="31"/>
  <c r="O21" i="31"/>
  <c r="O20" i="31"/>
  <c r="O19" i="31"/>
  <c r="O18" i="31"/>
  <c r="O17" i="31"/>
  <c r="O16" i="31"/>
  <c r="O15" i="31"/>
  <c r="O14" i="31"/>
  <c r="O13" i="31"/>
  <c r="J33" i="31"/>
  <c r="K33" i="31"/>
  <c r="F12" i="42" s="1"/>
  <c r="G33" i="31"/>
  <c r="E12" i="41" s="1"/>
  <c r="H33" i="31"/>
  <c r="E12" i="42" s="1"/>
  <c r="S33" i="30"/>
  <c r="I11" i="41" s="1"/>
  <c r="P33" i="30"/>
  <c r="H11" i="41" s="1"/>
  <c r="M33" i="30"/>
  <c r="G11" i="41" s="1"/>
  <c r="T33" i="30"/>
  <c r="I11" i="42" s="1"/>
  <c r="U32" i="30"/>
  <c r="U31" i="30"/>
  <c r="U30" i="30"/>
  <c r="U29" i="30"/>
  <c r="U28" i="30"/>
  <c r="U27" i="30"/>
  <c r="U26" i="30"/>
  <c r="U25" i="30"/>
  <c r="U24" i="30"/>
  <c r="U23" i="30"/>
  <c r="U22" i="30"/>
  <c r="U21" i="30"/>
  <c r="U20" i="30"/>
  <c r="U19" i="30"/>
  <c r="U18" i="30"/>
  <c r="U17" i="30"/>
  <c r="U16" i="30"/>
  <c r="U15" i="30"/>
  <c r="U14" i="30"/>
  <c r="U13" i="30"/>
  <c r="Q33" i="30"/>
  <c r="R32" i="30"/>
  <c r="R31" i="30"/>
  <c r="R30" i="30"/>
  <c r="R29" i="30"/>
  <c r="R28" i="30"/>
  <c r="R27" i="30"/>
  <c r="R26" i="30"/>
  <c r="R25" i="30"/>
  <c r="R24" i="30"/>
  <c r="R23" i="30"/>
  <c r="R22" i="30"/>
  <c r="R21" i="30"/>
  <c r="R20" i="30"/>
  <c r="R19" i="30"/>
  <c r="R18" i="30"/>
  <c r="R17" i="30"/>
  <c r="R16" i="30"/>
  <c r="R15" i="30"/>
  <c r="R14" i="30"/>
  <c r="R13" i="30"/>
  <c r="N33" i="30"/>
  <c r="O32" i="30"/>
  <c r="O31" i="30"/>
  <c r="O30" i="30"/>
  <c r="O29" i="30"/>
  <c r="O28" i="30"/>
  <c r="O27" i="30"/>
  <c r="O26" i="30"/>
  <c r="O25" i="30"/>
  <c r="O24" i="30"/>
  <c r="O23" i="30"/>
  <c r="O22" i="30"/>
  <c r="O21" i="30"/>
  <c r="O20" i="30"/>
  <c r="O19" i="30"/>
  <c r="O18" i="30"/>
  <c r="O17" i="30"/>
  <c r="O16" i="30"/>
  <c r="O15" i="30"/>
  <c r="O14" i="30"/>
  <c r="O13" i="30"/>
  <c r="J33" i="30"/>
  <c r="F11" i="41" s="1"/>
  <c r="K33" i="30"/>
  <c r="F11" i="42" s="1"/>
  <c r="G33" i="30"/>
  <c r="H33" i="30"/>
  <c r="I33" i="30" s="1"/>
  <c r="D33" i="30"/>
  <c r="D11" i="41" s="1"/>
  <c r="V15" i="34"/>
  <c r="V16" i="34"/>
  <c r="V17" i="34"/>
  <c r="V18" i="34"/>
  <c r="V19" i="34"/>
  <c r="V20" i="34"/>
  <c r="V21" i="34"/>
  <c r="V22" i="34"/>
  <c r="V23" i="34"/>
  <c r="V24" i="34"/>
  <c r="V25" i="34"/>
  <c r="V26" i="34"/>
  <c r="V27" i="34"/>
  <c r="V28" i="34"/>
  <c r="V29" i="34"/>
  <c r="V30" i="34"/>
  <c r="V31" i="34"/>
  <c r="V32" i="34"/>
  <c r="V33" i="34"/>
  <c r="V14" i="34"/>
  <c r="S33" i="34"/>
  <c r="S32" i="34"/>
  <c r="S31" i="34"/>
  <c r="S30" i="34"/>
  <c r="S29" i="34"/>
  <c r="S28" i="34"/>
  <c r="S27" i="34"/>
  <c r="S26" i="34"/>
  <c r="S25" i="34"/>
  <c r="S24" i="34"/>
  <c r="S23" i="34"/>
  <c r="S22" i="34"/>
  <c r="S21" i="34"/>
  <c r="S20" i="34"/>
  <c r="S19" i="34"/>
  <c r="S18" i="34"/>
  <c r="S17" i="34"/>
  <c r="S16" i="34"/>
  <c r="S15" i="34"/>
  <c r="S14" i="34"/>
  <c r="P33" i="34"/>
  <c r="P32" i="34"/>
  <c r="P31" i="34"/>
  <c r="P30" i="34"/>
  <c r="P29" i="34"/>
  <c r="P28" i="34"/>
  <c r="P27" i="34"/>
  <c r="P26" i="34"/>
  <c r="P25" i="34"/>
  <c r="P24" i="34"/>
  <c r="P23" i="34"/>
  <c r="P22" i="34"/>
  <c r="P21" i="34"/>
  <c r="P20" i="34"/>
  <c r="P19" i="34"/>
  <c r="P18" i="34"/>
  <c r="P17" i="34"/>
  <c r="P16" i="34"/>
  <c r="P15" i="34"/>
  <c r="P14" i="34"/>
  <c r="W17" i="28"/>
  <c r="W18" i="28"/>
  <c r="W19" i="28"/>
  <c r="W20" i="28"/>
  <c r="W21" i="28"/>
  <c r="W22" i="28"/>
  <c r="W23" i="28"/>
  <c r="W24" i="28"/>
  <c r="W25" i="28"/>
  <c r="W26" i="28"/>
  <c r="W27" i="28"/>
  <c r="W28" i="28"/>
  <c r="W29" i="28"/>
  <c r="W30" i="28"/>
  <c r="W31" i="28"/>
  <c r="W32" i="28"/>
  <c r="W33" i="28"/>
  <c r="W34" i="28"/>
  <c r="W35" i="28"/>
  <c r="W16" i="28"/>
  <c r="U36" i="28"/>
  <c r="U37" i="28"/>
  <c r="U38" i="28"/>
  <c r="V36" i="28"/>
  <c r="V37" i="28"/>
  <c r="V38" i="28"/>
  <c r="R36" i="28"/>
  <c r="R37" i="28"/>
  <c r="T37" i="28" s="1"/>
  <c r="R38" i="28"/>
  <c r="S36" i="28"/>
  <c r="S37" i="28"/>
  <c r="S38" i="28"/>
  <c r="T35" i="28"/>
  <c r="T34" i="28"/>
  <c r="T33" i="28"/>
  <c r="T32" i="28"/>
  <c r="T31" i="28"/>
  <c r="T30" i="28"/>
  <c r="T29" i="28"/>
  <c r="T28" i="28"/>
  <c r="T27" i="28"/>
  <c r="T26" i="28"/>
  <c r="T25" i="28"/>
  <c r="T24" i="28"/>
  <c r="T23" i="28"/>
  <c r="T22" i="28"/>
  <c r="T21" i="28"/>
  <c r="T20" i="28"/>
  <c r="T19" i="28"/>
  <c r="T18" i="28"/>
  <c r="T17" i="28"/>
  <c r="T16" i="28"/>
  <c r="O36" i="28"/>
  <c r="O37" i="28"/>
  <c r="O38" i="28"/>
  <c r="P36" i="28"/>
  <c r="P37" i="28"/>
  <c r="P38" i="28"/>
  <c r="Q35" i="28"/>
  <c r="Q34" i="28"/>
  <c r="Q33" i="28"/>
  <c r="Q32" i="28"/>
  <c r="Q31" i="28"/>
  <c r="Q30" i="28"/>
  <c r="Q29" i="28"/>
  <c r="Q28" i="28"/>
  <c r="Q27" i="28"/>
  <c r="Q26" i="28"/>
  <c r="Q25" i="28"/>
  <c r="Q24" i="28"/>
  <c r="Q23" i="28"/>
  <c r="Q22" i="28"/>
  <c r="Q21" i="28"/>
  <c r="Q20" i="28"/>
  <c r="Q19" i="28"/>
  <c r="Q18" i="28"/>
  <c r="Q17" i="28"/>
  <c r="Q16" i="28"/>
  <c r="F36" i="28"/>
  <c r="F37" i="28"/>
  <c r="H37" i="28" s="1"/>
  <c r="F38" i="28"/>
  <c r="G36" i="28"/>
  <c r="G37" i="28"/>
  <c r="G38" i="28"/>
  <c r="G39" i="28" s="1"/>
  <c r="D13" i="42" s="1"/>
  <c r="L36" i="28"/>
  <c r="L37" i="28"/>
  <c r="L38" i="28"/>
  <c r="M36" i="28"/>
  <c r="M37" i="28"/>
  <c r="N37" i="28" s="1"/>
  <c r="M38" i="28"/>
  <c r="I36" i="28"/>
  <c r="I37" i="28"/>
  <c r="I38" i="28"/>
  <c r="J36" i="28"/>
  <c r="J37" i="28"/>
  <c r="J38" i="28"/>
  <c r="D8" i="42"/>
  <c r="E8" i="42" s="1"/>
  <c r="F8" i="42" s="1"/>
  <c r="G8" i="42" s="1"/>
  <c r="H8" i="42" s="1"/>
  <c r="I8" i="42" s="1"/>
  <c r="D8" i="41"/>
  <c r="E8" i="41" s="1"/>
  <c r="F8" i="41" s="1"/>
  <c r="G8" i="41" s="1"/>
  <c r="H8" i="41" s="1"/>
  <c r="I8" i="41" s="1"/>
  <c r="D9" i="40"/>
  <c r="E9" i="40" s="1"/>
  <c r="F9" i="40" s="1"/>
  <c r="G9" i="40" s="1"/>
  <c r="H9" i="40" s="1"/>
  <c r="I9" i="40" s="1"/>
  <c r="I15" i="39"/>
  <c r="I13" i="39"/>
  <c r="I12" i="39"/>
  <c r="I11" i="39"/>
  <c r="L34" i="32"/>
  <c r="L33" i="32"/>
  <c r="L32" i="32"/>
  <c r="L31" i="32"/>
  <c r="L30" i="32"/>
  <c r="L29" i="32"/>
  <c r="L28" i="32"/>
  <c r="L27" i="32"/>
  <c r="L26" i="32"/>
  <c r="L25" i="32"/>
  <c r="L24" i="32"/>
  <c r="L23" i="32"/>
  <c r="L22" i="32"/>
  <c r="L21" i="32"/>
  <c r="L20" i="32"/>
  <c r="L19" i="32"/>
  <c r="L18" i="32"/>
  <c r="L17" i="32"/>
  <c r="L16" i="32"/>
  <c r="L15" i="32"/>
  <c r="I34" i="32"/>
  <c r="I33" i="32"/>
  <c r="I32" i="32"/>
  <c r="I31" i="32"/>
  <c r="I30" i="32"/>
  <c r="I29" i="32"/>
  <c r="I28" i="32"/>
  <c r="I27" i="32"/>
  <c r="I26" i="32"/>
  <c r="I25" i="32"/>
  <c r="I24" i="32"/>
  <c r="I23" i="32"/>
  <c r="I22" i="32"/>
  <c r="I21" i="32"/>
  <c r="I20" i="32"/>
  <c r="I19" i="32"/>
  <c r="I18" i="32"/>
  <c r="I17" i="32"/>
  <c r="I16" i="32"/>
  <c r="I15" i="32"/>
  <c r="F34" i="32"/>
  <c r="F33" i="32"/>
  <c r="F32" i="32"/>
  <c r="F31" i="32"/>
  <c r="F30" i="32"/>
  <c r="F29" i="32"/>
  <c r="F28" i="32"/>
  <c r="F27" i="32"/>
  <c r="F26" i="32"/>
  <c r="F25" i="32"/>
  <c r="F24" i="32"/>
  <c r="F23" i="32"/>
  <c r="F22" i="32"/>
  <c r="F21" i="32"/>
  <c r="F20" i="32"/>
  <c r="F19" i="32"/>
  <c r="F18" i="32"/>
  <c r="F17" i="32"/>
  <c r="F15" i="32"/>
  <c r="L32" i="31"/>
  <c r="L31" i="31"/>
  <c r="L30" i="31"/>
  <c r="L29" i="31"/>
  <c r="L28" i="31"/>
  <c r="L27" i="31"/>
  <c r="L26" i="31"/>
  <c r="L25" i="31"/>
  <c r="L24" i="31"/>
  <c r="L23" i="31"/>
  <c r="L22" i="31"/>
  <c r="L21" i="31"/>
  <c r="L20" i="31"/>
  <c r="L19" i="31"/>
  <c r="L18" i="31"/>
  <c r="L17" i="31"/>
  <c r="L16" i="31"/>
  <c r="L15" i="31"/>
  <c r="L14" i="31"/>
  <c r="L13" i="31"/>
  <c r="I32" i="31"/>
  <c r="I31" i="31"/>
  <c r="I30" i="31"/>
  <c r="I29" i="31"/>
  <c r="I28" i="31"/>
  <c r="I27" i="31"/>
  <c r="I26" i="31"/>
  <c r="I25" i="31"/>
  <c r="I24" i="31"/>
  <c r="I23" i="31"/>
  <c r="I22" i="31"/>
  <c r="I21" i="31"/>
  <c r="I20" i="31"/>
  <c r="I19" i="31"/>
  <c r="I18" i="31"/>
  <c r="I17" i="31"/>
  <c r="I16" i="31"/>
  <c r="I15" i="31"/>
  <c r="I14" i="31"/>
  <c r="I13" i="31"/>
  <c r="F32" i="31"/>
  <c r="F31" i="31"/>
  <c r="F30" i="31"/>
  <c r="F29" i="31"/>
  <c r="F28" i="31"/>
  <c r="F27" i="31"/>
  <c r="F26" i="31"/>
  <c r="F25" i="31"/>
  <c r="F24" i="31"/>
  <c r="F23" i="31"/>
  <c r="F22" i="31"/>
  <c r="F21" i="31"/>
  <c r="F20" i="31"/>
  <c r="F19" i="31"/>
  <c r="F18" i="31"/>
  <c r="F17" i="31"/>
  <c r="F16" i="31"/>
  <c r="F15" i="31"/>
  <c r="F14" i="31"/>
  <c r="F13" i="31"/>
  <c r="L32" i="30"/>
  <c r="L31" i="30"/>
  <c r="L30" i="30"/>
  <c r="L29" i="30"/>
  <c r="L28" i="30"/>
  <c r="L27" i="30"/>
  <c r="L26" i="30"/>
  <c r="L25" i="30"/>
  <c r="L24" i="30"/>
  <c r="L23" i="30"/>
  <c r="L22" i="30"/>
  <c r="L21" i="30"/>
  <c r="L20" i="30"/>
  <c r="L19" i="30"/>
  <c r="L18" i="30"/>
  <c r="L17" i="30"/>
  <c r="L16" i="30"/>
  <c r="L15" i="30"/>
  <c r="L14" i="30"/>
  <c r="L13" i="30"/>
  <c r="I32" i="30"/>
  <c r="I31" i="30"/>
  <c r="I30" i="30"/>
  <c r="I29" i="30"/>
  <c r="I28" i="30"/>
  <c r="I27" i="30"/>
  <c r="I26" i="30"/>
  <c r="I25" i="30"/>
  <c r="I24" i="30"/>
  <c r="I23" i="30"/>
  <c r="I22" i="30"/>
  <c r="I21" i="30"/>
  <c r="I20" i="30"/>
  <c r="I19" i="30"/>
  <c r="I18" i="30"/>
  <c r="I17" i="30"/>
  <c r="I16" i="30"/>
  <c r="I15" i="30"/>
  <c r="I14" i="30"/>
  <c r="F32" i="30"/>
  <c r="F31" i="30"/>
  <c r="F30" i="30"/>
  <c r="F29" i="30"/>
  <c r="F28" i="30"/>
  <c r="F27" i="30"/>
  <c r="F26" i="30"/>
  <c r="F25" i="30"/>
  <c r="F24" i="30"/>
  <c r="F23" i="30"/>
  <c r="F22" i="30"/>
  <c r="F21" i="30"/>
  <c r="F20" i="30"/>
  <c r="F19" i="30"/>
  <c r="F18" i="30"/>
  <c r="F17" i="30"/>
  <c r="F16" i="30"/>
  <c r="F15" i="30"/>
  <c r="F14" i="30"/>
  <c r="F13" i="30"/>
  <c r="M33" i="34"/>
  <c r="M32" i="34"/>
  <c r="M31" i="34"/>
  <c r="M30" i="34"/>
  <c r="M29" i="34"/>
  <c r="M28" i="34"/>
  <c r="M27" i="34"/>
  <c r="M26" i="34"/>
  <c r="M25" i="34"/>
  <c r="M24" i="34"/>
  <c r="M23" i="34"/>
  <c r="M22" i="34"/>
  <c r="M21" i="34"/>
  <c r="M20" i="34"/>
  <c r="M19" i="34"/>
  <c r="M18" i="34"/>
  <c r="M17" i="34"/>
  <c r="M16" i="34"/>
  <c r="M15" i="34"/>
  <c r="M14" i="34"/>
  <c r="J33" i="34"/>
  <c r="J32" i="34"/>
  <c r="J31" i="34"/>
  <c r="J30" i="34"/>
  <c r="J29" i="34"/>
  <c r="J28" i="34"/>
  <c r="J27" i="34"/>
  <c r="J26" i="34"/>
  <c r="J25" i="34"/>
  <c r="J24" i="34"/>
  <c r="J23" i="34"/>
  <c r="J22" i="34"/>
  <c r="J21" i="34"/>
  <c r="J20" i="34"/>
  <c r="J19" i="34"/>
  <c r="J18" i="34"/>
  <c r="J17" i="34"/>
  <c r="J16" i="34"/>
  <c r="J15" i="34"/>
  <c r="J14" i="34"/>
  <c r="N35" i="28"/>
  <c r="N34" i="28"/>
  <c r="N33" i="28"/>
  <c r="N32" i="28"/>
  <c r="N31" i="28"/>
  <c r="N30" i="28"/>
  <c r="N29" i="28"/>
  <c r="N28" i="28"/>
  <c r="N27" i="28"/>
  <c r="N26" i="28"/>
  <c r="N25" i="28"/>
  <c r="N24" i="28"/>
  <c r="N23" i="28"/>
  <c r="N22" i="28"/>
  <c r="N21" i="28"/>
  <c r="N20" i="28"/>
  <c r="N19" i="28"/>
  <c r="N18" i="28"/>
  <c r="N17" i="28"/>
  <c r="N16" i="28"/>
  <c r="K35" i="28"/>
  <c r="K34" i="28"/>
  <c r="K33" i="28"/>
  <c r="K32" i="28"/>
  <c r="K31" i="28"/>
  <c r="K30" i="28"/>
  <c r="K29" i="28"/>
  <c r="K28" i="28"/>
  <c r="K27" i="28"/>
  <c r="K26" i="28"/>
  <c r="K25" i="28"/>
  <c r="K24" i="28"/>
  <c r="K23" i="28"/>
  <c r="K22" i="28"/>
  <c r="K21" i="28"/>
  <c r="K20" i="28"/>
  <c r="K19" i="28"/>
  <c r="K18" i="28"/>
  <c r="K17" i="28"/>
  <c r="K16" i="28"/>
  <c r="H35" i="28"/>
  <c r="H34" i="28"/>
  <c r="H33" i="28"/>
  <c r="H32" i="28"/>
  <c r="H31" i="28"/>
  <c r="H30" i="28"/>
  <c r="H29" i="28"/>
  <c r="H28" i="28"/>
  <c r="H27" i="28"/>
  <c r="H26" i="28"/>
  <c r="H25" i="28"/>
  <c r="H24" i="28"/>
  <c r="H23" i="28"/>
  <c r="H22" i="28"/>
  <c r="H21" i="28"/>
  <c r="H20" i="28"/>
  <c r="H19" i="28"/>
  <c r="H18" i="28"/>
  <c r="H17" i="28"/>
  <c r="C52" i="38"/>
  <c r="C53" i="38" s="1"/>
  <c r="C54" i="38" s="1"/>
  <c r="C55" i="38" s="1"/>
  <c r="C56" i="38" s="1"/>
  <c r="C57" i="38" s="1"/>
  <c r="C58" i="38" s="1"/>
  <c r="C59" i="38" s="1"/>
  <c r="C60" i="38" s="1"/>
  <c r="C39" i="38"/>
  <c r="C40" i="38" s="1"/>
  <c r="C41" i="38" s="1"/>
  <c r="C42" i="38" s="1"/>
  <c r="C43" i="38" s="1"/>
  <c r="C44" i="38" s="1"/>
  <c r="C45" i="38" s="1"/>
  <c r="C46" i="38" s="1"/>
  <c r="C47" i="38" s="1"/>
  <c r="C23" i="38"/>
  <c r="C24" i="38" s="1"/>
  <c r="C25" i="38" s="1"/>
  <c r="C26" i="38" s="1"/>
  <c r="C27" i="38" s="1"/>
  <c r="C28" i="38" s="1"/>
  <c r="C29" i="38" s="1"/>
  <c r="C30" i="38" s="1"/>
  <c r="C31" i="38" s="1"/>
  <c r="D13" i="32"/>
  <c r="G13" i="32" s="1"/>
  <c r="J13" i="32" s="1"/>
  <c r="M13" i="32" s="1"/>
  <c r="P13" i="32" s="1"/>
  <c r="S13" i="32" s="1"/>
  <c r="D11" i="31"/>
  <c r="G11" i="31" s="1"/>
  <c r="J11" i="31" s="1"/>
  <c r="M11" i="31" s="1"/>
  <c r="P11" i="31" s="1"/>
  <c r="S11" i="31" s="1"/>
  <c r="D11" i="30"/>
  <c r="G11" i="30" s="1"/>
  <c r="J11" i="30" s="1"/>
  <c r="M11" i="30" s="1"/>
  <c r="P11" i="30" s="1"/>
  <c r="S11" i="30" s="1"/>
  <c r="E12" i="34"/>
  <c r="H12" i="34" s="1"/>
  <c r="K12" i="34" s="1"/>
  <c r="N12" i="34" s="1"/>
  <c r="Q12" i="34" s="1"/>
  <c r="T12" i="34" s="1"/>
  <c r="F14" i="28"/>
  <c r="I14" i="28" s="1"/>
  <c r="L14" i="28" s="1"/>
  <c r="O14" i="28" s="1"/>
  <c r="R14" i="28" s="1"/>
  <c r="U14" i="28" s="1"/>
  <c r="E33" i="30"/>
  <c r="D11" i="42" s="1"/>
  <c r="B14" i="31"/>
  <c r="B15" i="31" s="1"/>
  <c r="B16" i="31" s="1"/>
  <c r="B17" i="31" s="1"/>
  <c r="B18" i="31" s="1"/>
  <c r="B19" i="31" s="1"/>
  <c r="B20" i="31" s="1"/>
  <c r="B21" i="31" s="1"/>
  <c r="B22" i="31" s="1"/>
  <c r="B23" i="31" s="1"/>
  <c r="B24" i="31" s="1"/>
  <c r="B25" i="31" s="1"/>
  <c r="B26" i="31" s="1"/>
  <c r="B27" i="31" s="1"/>
  <c r="B28" i="31" s="1"/>
  <c r="B29" i="31" s="1"/>
  <c r="B30" i="31" s="1"/>
  <c r="B31" i="31" s="1"/>
  <c r="B32" i="31" s="1"/>
  <c r="B14" i="30"/>
  <c r="B15" i="30" s="1"/>
  <c r="B16" i="30" s="1"/>
  <c r="B17" i="30" s="1"/>
  <c r="B18" i="30" s="1"/>
  <c r="B19" i="30" s="1"/>
  <c r="B20" i="30" s="1"/>
  <c r="B21" i="30" s="1"/>
  <c r="B22" i="30" s="1"/>
  <c r="B23" i="30" s="1"/>
  <c r="B24" i="30" s="1"/>
  <c r="B25" i="30" s="1"/>
  <c r="B26" i="30" s="1"/>
  <c r="B27" i="30" s="1"/>
  <c r="B28" i="30" s="1"/>
  <c r="B29" i="30" s="1"/>
  <c r="B30" i="30" s="1"/>
  <c r="B31" i="30" s="1"/>
  <c r="B32" i="30" s="1"/>
  <c r="B17" i="28"/>
  <c r="B18" i="28" s="1"/>
  <c r="B19" i="28" s="1"/>
  <c r="B20" i="28" s="1"/>
  <c r="B21" i="28" s="1"/>
  <c r="B22" i="28" s="1"/>
  <c r="B23" i="28" s="1"/>
  <c r="B24" i="28" s="1"/>
  <c r="B25" i="28" s="1"/>
  <c r="B26" i="28" s="1"/>
  <c r="B27" i="28" s="1"/>
  <c r="B28" i="28" s="1"/>
  <c r="B29" i="28" s="1"/>
  <c r="B30" i="28" s="1"/>
  <c r="B31" i="28" s="1"/>
  <c r="B32" i="28" s="1"/>
  <c r="B33" i="28" s="1"/>
  <c r="B34" i="28" s="1"/>
  <c r="B35" i="28" s="1"/>
  <c r="D15" i="41"/>
  <c r="D12" i="41"/>
  <c r="O33" i="43"/>
  <c r="U33" i="43"/>
  <c r="G19" i="40"/>
  <c r="I19" i="40"/>
  <c r="R35" i="32"/>
  <c r="D9" i="42"/>
  <c r="H11" i="42"/>
  <c r="F18" i="41"/>
  <c r="F19" i="40"/>
  <c r="L33" i="43"/>
  <c r="E11" i="41"/>
  <c r="K37" i="27" l="1"/>
  <c r="P37" i="27"/>
  <c r="I33" i="43"/>
  <c r="K38" i="28"/>
  <c r="I39" i="28"/>
  <c r="E13" i="41" s="1"/>
  <c r="E14" i="40" s="1"/>
  <c r="N36" i="28"/>
  <c r="Q36" i="28"/>
  <c r="T38" i="28"/>
  <c r="W36" i="28"/>
  <c r="H36" i="28"/>
  <c r="F12" i="40"/>
  <c r="D16" i="40"/>
  <c r="E11" i="42"/>
  <c r="K36" i="28"/>
  <c r="U39" i="28"/>
  <c r="I13" i="41" s="1"/>
  <c r="N38" i="28"/>
  <c r="W37" i="28"/>
  <c r="F35" i="32"/>
  <c r="L35" i="32"/>
  <c r="F15" i="41"/>
  <c r="F16" i="40" s="1"/>
  <c r="U35" i="32"/>
  <c r="AH37" i="27"/>
  <c r="AD36" i="27"/>
  <c r="K198" i="38"/>
  <c r="K74" i="38"/>
  <c r="K19" i="38"/>
  <c r="K32" i="38"/>
  <c r="S34" i="34"/>
  <c r="M34" i="34"/>
  <c r="V34" i="34"/>
  <c r="P34" i="34"/>
  <c r="J34" i="34"/>
  <c r="F14" i="42"/>
  <c r="H14" i="41"/>
  <c r="H14" i="42"/>
  <c r="E14" i="41"/>
  <c r="G14" i="42"/>
  <c r="I14" i="42"/>
  <c r="E14" i="42"/>
  <c r="J39" i="28"/>
  <c r="E13" i="42" s="1"/>
  <c r="K37" i="28"/>
  <c r="Q37" i="28"/>
  <c r="L39" i="28"/>
  <c r="H38" i="28"/>
  <c r="O35" i="32"/>
  <c r="H16" i="40"/>
  <c r="G16" i="40"/>
  <c r="I16" i="40"/>
  <c r="R33" i="31"/>
  <c r="O33" i="31"/>
  <c r="F33" i="31"/>
  <c r="I33" i="31"/>
  <c r="F33" i="30"/>
  <c r="G13" i="40"/>
  <c r="H13" i="40"/>
  <c r="U33" i="30"/>
  <c r="D12" i="40"/>
  <c r="D14" i="42"/>
  <c r="D16" i="42" s="1"/>
  <c r="F13" i="41"/>
  <c r="F39" i="28"/>
  <c r="H39" i="28" s="1"/>
  <c r="M39" i="28"/>
  <c r="F13" i="42" s="1"/>
  <c r="P39" i="28"/>
  <c r="G13" i="42" s="1"/>
  <c r="X37" i="27"/>
  <c r="Y36" i="27"/>
  <c r="AC37" i="27"/>
  <c r="D9" i="41"/>
  <c r="D10" i="40" s="1"/>
  <c r="K220" i="38"/>
  <c r="K185" i="38"/>
  <c r="K48" i="38"/>
  <c r="E13" i="40"/>
  <c r="D13" i="40"/>
  <c r="H12" i="40"/>
  <c r="E12" i="40"/>
  <c r="I12" i="40"/>
  <c r="F16" i="39"/>
  <c r="J16" i="39" s="1"/>
  <c r="I16" i="39"/>
  <c r="AI35" i="27"/>
  <c r="AA37" i="27"/>
  <c r="O35" i="27"/>
  <c r="I9" i="41"/>
  <c r="I10" i="40" s="1"/>
  <c r="V37" i="27"/>
  <c r="E9" i="42"/>
  <c r="G37" i="27"/>
  <c r="J37" i="27" s="1"/>
  <c r="T35" i="27"/>
  <c r="G9" i="41"/>
  <c r="G10" i="40" s="1"/>
  <c r="S37" i="27"/>
  <c r="AE37" i="27"/>
  <c r="Y35" i="27"/>
  <c r="U37" i="27"/>
  <c r="D10" i="41"/>
  <c r="D11" i="40" s="1"/>
  <c r="AF37" i="27"/>
  <c r="F37" i="27"/>
  <c r="L37" i="27"/>
  <c r="O37" i="27" s="1"/>
  <c r="T36" i="27"/>
  <c r="AD35" i="27"/>
  <c r="Z37" i="27"/>
  <c r="Q37" i="27"/>
  <c r="H9" i="41"/>
  <c r="H10" i="40" s="1"/>
  <c r="AI36" i="27"/>
  <c r="O36" i="27"/>
  <c r="F10" i="40"/>
  <c r="Q38" i="28"/>
  <c r="D19" i="40"/>
  <c r="D18" i="41"/>
  <c r="L33" i="30"/>
  <c r="L33" i="31"/>
  <c r="F12" i="41"/>
  <c r="I12" i="42"/>
  <c r="U33" i="31"/>
  <c r="R33" i="30"/>
  <c r="O39" i="28"/>
  <c r="T36" i="28"/>
  <c r="S39" i="28"/>
  <c r="H13" i="42" s="1"/>
  <c r="V39" i="28"/>
  <c r="I13" i="42" s="1"/>
  <c r="W38" i="28"/>
  <c r="I14" i="41"/>
  <c r="G11" i="42"/>
  <c r="O33" i="30"/>
  <c r="J200" i="38"/>
  <c r="H18" i="41"/>
  <c r="R33" i="43"/>
  <c r="H19" i="40"/>
  <c r="R39" i="28"/>
  <c r="F33" i="43"/>
  <c r="I35" i="32"/>
  <c r="E15" i="41"/>
  <c r="E16" i="40" s="1"/>
  <c r="I200" i="38"/>
  <c r="K61" i="38"/>
  <c r="AI37" i="27" l="1"/>
  <c r="K39" i="28"/>
  <c r="W39" i="28"/>
  <c r="D13" i="41"/>
  <c r="D14" i="40" s="1"/>
  <c r="K200" i="38"/>
  <c r="F16" i="42"/>
  <c r="E15" i="40"/>
  <c r="H15" i="40"/>
  <c r="I15" i="40"/>
  <c r="I14" i="40"/>
  <c r="Y37" i="27"/>
  <c r="E16" i="42"/>
  <c r="G14" i="41"/>
  <c r="G15" i="40" s="1"/>
  <c r="H16" i="42"/>
  <c r="N39" i="28"/>
  <c r="F14" i="40"/>
  <c r="AD37" i="27"/>
  <c r="I16" i="42"/>
  <c r="I13" i="40"/>
  <c r="E10" i="40"/>
  <c r="T37" i="27"/>
  <c r="F13" i="40"/>
  <c r="G13" i="41"/>
  <c r="Q39" i="28"/>
  <c r="D14" i="41"/>
  <c r="D15" i="40" s="1"/>
  <c r="G16" i="42"/>
  <c r="G12" i="40"/>
  <c r="T39" i="28"/>
  <c r="H13" i="41"/>
  <c r="E16" i="41"/>
  <c r="F14" i="41"/>
  <c r="F15" i="40" s="1"/>
  <c r="I16" i="41"/>
  <c r="D17" i="40" l="1"/>
  <c r="E17" i="40"/>
  <c r="I17" i="40"/>
  <c r="D16" i="41"/>
  <c r="G14" i="40"/>
  <c r="G17" i="40" s="1"/>
  <c r="G16" i="41"/>
  <c r="F17" i="40"/>
  <c r="H14" i="40"/>
  <c r="H17" i="40" s="1"/>
  <c r="H16" i="41"/>
  <c r="F16" i="41"/>
</calcChain>
</file>

<file path=xl/sharedStrings.xml><?xml version="1.0" encoding="utf-8"?>
<sst xmlns="http://schemas.openxmlformats.org/spreadsheetml/2006/main" count="645" uniqueCount="357">
  <si>
    <t xml:space="preserve"> Nombre</t>
  </si>
  <si>
    <t xml:space="preserve"> Código
 Recurso</t>
  </si>
  <si>
    <t>TOTAL</t>
  </si>
  <si>
    <t xml:space="preserve"> Titulación</t>
  </si>
  <si>
    <t>Coste/Gasto TOTAL</t>
  </si>
  <si>
    <t>2.2 COLABORACIONES EXTERNAS</t>
  </si>
  <si>
    <t>Coste/Gasto I+D</t>
  </si>
  <si>
    <t>Coste/Gasto
I+D</t>
  </si>
  <si>
    <t>Coste/Gasto
TOTAL</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</si>
  <si>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</si>
  <si>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</si>
  <si>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</si>
  <si>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</si>
  <si>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</si>
  <si>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</si>
  <si>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</si>
  <si>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</si>
  <si>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</si>
  <si>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</si>
  <si>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</si>
  <si>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</si>
  <si>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</si>
  <si>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</si>
  <si>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</si>
  <si>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</si>
  <si>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</si>
  <si>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</si>
  <si>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</si>
  <si>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</si>
  <si>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</si>
  <si>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</si>
  <si>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</si>
  <si>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</si>
  <si>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</si>
  <si>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</si>
  <si>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</si>
  <si>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</si>
  <si>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</si>
  <si>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</si>
  <si>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</si>
  <si>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</si>
  <si>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</si>
  <si>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</si>
  <si>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</si>
  <si>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</si>
  <si>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</si>
  <si>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</si>
  <si>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</si>
  <si>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</si>
  <si>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</si>
  <si>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</si>
  <si>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</si>
  <si>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</si>
  <si>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</si>
  <si>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</si>
  <si>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</si>
  <si>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8.1</t>
  </si>
  <si>
    <t>8.2</t>
  </si>
  <si>
    <t>8.3</t>
  </si>
  <si>
    <t>8.4</t>
  </si>
  <si>
    <t>8.5</t>
  </si>
  <si>
    <t>8.6</t>
  </si>
  <si>
    <t>8.7</t>
  </si>
  <si>
    <t>8.8</t>
  </si>
  <si>
    <t>8.9</t>
  </si>
  <si>
    <t>8.10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</si>
  <si>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</si>
  <si>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</si>
  <si>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</si>
  <si>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</si>
  <si>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</si>
  <si>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</si>
  <si>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</si>
  <si>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</si>
  <si>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</si>
  <si>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</si>
  <si>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</si>
  <si>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</si>
  <si>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</si>
  <si>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</si>
  <si>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</si>
  <si>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</si>
  <si>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2.3 AMORTIZACIÓN DE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</si>
  <si>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</si>
  <si>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</si>
  <si>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</si>
  <si>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</si>
  <si>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</si>
  <si>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</si>
  <si>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</si>
  <si>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</si>
  <si>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</si>
  <si>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</si>
  <si>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</si>
  <si>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</si>
  <si>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</si>
  <si>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</si>
  <si>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</si>
  <si>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</si>
  <si>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</si>
  <si>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</si>
  <si>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</si>
  <si>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</si>
  <si>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</si>
  <si>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</si>
  <si>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</si>
  <si>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</si>
  <si>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</si>
  <si>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</si>
  <si>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</si>
  <si>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</si>
  <si>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</si>
  <si>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</si>
  <si>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</si>
  <si>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</si>
  <si>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</si>
  <si>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</si>
  <si>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</si>
  <si>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</si>
  <si>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</si>
  <si>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</si>
  <si>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</si>
  <si>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</si>
  <si>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</si>
  <si>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</si>
  <si>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</si>
  <si>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</si>
  <si>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</si>
  <si>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Nº DE EXPEDIENTE (INFORME MOTIVADO):</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</si>
  <si>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</si>
  <si>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</si>
  <si>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</si>
  <si>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</si>
  <si>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</si>
  <si>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</si>
  <si>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</si>
  <si>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una de las entidades colaboradoras, se cumplimentará/n su/s correspondiente/s Ficha/s de ampliación del apartado 2.2 y el resto de Fichas "adicionales" cuando proceda.</t>
  </si>
  <si>
    <t xml:space="preserve"> Código
Colaboración</t>
  </si>
  <si>
    <t>Horas
imputadas
IT</t>
  </si>
  <si>
    <t>Coste/Gasto
IT</t>
  </si>
  <si>
    <r>
      <t xml:space="preserve">1- Debe entregarse un único documento PDF que incluya, por lo menos, todas las Hojas del Formulario </t>
    </r>
    <r>
      <rPr>
        <u/>
        <sz val="10"/>
        <rFont val="Arial"/>
        <family val="2"/>
      </rPr>
      <t>donde se hayan introducido datos</t>
    </r>
    <r>
      <rPr>
        <sz val="10"/>
        <rFont val="Arial"/>
        <family val="2"/>
      </rPr>
      <t xml:space="preserve">. Las Hojas deben presentarse en el orden establecido en esta plantilla. </t>
    </r>
    <r>
      <rPr>
        <u/>
        <sz val="10"/>
        <rFont val="Arial"/>
        <family val="2"/>
      </rPr>
      <t>La primera página del PDF debe ser la Hoja 'Datos solicitud' con los datos de la solicitante. No agregue al documento PDF resultante otras páginas diferentes a las expuestas en este Formulario</t>
    </r>
    <r>
      <rPr>
        <sz val="10"/>
        <rFont val="Arial"/>
        <family val="2"/>
      </rPr>
      <t xml:space="preserve">. No es necesario que la presente Hoja con instrucciones se incluya en el PDF resultante que ha de entregarse, pero, si se muestra, debe ser escalada ajustando la hoja en una única página. </t>
    </r>
    <r>
      <rPr>
        <u/>
        <sz val="10"/>
        <rFont val="Arial"/>
        <family val="2"/>
      </rPr>
      <t>Deben seguirse</t>
    </r>
    <r>
      <rPr>
        <sz val="10"/>
        <rFont val="Arial"/>
        <family val="2"/>
      </rPr>
      <t xml:space="preserve"> las instrucciones concretas marcadas en fuente roja que se exponen al inicio de algunas de las Hojas del Formulario. Las Hojas 'I+D' e 'IT' deberán ser incluidas en función de la calificación que haya sido consignada en las Hojas restantes. La Hoja 'TOTAL' debe ser incluida obligatoriamente en todos los casos.
2- Para solicitudes tipo 'A' es </t>
    </r>
    <r>
      <rPr>
        <u/>
        <sz val="10"/>
        <rFont val="Arial"/>
        <family val="2"/>
      </rPr>
      <t>obligatorio</t>
    </r>
    <r>
      <rPr>
        <sz val="10"/>
        <rFont val="Arial"/>
        <family val="2"/>
      </rPr>
      <t xml:space="preserve"> incluir la Hoja con la “Ficha de desviaciones” y describir aquellas desviaciones que sean superiores al 20%. Así mismo, para solicitudes tipo 'A' es </t>
    </r>
    <r>
      <rPr>
        <u/>
        <sz val="10"/>
        <rFont val="Arial"/>
        <family val="2"/>
      </rPr>
      <t>obligatorio</t>
    </r>
    <r>
      <rPr>
        <sz val="10"/>
        <rFont val="Arial"/>
        <family val="2"/>
      </rPr>
      <t xml:space="preserve"> incluir la Hoja con el Listado de documentos justificativos de los gastos correctamente cumplimentado en cada fila/celda (incluso para los Formularios "adicionales" que deben presentarse en solicitudes de AIEs).
3- En cada Hoja, deben añadirse tantas filas como se consideren necesarias. En cada fila añadida deben reproducirse las Fórmulas existentes en la Hoja para que se efectúen los cálculos automáticos. No deben realizarse modificaciones en las Fórmulas. Debe respetarse la estructura general del Formulario. No elimine las Filas que no utilice, deje en blanco las que no considere oportunas.
4- Los gastos reflejados en cada una de las Hojas deben guardar correspondencia entre sí. A su vez, los gastos mostrados en el presente Formulario deben coincidir con </t>
    </r>
    <r>
      <rPr>
        <u/>
        <sz val="10"/>
        <rFont val="Arial"/>
        <family val="2"/>
      </rPr>
      <t>los 'Gastos Presentados/Presupuestados'</t>
    </r>
    <r>
      <rPr>
        <sz val="10"/>
        <rFont val="Arial"/>
        <family val="2"/>
      </rPr>
      <t xml:space="preserve"> que se muestren en el 'Informe Técnico de la EC' y en el 'Informe Técnico XSIG (XML)' que deben acompañar a su Solicitud. Es decir, deben mostrarse los valores de los gastos presentados a Certificación, no los gastos resultantes de dicha Certificación (salvo que sean idénticos). De igual forma, los gastos mostrados deben coincidir con </t>
    </r>
    <r>
      <rPr>
        <u/>
        <sz val="10"/>
        <rFont val="Arial"/>
        <family val="2"/>
      </rPr>
      <t>los 'Gastos Presentados/Presupuestados'</t>
    </r>
    <r>
      <rPr>
        <sz val="10"/>
        <rFont val="Arial"/>
        <family val="2"/>
      </rPr>
      <t xml:space="preserve"> que se muestren en la Memoria Técnica/Económica.
5-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
6- Los datos del Ejercicio fiscal y del Título del proyecto </t>
    </r>
    <r>
      <rPr>
        <u/>
        <sz val="10"/>
        <rFont val="Arial"/>
        <family val="2"/>
      </rPr>
      <t>deben responder con exactitud a lo asociado a la solicitud de informe motivado.</t>
    </r>
    <r>
      <rPr>
        <sz val="10"/>
        <rFont val="Arial"/>
        <family val="2"/>
      </rPr>
      <t xml:space="preserve"> El Título </t>
    </r>
    <r>
      <rPr>
        <u/>
        <sz val="10"/>
        <rFont val="Arial"/>
        <family val="2"/>
      </rPr>
      <t>no puede superar los 100 caracteres.</t>
    </r>
    <r>
      <rPr>
        <sz val="10"/>
        <rFont val="Arial"/>
        <family val="2"/>
      </rPr>
      <t xml:space="preserve">
7- Debe respetarse la estructura y el formato del documento. El contenido descriptivo de cada línea de gasto ha de ser reflejado </t>
    </r>
    <r>
      <rPr>
        <u/>
        <sz val="10"/>
        <rFont val="Arial"/>
        <family val="2"/>
      </rPr>
      <t>obligatoriamente</t>
    </r>
    <r>
      <rPr>
        <sz val="10"/>
        <rFont val="Arial"/>
        <family val="2"/>
      </rPr>
      <t xml:space="preserve"> en Castellano, incluyendo los campos 'Concepto' y 'Titulación' del 'Listado de los documentos justificativos...'. No se admite incluir más de 400 caracteres en cada uno de los campos del Formulario. Si se incluyen más de 400 caracteres el documento no se considerará válido.
8-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
9- Al transformar el documento en PDF se debe asegurar que el contenido incluido en las celdas no se oculta en la transformación, ya que, en dicho caso, el documento no se considerará válido. Si es necesario se pueden separar las Filas de una tabla en diferentes páginas, pero NO se admite separar las Columnas de una misma tabla en diferentes páginas. Verifique que, para cada tabla, se muestran todas las columnas.
10- En caso de tratarse de un Formulario "adicional", en el campo "Razón social entidad", a la </t>
    </r>
    <r>
      <rPr>
        <u/>
        <sz val="10"/>
        <rFont val="Arial"/>
        <family val="2"/>
      </rPr>
      <t>derecha del dato de la AIE solicitante, se debe reflejar entre paréntesis</t>
    </r>
    <r>
      <rPr>
        <sz val="10"/>
        <rFont val="Arial"/>
        <family val="2"/>
      </rPr>
      <t>, la Razón Social de la entidad subcontratada de la que se aporta el Formulario "adicional".</t>
    </r>
  </si>
  <si>
    <t xml:space="preserve"> - Para cada una de las personas participantes en el proyecto, se cumplimentará su correspondiente Ficha de ampliación del apartado 2.1.</t>
  </si>
  <si>
    <t>Amortización de Elementos de Inmovilizado Material e Intangible (Concepto específico detallado)</t>
  </si>
  <si>
    <r>
      <t xml:space="preserve"> - Para anualidades no finalizadas</t>
    </r>
    <r>
      <rPr>
        <b/>
        <u/>
        <sz val="11"/>
        <color rgb="FFFF0000"/>
        <rFont val="Arial"/>
        <family val="2"/>
      </rPr>
      <t xml:space="preserve"> en la fecha de la entrega del documento</t>
    </r>
    <r>
      <rPr>
        <b/>
        <sz val="11"/>
        <color rgb="FFFF0000"/>
        <rFont val="Arial"/>
        <family val="2"/>
      </rPr>
      <t>, si aún no se conocen los datos concretos de una persona, en el campo "Nombre y apellidos" se reflejará el "Perfil profesional". También aplica para solicitudes registradas por una AGRUPACIÓN DE INTERÉS ECONÓMICO (AIE), para personas participantes en el proyecto de una colaboradora de “segundo nivel” o sucesivos.</t>
    </r>
  </si>
  <si>
    <t>Inversión en Elementos de Inmovilizado Material e Intangible (Concepto específico detallado)</t>
  </si>
  <si>
    <t>Nombre y Apellidos</t>
  </si>
  <si>
    <t>Razón Social de Entidad Colaboradora</t>
  </si>
  <si>
    <t>Material Fungible (Concepto específico detallado)</t>
  </si>
  <si>
    <t xml:space="preserve"> - En la columna 'Excl I+D`se indicará si se trata o no de un investigador adscrito en exclusiva a I+D.</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</si>
  <si>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la entidad colaboradora, en el campo "Razón social" se reflejarán los trabajos/actividades principales que va a acometer.</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</si>
  <si>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"Amortización"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</si>
  <si>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de inmovilizado, en el campo "Inversión" se reflejarán los trabajos/actividades principales para los que va a ser empleado.</t>
    </r>
  </si>
  <si>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material, en el campo "Material fungible" se reflejarán los trabajos/actividades principales para los que va a ser empleado.</t>
    </r>
  </si>
  <si>
    <t xml:space="preserve"> - Por cada una de las partidas correspondientes a un mismo proveedor o un concepto, cuya suma sea superior a 30.000 €, se cumplimentará/n su/s correspondiente/s Ficha/s de ampliación del apartado 2.4.</t>
  </si>
  <si>
    <t>Otros Gastos (Concepto específico detallado)</t>
  </si>
  <si>
    <r>
      <t xml:space="preserve"> - Para anualidades no finalizadas </t>
    </r>
    <r>
      <rPr>
        <b/>
        <u/>
        <sz val="11"/>
        <color rgb="FFFF0000"/>
        <rFont val="Arial"/>
        <family val="2"/>
      </rPr>
      <t>en la fecha de la entrega del documento</t>
    </r>
    <r>
      <rPr>
        <b/>
        <sz val="11"/>
        <color rgb="FFFF0000"/>
        <rFont val="Arial"/>
        <family val="2"/>
      </rPr>
      <t>, si aún no se conocen los datos específicos de un elemento considerado como “otros gastos”, en el campo "Otros gastos" se reflejarán los trabajos/actividades principales para los que va a ser empleado.</t>
    </r>
  </si>
  <si>
    <t xml:space="preserve"> - Dentro de la partida de “Otros gastos” solo se pueden incluir aquellos conceptos que por su naturaleza NO puedan ser encuadrados en ninguna de las partidas restantes habilitadas. No es admisible consignar en esta partida costes de conceptos que puedan ser atribuibles a otras partidas.</t>
  </si>
  <si>
    <t>ORANGE ESPAGNE S.A.U</t>
  </si>
  <si>
    <t>NTT DATA SPAIN SL</t>
  </si>
  <si>
    <t>B82387770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</si>
  <si>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</si>
  <si>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</si>
  <si>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</si>
  <si>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</si>
  <si>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</si>
  <si>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</si>
  <si>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</si>
  <si>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</si>
  <si>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</si>
  <si>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</si>
  <si>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</si>
  <si>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</si>
  <si>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</si>
  <si>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</si>
  <si>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</si>
  <si>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</si>
  <si>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</si>
  <si>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</si>
  <si>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</si>
  <si>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</si>
  <si>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</si>
  <si>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</si>
  <si>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</si>
  <si>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</si>
  <si>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</si>
  <si>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</si>
  <si>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</si>
  <si>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</si>
  <si>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</si>
  <si>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</si>
  <si>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</si>
  <si>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</si>
  <si>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</si>
  <si>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</si>
  <si>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</si>
  <si>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</si>
  <si>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</si>
  <si>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</si>
  <si>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</si>
  <si>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</si>
  <si>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</si>
  <si>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</si>
  <si>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</si>
  <si>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</si>
  <si>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</si>
  <si>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</si>
  <si>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</si>
  <si>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</si>
  <si>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</si>
  <si>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</si>
  <si>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</si>
  <si>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</si>
  <si>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</si>
  <si>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</si>
  <si>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</si>
  <si>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</si>
  <si>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</si>
  <si>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</si>
  <si>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</si>
  <si>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</si>
  <si>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</si>
  <si>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</si>
  <si>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</si>
  <si>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</si>
  <si>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</si>
  <si>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</si>
  <si>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</si>
  <si>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</si>
  <si>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</si>
  <si>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</si>
  <si>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</si>
  <si>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</si>
  <si>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</si>
  <si>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</si>
  <si>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</si>
  <si>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</si>
  <si>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</si>
  <si>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</si>
  <si>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</si>
  <si>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</si>
  <si>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</si>
  <si>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</si>
  <si>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</si>
  <si>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</si>
  <si>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</si>
  <si>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</si>
  <si>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</si>
  <si>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</si>
  <si>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</si>
  <si>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8.100</t>
  </si>
  <si>
    <t>8.101</t>
  </si>
  <si>
    <t>8.102</t>
  </si>
  <si>
    <t>8.103</t>
  </si>
  <si>
    <t>8.104</t>
  </si>
  <si>
    <t>8.105</t>
  </si>
  <si>
    <t>8.106</t>
  </si>
  <si>
    <t>8.107</t>
  </si>
  <si>
    <t>8.108</t>
  </si>
  <si>
    <t>INFORMÁTICA</t>
  </si>
  <si>
    <t>IDC-RNT-CCRR</t>
  </si>
  <si>
    <t>DAVID GARRIDO ANDRES</t>
  </si>
  <si>
    <t>DESARROLLO DE SISTEMA ESHOP DIGITAL MEDIANTE ARQUITECTURA AVANZADA PARA EXPERIENCIAS MULTIMARCA</t>
  </si>
  <si>
    <t>TOTAL PERSONAL 2021</t>
  </si>
  <si>
    <t>CRISTINA BAYON VALTIERRA</t>
  </si>
  <si>
    <t>MARIA LUISA SANTIAGO CHIQUERO</t>
  </si>
  <si>
    <t>SILVIA VAZQUEZ INSAUSTI</t>
  </si>
  <si>
    <t>FÍSICAS</t>
  </si>
  <si>
    <t>MATEMÁTICAS</t>
  </si>
  <si>
    <t>TOTAL COLABORACIONES 2021</t>
  </si>
  <si>
    <t>ALTRAN INNOVACION, S.L.U.</t>
  </si>
  <si>
    <t>B80428972</t>
  </si>
  <si>
    <t>D-MOBILELAB SPAIN SA</t>
  </si>
  <si>
    <t>A82303017</t>
  </si>
  <si>
    <t>INDRA SOLUCIONES TECNOLOGIAS DE LA INFORMACIÓN, S.L.U.</t>
  </si>
  <si>
    <t>B88018098</t>
  </si>
  <si>
    <t>METODOS Y TECNOLOGIA DE SISTEMAS Y PROCESOS, S.L.</t>
  </si>
  <si>
    <t>B81758344</t>
  </si>
  <si>
    <t>SALESFORCE SYSTEMS SPAIN, S.L.</t>
  </si>
  <si>
    <t>B84495449</t>
  </si>
  <si>
    <t>A000051389008934</t>
  </si>
  <si>
    <t>SGIT-CAR Pruebas SQA Agile B2 Q122 IVR</t>
  </si>
  <si>
    <t>A000051389008867</t>
  </si>
  <si>
    <t>A000051389008760</t>
  </si>
  <si>
    <t>2022/00171</t>
  </si>
  <si>
    <t>SGIT-CARRIL 01 B1 PRUEBAS SQA CAR P</t>
  </si>
  <si>
    <t>2022/00303</t>
  </si>
  <si>
    <t>SGIT-CARRIL Q1 81 PRUEBAS SQA CAR P</t>
  </si>
  <si>
    <t>2022/00590</t>
  </si>
  <si>
    <t>SGIT-CAR Pruebas SQA 83 Q2·22 CP, CFC</t>
  </si>
  <si>
    <t>2022/00787</t>
  </si>
  <si>
    <t>SGIT·CAR Pruebas SQA B3 Q2 22 CP, CFC</t>
  </si>
  <si>
    <t>2022/00883</t>
  </si>
  <si>
    <t>SGIT-CAR Pruebas SQA B3 Q2 22 CP-CFC</t>
  </si>
  <si>
    <t>905512686</t>
  </si>
  <si>
    <t>TRID-UX DIGITAL FASE 111 ORANGE H2</t>
  </si>
  <si>
    <t>2022/01028</t>
  </si>
  <si>
    <t>SGIT-CAR Pruebas SQA B2 Q3 22 PANGE</t>
  </si>
  <si>
    <t>2022/01030</t>
  </si>
  <si>
    <t>GIT-CAR Pruebas SQA(Movil) 81 Q322 y IVR</t>
  </si>
  <si>
    <t>2022/01084</t>
  </si>
  <si>
    <t>SGIT-CAR Pruebas SQA B3 Q3 22 CP-CFC</t>
  </si>
  <si>
    <t>905513891</t>
  </si>
  <si>
    <t>2022/01121</t>
  </si>
  <si>
    <t>2022/01123</t>
  </si>
  <si>
    <t>SGIT-CAR Pruebas SQA B6 03 22 PANG</t>
  </si>
  <si>
    <t>2022/01133</t>
  </si>
  <si>
    <t>SGIT-CAR Pruebas SQA(Movil) B1 Q322</t>
  </si>
  <si>
    <t>2022/01244</t>
  </si>
  <si>
    <t>SGIT-CAR Pruebas SQA 82 Q3 22 PANGE</t>
  </si>
  <si>
    <t>905515887</t>
  </si>
  <si>
    <t>2022/01333</t>
  </si>
  <si>
    <t>2022/01334</t>
  </si>
  <si>
    <t>905517955</t>
  </si>
  <si>
    <t>2022/01492</t>
  </si>
  <si>
    <t>SGIT-CAR Pruebas SQA 83 Q3 22 CP-CFC</t>
  </si>
  <si>
    <t>2022/01496</t>
  </si>
  <si>
    <t>MK-PRJ-5472 PRUEBAS SQA</t>
  </si>
  <si>
    <t>2022/01432</t>
  </si>
  <si>
    <t>07/11/2022</t>
  </si>
  <si>
    <t>MK-PRI-5845 PRUEBAS SQA TF</t>
  </si>
  <si>
    <t>2022/00440</t>
  </si>
  <si>
    <t>18/04/2022</t>
  </si>
  <si>
    <t>SGIT-CARRIL Q1 B1 PRUEBAS SQA CAR P</t>
  </si>
  <si>
    <t>DV2022.2037</t>
  </si>
  <si>
    <t>30/06/2022</t>
  </si>
  <si>
    <t>TRID-Teleweb A/B Test ChatBOT + C2C H122</t>
  </si>
  <si>
    <t>905515885</t>
  </si>
  <si>
    <t>10/10/2022</t>
  </si>
  <si>
    <t>TRID-UX DIGITAL SPRINT JZ OP# 0181 Según acta de aceptación : 5003860716</t>
  </si>
  <si>
    <t>739422629380</t>
  </si>
  <si>
    <t>09/08/2022</t>
  </si>
  <si>
    <t>TRID-MINSAIT SSPP H2 2022 NO CARRIL</t>
  </si>
  <si>
    <t>A000051389009183</t>
  </si>
  <si>
    <t>01/07/2022</t>
  </si>
  <si>
    <t>SGIT-CAR mShop Tienda B8 Q2 22 CD
SGIT-CAR mShop Tienda B8 Q2 22 CD
SGIT-CAR mShop Tienda B8 Q2 22 CD
SGIT-CAR mShop Tienda B8 Q2 22 CD
SGIT-CAR mShop Tienda B8 Q2 22 CD
SGIT-CAR mShop Tienda B8 Q2 22 CD</t>
  </si>
  <si>
    <t>739422643015</t>
  </si>
  <si>
    <t>14/11/2022</t>
  </si>
  <si>
    <t>DV2022.1720</t>
  </si>
  <si>
    <t>31/05/2022</t>
  </si>
  <si>
    <t>A000051389008937</t>
  </si>
  <si>
    <t>06/04/2022</t>
  </si>
  <si>
    <t>SGIT-CAR mShop Tienda B4 Q122 CDI
SGIT-CAR mShop Tienda B4 Q122 CDI
SGIT-CAR CITA EXPERTO OSP B4 Q122 DRA</t>
  </si>
  <si>
    <t>739422648083</t>
  </si>
  <si>
    <t>07/12/2022</t>
  </si>
  <si>
    <t>739422637413</t>
  </si>
  <si>
    <t>06/10/2022</t>
  </si>
  <si>
    <t>A000051389008763</t>
  </si>
  <si>
    <t>10/02/2022</t>
  </si>
  <si>
    <t>739422638400</t>
  </si>
  <si>
    <t>17/10/2022</t>
  </si>
  <si>
    <t>DV2022.1517</t>
  </si>
  <si>
    <t>12/05/2022</t>
  </si>
  <si>
    <t>A000051389008870</t>
  </si>
  <si>
    <t>10/03/2022</t>
  </si>
  <si>
    <t>24639002</t>
  </si>
  <si>
    <t>30/12/2022</t>
  </si>
  <si>
    <t>Salesforce Expertise Hours - B2C Commerce
Salesforce Expertise Hours - B2C Commerce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</si>
</sst>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3"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0"/>
      <name val="Arial"/>
      <family val="2"/>
    </font>
    <font>
      <b/>
      <u/>
      <sz val="11"/>
      <color rgb="FFFF000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4">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cellStyleXfs>
  <cellXfs count="310">
    <xf numFmtId="0" fontId="0" fillId="0" borderId="0" xfId="0"/>
    <xf numFmtId="0" fontId="10" fillId="0" borderId="0" xfId="0" applyFont="1"/>
    <xf numFmtId="0" fontId="10" fillId="0" borderId="0" xfId="0" applyFont="1" applyAlignment="1">
      <alignment vertical="center"/>
    </xf>
    <xf numFmtId="169" fontId="10" fillId="0" borderId="1" xfId="0" applyNumberFormat="1" applyFont="1" applyBorder="1" applyAlignment="1">
      <alignment horizontal="right" vertical="center" wrapText="1"/>
    </xf>
    <xf numFmtId="169" fontId="10" fillId="2" borderId="1" xfId="0" applyNumberFormat="1" applyFont="1" applyFill="1" applyBorder="1" applyAlignment="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wrapText="1"/>
    </xf>
    <xf numFmtId="0" fontId="7" fillId="0" borderId="0" xfId="0" applyFont="1" applyAlignment="1">
      <alignment vertical="center" wrapText="1"/>
    </xf>
    <xf numFmtId="0" fontId="8" fillId="0" borderId="0" xfId="0" applyFont="1" applyAlignment="1">
      <alignment vertical="center"/>
    </xf>
    <xf numFmtId="0" fontId="3" fillId="0" borderId="0" xfId="0" applyFont="1" applyAlignment="1">
      <alignment vertical="center"/>
    </xf>
    <xf numFmtId="0" fontId="9" fillId="0" borderId="0" xfId="0" applyFont="1" applyAlignment="1">
      <alignment horizontal="center" vertical="center"/>
    </xf>
    <xf numFmtId="0" fontId="9"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textRotation="90" wrapText="1"/>
    </xf>
    <xf numFmtId="0" fontId="4" fillId="0" borderId="0" xfId="0" applyFont="1" applyAlignment="1">
      <alignment vertical="center"/>
    </xf>
    <xf numFmtId="0" fontId="5" fillId="0" borderId="0" xfId="0" applyFont="1" applyAlignment="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170" fontId="8" fillId="0" borderId="15"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lignment horizontal="right" vertical="center"/>
    </xf>
    <xf numFmtId="165" fontId="3" fillId="2" borderId="12" xfId="0" applyNumberFormat="1" applyFont="1" applyFill="1" applyBorder="1" applyAlignment="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lignment horizontal="right" vertical="center"/>
    </xf>
    <xf numFmtId="165" fontId="7" fillId="2" borderId="6" xfId="0" applyNumberFormat="1" applyFont="1" applyFill="1" applyBorder="1" applyAlignment="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11" fillId="0" borderId="0" xfId="0" applyFont="1" applyAlignment="1">
      <alignment horizontal="left" vertical="center"/>
    </xf>
    <xf numFmtId="165" fontId="4" fillId="0" borderId="26" xfId="0" applyNumberFormat="1" applyFont="1" applyBorder="1" applyAlignment="1">
      <alignment horizontal="right" vertical="center"/>
    </xf>
    <xf numFmtId="165" fontId="4" fillId="0" borderId="29" xfId="0" applyNumberFormat="1" applyFont="1" applyBorder="1" applyAlignment="1">
      <alignment horizontal="right" vertical="center"/>
    </xf>
    <xf numFmtId="165" fontId="4" fillId="0" borderId="30" xfId="0" applyNumberFormat="1" applyFont="1" applyBorder="1" applyAlignment="1">
      <alignment horizontal="right" vertical="center"/>
    </xf>
    <xf numFmtId="0" fontId="4" fillId="0" borderId="0" xfId="0" applyFont="1" applyAlignment="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lignment horizontal="right" vertical="center"/>
    </xf>
    <xf numFmtId="168" fontId="4" fillId="0" borderId="26" xfId="0" applyNumberFormat="1" applyFont="1" applyBorder="1" applyAlignment="1">
      <alignment horizontal="right" vertical="center"/>
    </xf>
    <xf numFmtId="0" fontId="3" fillId="0" borderId="34" xfId="0"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lignment horizontal="right" vertical="center"/>
    </xf>
    <xf numFmtId="165" fontId="3" fillId="0" borderId="29" xfId="0" applyNumberFormat="1" applyFont="1" applyBorder="1" applyAlignment="1">
      <alignment horizontal="right" vertical="center"/>
    </xf>
    <xf numFmtId="165" fontId="4" fillId="0" borderId="41" xfId="0" applyNumberFormat="1" applyFont="1" applyBorder="1" applyAlignment="1">
      <alignment horizontal="right" vertical="center"/>
    </xf>
    <xf numFmtId="176" fontId="3" fillId="0" borderId="17"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Alignment="1">
      <alignment horizontal="center" vertical="center"/>
    </xf>
    <xf numFmtId="0" fontId="20" fillId="0" borderId="0" xfId="0" applyFont="1" applyAlignment="1">
      <alignment horizontal="left" vertical="center"/>
    </xf>
    <xf numFmtId="0" fontId="4" fillId="0" borderId="0" xfId="0" applyFont="1" applyAlignment="1">
      <alignment horizontal="center" vertical="center" wrapText="1"/>
    </xf>
    <xf numFmtId="0" fontId="4" fillId="0" borderId="22" xfId="0" applyFont="1" applyBorder="1" applyAlignment="1">
      <alignment vertical="center" wrapText="1"/>
    </xf>
    <xf numFmtId="0" fontId="0" fillId="0" borderId="22" xfId="0" applyBorder="1" applyAlignment="1">
      <alignment vertical="center"/>
    </xf>
    <xf numFmtId="0" fontId="4" fillId="0" borderId="0" xfId="0" applyFont="1" applyAlignment="1">
      <alignment vertical="center" wrapText="1"/>
    </xf>
    <xf numFmtId="0" fontId="13" fillId="0" borderId="0" xfId="0" applyFont="1" applyAlignment="1">
      <alignment vertical="center"/>
    </xf>
    <xf numFmtId="0" fontId="14" fillId="0" borderId="0" xfId="0" applyFont="1"/>
    <xf numFmtId="0" fontId="12" fillId="0" borderId="0" xfId="0" applyFont="1" applyAlignment="1">
      <alignment horizontal="left" vertical="center"/>
    </xf>
    <xf numFmtId="0" fontId="15" fillId="0" borderId="0" xfId="0" applyFont="1" applyAlignment="1">
      <alignment vertical="center"/>
    </xf>
    <xf numFmtId="165" fontId="4" fillId="3" borderId="29" xfId="0" applyNumberFormat="1" applyFont="1" applyFill="1" applyBorder="1" applyAlignment="1">
      <alignment horizontal="right" vertical="center"/>
    </xf>
    <xf numFmtId="2" fontId="4" fillId="0" borderId="31" xfId="0" applyNumberFormat="1" applyFont="1" applyBorder="1" applyAlignment="1">
      <alignment horizontal="right" vertical="center"/>
    </xf>
    <xf numFmtId="2" fontId="4" fillId="0" borderId="44" xfId="0" applyNumberFormat="1" applyFont="1" applyBorder="1" applyAlignment="1">
      <alignment horizontal="right"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lignment vertical="center"/>
    </xf>
    <xf numFmtId="2" fontId="4" fillId="0" borderId="43" xfId="0" applyNumberFormat="1" applyFont="1" applyBorder="1" applyAlignment="1">
      <alignment horizontal="right" vertical="center"/>
    </xf>
    <xf numFmtId="165" fontId="4" fillId="0" borderId="43" xfId="0" applyNumberFormat="1" applyFont="1" applyBorder="1" applyAlignment="1">
      <alignment horizontal="right" vertical="center"/>
    </xf>
    <xf numFmtId="2" fontId="4" fillId="0" borderId="24" xfId="0" applyNumberFormat="1" applyFont="1" applyBorder="1" applyAlignment="1">
      <alignment horizontal="right" vertical="center"/>
    </xf>
    <xf numFmtId="165" fontId="4" fillId="0" borderId="1" xfId="0" applyNumberFormat="1" applyFont="1" applyBorder="1" applyAlignment="1">
      <alignment vertical="center"/>
    </xf>
    <xf numFmtId="164" fontId="4" fillId="4" borderId="1" xfId="0" applyNumberFormat="1" applyFont="1" applyFill="1" applyBorder="1" applyAlignment="1">
      <alignment horizontal="center" vertical="center"/>
    </xf>
    <xf numFmtId="165" fontId="4" fillId="2" borderId="1" xfId="0" applyNumberFormat="1" applyFont="1" applyFill="1" applyBorder="1" applyAlignment="1">
      <alignment horizontal="right" vertical="center"/>
    </xf>
    <xf numFmtId="165" fontId="4" fillId="0" borderId="45" xfId="0" applyNumberFormat="1" applyFont="1" applyBorder="1" applyAlignment="1">
      <alignment horizontal="right" vertical="center"/>
    </xf>
    <xf numFmtId="165" fontId="4" fillId="0" borderId="46" xfId="0" applyNumberFormat="1" applyFont="1" applyBorder="1" applyAlignment="1">
      <alignment vertical="center"/>
    </xf>
    <xf numFmtId="2" fontId="4" fillId="0" borderId="46" xfId="0" applyNumberFormat="1" applyFont="1" applyBorder="1" applyAlignment="1">
      <alignment horizontal="right" vertical="center"/>
    </xf>
    <xf numFmtId="165" fontId="4" fillId="0" borderId="46" xfId="0" applyNumberFormat="1" applyFont="1" applyBorder="1" applyAlignment="1">
      <alignment horizontal="right" vertical="center"/>
    </xf>
    <xf numFmtId="165" fontId="4" fillId="0" borderId="47" xfId="0" applyNumberFormat="1" applyFont="1" applyBorder="1" applyAlignment="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Border="1" applyAlignment="1">
      <alignment horizontal="right" vertical="center" wrapText="1"/>
    </xf>
    <xf numFmtId="164" fontId="4" fillId="0" borderId="0" xfId="0" applyNumberFormat="1" applyFont="1" applyAlignment="1">
      <alignment vertical="center"/>
    </xf>
    <xf numFmtId="14" fontId="16" fillId="0" borderId="0" xfId="0" applyNumberFormat="1" applyFont="1" applyAlignment="1">
      <alignment horizontal="center" vertical="center"/>
    </xf>
    <xf numFmtId="14" fontId="17" fillId="0" borderId="0" xfId="0" applyNumberFormat="1" applyFont="1" applyAlignment="1">
      <alignment horizontal="center"/>
    </xf>
    <xf numFmtId="0" fontId="18" fillId="0" borderId="0" xfId="0" applyFont="1" applyAlignment="1">
      <alignment vertical="center"/>
    </xf>
    <xf numFmtId="0" fontId="7" fillId="0" borderId="0" xfId="0" applyFont="1" applyAlignment="1">
      <alignment horizontal="left"/>
    </xf>
    <xf numFmtId="0" fontId="10" fillId="0" borderId="0" xfId="0" applyFont="1" applyAlignment="1">
      <alignment horizontal="left" vertical="center"/>
    </xf>
    <xf numFmtId="0" fontId="10" fillId="0" borderId="0" xfId="0" applyFont="1" applyAlignment="1">
      <alignment horizontal="center" vertical="center"/>
    </xf>
    <xf numFmtId="0" fontId="19" fillId="0" borderId="0" xfId="0" applyFont="1" applyAlignment="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lignment vertical="center"/>
    </xf>
    <xf numFmtId="0" fontId="4" fillId="0" borderId="0" xfId="0" applyFont="1" applyAlignment="1">
      <alignment horizontal="left" vertical="center"/>
    </xf>
    <xf numFmtId="14" fontId="4" fillId="5" borderId="1" xfId="0" applyNumberFormat="1" applyFont="1" applyFill="1" applyBorder="1" applyAlignment="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41" xfId="0" applyFont="1" applyFill="1" applyBorder="1" applyAlignment="1">
      <alignment horizontal="center" vertical="center" wrapText="1"/>
    </xf>
    <xf numFmtId="164" fontId="4" fillId="5" borderId="7" xfId="0" applyNumberFormat="1" applyFont="1" applyFill="1" applyBorder="1" applyAlignment="1">
      <alignment vertical="center"/>
    </xf>
    <xf numFmtId="164" fontId="4" fillId="5" borderId="28" xfId="0" applyNumberFormat="1" applyFont="1" applyFill="1" applyBorder="1" applyAlignment="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10" xfId="0" applyFont="1" applyFill="1" applyBorder="1" applyAlignment="1">
      <alignment horizontal="center" vertical="center" wrapText="1"/>
    </xf>
    <xf numFmtId="164" fontId="4" fillId="5" borderId="6" xfId="0" applyNumberFormat="1" applyFont="1" applyFill="1" applyBorder="1" applyAlignment="1">
      <alignment horizontal="center" vertical="center"/>
    </xf>
    <xf numFmtId="0" fontId="4" fillId="5" borderId="11" xfId="0" applyFont="1" applyFill="1" applyBorder="1" applyAlignment="1">
      <alignment horizontal="center" vertical="center" wrapText="1"/>
    </xf>
    <xf numFmtId="0" fontId="11" fillId="5" borderId="1" xfId="0" applyFont="1" applyFill="1" applyBorder="1" applyAlignment="1">
      <alignment horizontal="center" vertical="center" wrapText="1"/>
    </xf>
    <xf numFmtId="169" fontId="11" fillId="5" borderId="1" xfId="0" applyNumberFormat="1" applyFont="1" applyFill="1" applyBorder="1" applyAlignment="1">
      <alignment horizontal="right" vertical="center" wrapText="1"/>
    </xf>
    <xf numFmtId="0" fontId="11" fillId="5" borderId="7" xfId="0" applyFont="1" applyFill="1" applyBorder="1" applyAlignment="1">
      <alignment horizontal="center" vertical="center" wrapText="1"/>
    </xf>
    <xf numFmtId="0" fontId="11" fillId="5" borderId="28" xfId="0" applyFont="1" applyFill="1" applyBorder="1" applyAlignment="1">
      <alignment horizontal="center" vertical="center" wrapText="1"/>
    </xf>
    <xf numFmtId="0" fontId="11" fillId="5" borderId="7" xfId="0" applyFont="1" applyFill="1" applyBorder="1" applyAlignment="1">
      <alignment horizontal="left" vertical="center" wrapText="1"/>
    </xf>
    <xf numFmtId="0" fontId="11" fillId="5" borderId="26" xfId="0" applyFont="1" applyFill="1" applyBorder="1" applyAlignment="1">
      <alignment horizontal="center" vertical="center" wrapText="1"/>
    </xf>
    <xf numFmtId="0" fontId="11" fillId="5" borderId="27" xfId="0" applyFont="1" applyFill="1" applyBorder="1" applyAlignment="1">
      <alignment horizontal="center" vertical="center" wrapText="1"/>
    </xf>
    <xf numFmtId="0" fontId="11" fillId="5" borderId="6" xfId="0" applyFont="1" applyFill="1" applyBorder="1" applyAlignment="1">
      <alignment horizontal="center" vertical="center" wrapText="1"/>
    </xf>
    <xf numFmtId="0" fontId="11" fillId="5" borderId="51" xfId="0" applyFont="1" applyFill="1" applyBorder="1" applyAlignment="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lignment horizontal="center" vertical="center" wrapText="1"/>
    </xf>
    <xf numFmtId="167" fontId="4" fillId="5" borderId="7" xfId="0" applyNumberFormat="1" applyFont="1" applyFill="1" applyBorder="1" applyAlignment="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lignment horizontal="right" vertical="center"/>
    </xf>
    <xf numFmtId="168" fontId="4" fillId="0" borderId="27" xfId="0" applyNumberFormat="1" applyFont="1" applyBorder="1" applyAlignment="1">
      <alignment horizontal="right" vertical="center"/>
    </xf>
    <xf numFmtId="168" fontId="4" fillId="0" borderId="66" xfId="0" applyNumberFormat="1" applyFont="1" applyBorder="1" applyAlignment="1">
      <alignment horizontal="right" vertical="center"/>
    </xf>
    <xf numFmtId="0" fontId="3" fillId="0" borderId="17" xfId="0" applyFont="1" applyBorder="1" applyAlignment="1" applyProtection="1">
      <alignment horizontal="left" vertical="center"/>
      <protection locked="0"/>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lignment horizontal="left" vertical="center"/>
    </xf>
    <xf numFmtId="0" fontId="3" fillId="0" borderId="0" xfId="0" applyFont="1" applyAlignment="1">
      <alignment horizontal="left" vertical="center"/>
    </xf>
    <xf numFmtId="0" fontId="11" fillId="5" borderId="25" xfId="0" applyFont="1" applyFill="1" applyBorder="1" applyAlignment="1">
      <alignment horizontal="center" vertical="center" wrapText="1"/>
    </xf>
    <xf numFmtId="0" fontId="4" fillId="0" borderId="0" xfId="0" applyFont="1" applyAlignment="1">
      <alignment horizontal="right" vertical="center"/>
    </xf>
    <xf numFmtId="177" fontId="3" fillId="0" borderId="24" xfId="0" applyNumberFormat="1" applyFont="1" applyBorder="1" applyAlignment="1" applyProtection="1">
      <alignment horizontal="right" vertical="center" wrapText="1"/>
      <protection locked="0"/>
    </xf>
    <xf numFmtId="165" fontId="3" fillId="0" borderId="1" xfId="0" applyNumberFormat="1" applyFont="1" applyBorder="1" applyAlignment="1" applyProtection="1">
      <alignment horizontal="right" vertical="center" wrapText="1"/>
      <protection locked="0"/>
    </xf>
    <xf numFmtId="165" fontId="3" fillId="0" borderId="33" xfId="0" applyNumberFormat="1" applyFont="1" applyBorder="1" applyAlignment="1">
      <alignment horizontal="right" vertical="center"/>
    </xf>
    <xf numFmtId="165" fontId="3" fillId="0" borderId="37" xfId="0" applyNumberFormat="1" applyFont="1" applyBorder="1" applyAlignment="1">
      <alignment horizontal="right" vertical="center"/>
    </xf>
    <xf numFmtId="165" fontId="3" fillId="3" borderId="32" xfId="0" applyNumberFormat="1" applyFont="1" applyFill="1" applyBorder="1" applyAlignment="1">
      <alignment horizontal="right" vertical="center"/>
    </xf>
    <xf numFmtId="0" fontId="1" fillId="0" borderId="17" xfId="0" applyFont="1" applyBorder="1" applyAlignment="1">
      <alignment horizontal="center" vertical="center"/>
    </xf>
    <xf numFmtId="176" fontId="11" fillId="0" borderId="3" xfId="0" applyNumberFormat="1" applyFont="1" applyBorder="1" applyAlignment="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178" fontId="10" fillId="0" borderId="17" xfId="1" applyNumberFormat="1" applyFont="1" applyBorder="1" applyAlignment="1" applyProtection="1">
      <alignment horizontal="right" vertical="center" wrapText="1"/>
    </xf>
    <xf numFmtId="0" fontId="1" fillId="0" borderId="14" xfId="0" applyFont="1" applyBorder="1" applyAlignment="1">
      <alignment horizontal="center" vertical="center"/>
    </xf>
    <xf numFmtId="176" fontId="11" fillId="0" borderId="5" xfId="0" applyNumberFormat="1" applyFont="1" applyBorder="1" applyAlignment="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lignment horizontal="center" vertical="center"/>
    </xf>
    <xf numFmtId="176" fontId="11" fillId="0" borderId="4" xfId="0" applyNumberFormat="1" applyFont="1" applyBorder="1" applyAlignment="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1" fillId="0" borderId="0" xfId="0" applyFont="1" applyAlignment="1">
      <alignment horizontal="left" vertical="center" wrapText="1"/>
    </xf>
    <xf numFmtId="0" fontId="20" fillId="0" borderId="0" xfId="0" applyFont="1" applyAlignment="1">
      <alignment vertical="center" wrapText="1"/>
    </xf>
    <xf numFmtId="0" fontId="3" fillId="0" borderId="1" xfId="0" applyFont="1" applyBorder="1" applyAlignment="1" applyProtection="1">
      <alignment horizontal="center" vertical="center" wrapText="1"/>
      <protection locked="0"/>
    </xf>
    <xf numFmtId="176" fontId="3" fillId="0" borderId="3" xfId="0" applyNumberFormat="1" applyFont="1" applyBorder="1" applyAlignment="1" applyProtection="1">
      <alignment horizontal="center" vertical="center" wrapText="1"/>
      <protection locked="0"/>
    </xf>
    <xf numFmtId="0" fontId="4" fillId="5" borderId="6" xfId="0" applyFont="1" applyFill="1" applyBorder="1" applyAlignment="1">
      <alignment horizontal="left" vertical="center"/>
    </xf>
    <xf numFmtId="0" fontId="4" fillId="5" borderId="28" xfId="0" applyFont="1" applyFill="1" applyBorder="1" applyAlignment="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lignment horizontal="left" vertical="center"/>
    </xf>
    <xf numFmtId="0" fontId="4" fillId="5" borderId="52" xfId="0" applyFont="1" applyFill="1" applyBorder="1" applyAlignment="1">
      <alignment horizontal="left" vertical="center"/>
    </xf>
    <xf numFmtId="0" fontId="4" fillId="5" borderId="55" xfId="0" applyFont="1" applyFill="1" applyBorder="1" applyAlignment="1">
      <alignment horizontal="left" vertical="center"/>
    </xf>
    <xf numFmtId="0" fontId="4" fillId="5" borderId="53" xfId="0" applyFont="1" applyFill="1" applyBorder="1" applyAlignment="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20" fillId="0" borderId="0" xfId="0" applyFont="1" applyAlignment="1">
      <alignment horizontal="left" vertical="center" wrapText="1"/>
    </xf>
    <xf numFmtId="0" fontId="4" fillId="5" borderId="7" xfId="0" applyFont="1" applyFill="1" applyBorder="1" applyAlignment="1">
      <alignment horizontal="center" vertical="center"/>
    </xf>
    <xf numFmtId="164" fontId="4" fillId="5" borderId="34" xfId="0" applyNumberFormat="1" applyFont="1" applyFill="1" applyBorder="1" applyAlignment="1">
      <alignment horizontal="left" vertical="center"/>
    </xf>
    <xf numFmtId="164" fontId="4" fillId="5" borderId="3" xfId="0" applyNumberFormat="1" applyFont="1" applyFill="1" applyBorder="1" applyAlignment="1">
      <alignment horizontal="left" vertical="center"/>
    </xf>
    <xf numFmtId="164" fontId="4" fillId="5" borderId="49" xfId="0" applyNumberFormat="1" applyFont="1" applyFill="1" applyBorder="1" applyAlignment="1">
      <alignment horizontal="left" vertical="center"/>
    </xf>
    <xf numFmtId="164" fontId="4" fillId="5" borderId="50" xfId="0" applyNumberFormat="1" applyFont="1" applyFill="1" applyBorder="1" applyAlignment="1">
      <alignment horizontal="left" vertical="center"/>
    </xf>
    <xf numFmtId="0" fontId="4" fillId="5" borderId="51"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52" xfId="0" applyFont="1" applyFill="1" applyBorder="1" applyAlignment="1">
      <alignment horizontal="center" vertical="center" wrapText="1"/>
    </xf>
    <xf numFmtId="0" fontId="4" fillId="5" borderId="53" xfId="0" applyFont="1" applyFill="1" applyBorder="1" applyAlignment="1">
      <alignment horizontal="center" vertical="center" wrapText="1"/>
    </xf>
    <xf numFmtId="164" fontId="4" fillId="5" borderId="6" xfId="0" applyNumberFormat="1" applyFont="1" applyFill="1" applyBorder="1" applyAlignment="1">
      <alignment horizontal="left" vertical="center" wrapText="1"/>
    </xf>
    <xf numFmtId="164" fontId="4" fillId="5" borderId="25" xfId="0" applyNumberFormat="1" applyFont="1" applyFill="1" applyBorder="1" applyAlignment="1">
      <alignment horizontal="left" vertical="center" wrapText="1"/>
    </xf>
    <xf numFmtId="164" fontId="4" fillId="5" borderId="28" xfId="0" applyNumberFormat="1" applyFont="1" applyFill="1" applyBorder="1" applyAlignment="1">
      <alignment horizontal="left" vertical="center" wrapText="1"/>
    </xf>
    <xf numFmtId="0" fontId="4" fillId="0" borderId="0" xfId="0" applyFont="1" applyAlignment="1">
      <alignment horizontal="left" vertical="center" wrapText="1"/>
    </xf>
    <xf numFmtId="0" fontId="4" fillId="5" borderId="6" xfId="0" applyFont="1" applyFill="1" applyBorder="1" applyAlignment="1">
      <alignment horizontal="center" vertical="center"/>
    </xf>
    <xf numFmtId="0" fontId="4" fillId="5" borderId="25" xfId="0" applyFont="1" applyFill="1" applyBorder="1" applyAlignment="1">
      <alignment horizontal="center" vertical="center"/>
    </xf>
    <xf numFmtId="0" fontId="4" fillId="5" borderId="28" xfId="0" applyFont="1" applyFill="1" applyBorder="1" applyAlignment="1">
      <alignment horizontal="center" vertical="center"/>
    </xf>
    <xf numFmtId="0" fontId="4" fillId="5" borderId="54" xfId="0" applyFont="1" applyFill="1" applyBorder="1" applyAlignment="1">
      <alignment horizontal="center" vertical="center" wrapText="1"/>
    </xf>
    <xf numFmtId="0" fontId="4" fillId="5" borderId="55" xfId="0" applyFont="1" applyFill="1" applyBorder="1" applyAlignment="1">
      <alignment horizontal="center" vertical="center" wrapText="1"/>
    </xf>
    <xf numFmtId="164" fontId="4" fillId="5" borderId="6" xfId="0" applyNumberFormat="1" applyFont="1" applyFill="1" applyBorder="1" applyAlignment="1">
      <alignment horizontal="left" vertical="center"/>
    </xf>
    <xf numFmtId="164" fontId="4" fillId="5" borderId="28" xfId="0" applyNumberFormat="1" applyFont="1" applyFill="1" applyBorder="1" applyAlignment="1">
      <alignment horizontal="left" vertical="center"/>
    </xf>
    <xf numFmtId="0" fontId="7" fillId="0" borderId="0" xfId="0" applyFont="1" applyAlignment="1">
      <alignment horizontal="center" vertical="center"/>
    </xf>
    <xf numFmtId="0" fontId="4" fillId="5" borderId="54" xfId="13" applyFont="1" applyFill="1" applyBorder="1" applyAlignment="1">
      <alignment horizontal="center" vertical="center" wrapText="1"/>
    </xf>
    <xf numFmtId="0" fontId="4" fillId="5" borderId="55" xfId="13" applyFont="1" applyFill="1" applyBorder="1" applyAlignment="1">
      <alignment horizontal="center" vertical="center" wrapText="1"/>
    </xf>
    <xf numFmtId="0" fontId="3" fillId="0" borderId="0" xfId="0" applyFont="1" applyAlignment="1">
      <alignment horizontal="left" vertical="center"/>
    </xf>
    <xf numFmtId="0" fontId="11" fillId="5" borderId="1" xfId="0" applyFont="1" applyFill="1" applyBorder="1" applyAlignment="1">
      <alignment vertical="center" wrapText="1"/>
    </xf>
    <xf numFmtId="0" fontId="14" fillId="0" borderId="0" xfId="0" applyFont="1" applyAlignment="1">
      <alignment horizontal="left"/>
    </xf>
    <xf numFmtId="0" fontId="6" fillId="0" borderId="1" xfId="0" applyFont="1" applyBorder="1" applyAlignment="1">
      <alignment vertical="center" wrapText="1"/>
    </xf>
    <xf numFmtId="0" fontId="4" fillId="5" borderId="20" xfId="0" applyFont="1" applyFill="1" applyBorder="1" applyAlignment="1">
      <alignment vertical="center" wrapText="1"/>
    </xf>
    <xf numFmtId="0" fontId="4" fillId="5" borderId="22" xfId="0" applyFont="1" applyFill="1" applyBorder="1" applyAlignment="1">
      <alignment vertical="center" wrapText="1"/>
    </xf>
    <xf numFmtId="0" fontId="0" fillId="5" borderId="22" xfId="0" applyFill="1" applyBorder="1" applyAlignment="1">
      <alignment vertical="center"/>
    </xf>
    <xf numFmtId="0" fontId="0" fillId="5" borderId="21" xfId="0" applyFill="1" applyBorder="1" applyAlignment="1">
      <alignment vertical="center"/>
    </xf>
    <xf numFmtId="0" fontId="4" fillId="0" borderId="0" xfId="0" applyFont="1" applyAlignment="1">
      <alignment horizontal="center" vertical="center" wrapText="1"/>
    </xf>
    <xf numFmtId="0" fontId="4" fillId="5" borderId="1" xfId="0" applyFont="1" applyFill="1" applyBorder="1" applyAlignment="1">
      <alignment vertical="center" wrapText="1"/>
    </xf>
    <xf numFmtId="0" fontId="0" fillId="5" borderId="1" xfId="0" applyFill="1" applyBorder="1" applyAlignment="1">
      <alignment vertical="center"/>
    </xf>
    <xf numFmtId="0" fontId="7" fillId="0" borderId="0" xfId="0" applyFont="1" applyAlignment="1">
      <alignment horizontal="left" vertical="center"/>
    </xf>
    <xf numFmtId="0" fontId="11" fillId="5" borderId="51" xfId="0" applyFont="1" applyFill="1" applyBorder="1" applyAlignment="1">
      <alignment horizontal="center" vertical="center"/>
    </xf>
    <xf numFmtId="0" fontId="11" fillId="5" borderId="56" xfId="0" applyFont="1" applyFill="1" applyBorder="1" applyAlignment="1">
      <alignment horizontal="center" vertical="center"/>
    </xf>
    <xf numFmtId="0" fontId="11" fillId="5" borderId="6" xfId="0" applyFont="1" applyFill="1" applyBorder="1" applyAlignment="1">
      <alignment horizontal="left" vertical="center" wrapText="1"/>
    </xf>
    <xf numFmtId="0" fontId="11" fillId="5" borderId="25" xfId="0" applyFont="1" applyFill="1" applyBorder="1" applyAlignment="1">
      <alignment horizontal="left" vertical="center" wrapText="1"/>
    </xf>
    <xf numFmtId="0" fontId="11" fillId="5" borderId="54" xfId="0" applyFont="1" applyFill="1" applyBorder="1" applyAlignment="1">
      <alignment horizontal="center" vertical="center" wrapText="1"/>
    </xf>
    <xf numFmtId="0" fontId="11" fillId="5" borderId="57" xfId="0" applyFont="1" applyFill="1" applyBorder="1" applyAlignment="1">
      <alignment horizontal="center" vertical="center" wrapText="1"/>
    </xf>
    <xf numFmtId="0" fontId="11" fillId="5" borderId="52" xfId="0" applyFont="1" applyFill="1" applyBorder="1" applyAlignment="1">
      <alignment horizontal="center" vertical="center" wrapText="1"/>
    </xf>
    <xf numFmtId="0" fontId="11" fillId="5" borderId="25" xfId="0" applyFont="1" applyFill="1" applyBorder="1" applyAlignment="1">
      <alignment horizontal="center" vertical="center" wrapText="1"/>
    </xf>
    <xf numFmtId="175" fontId="8" fillId="0" borderId="24" xfId="0" applyNumberFormat="1" applyFont="1" applyBorder="1" applyAlignment="1" applyProtection="1">
      <alignment horizontal="center" vertical="center"/>
      <protection locked="0"/>
    </xf>
    <xf numFmtId="175" fontId="8" fillId="0" borderId="45" xfId="0" applyNumberFormat="1" applyFont="1" applyBorder="1" applyAlignment="1" applyProtection="1">
      <alignment horizontal="center" vertical="center"/>
      <protection locked="0"/>
    </xf>
    <xf numFmtId="0" fontId="4" fillId="0" borderId="7" xfId="0" applyFont="1" applyBorder="1" applyAlignment="1">
      <alignment horizontal="center" vertical="center" wrapText="1"/>
    </xf>
    <xf numFmtId="0" fontId="0" fillId="0" borderId="7" xfId="0" applyBorder="1" applyAlignment="1">
      <alignment horizontal="center" vertical="center" wrapText="1"/>
    </xf>
    <xf numFmtId="0" fontId="4" fillId="5" borderId="6" xfId="0" applyFont="1" applyFill="1" applyBorder="1" applyAlignment="1">
      <alignment horizontal="left" vertical="center" wrapText="1"/>
    </xf>
    <xf numFmtId="0" fontId="0" fillId="5" borderId="25" xfId="0" applyFill="1" applyBorder="1" applyAlignment="1">
      <alignment horizontal="left" vertical="center" wrapText="1"/>
    </xf>
    <xf numFmtId="0" fontId="0" fillId="5" borderId="28" xfId="0" applyFill="1" applyBorder="1" applyAlignment="1">
      <alignment horizontal="left" vertical="center" wrapText="1"/>
    </xf>
    <xf numFmtId="0" fontId="8" fillId="0" borderId="6" xfId="0" applyFont="1" applyBorder="1" applyAlignment="1">
      <alignment horizontal="center" vertical="center" wrapText="1"/>
    </xf>
    <xf numFmtId="0" fontId="8" fillId="0" borderId="28" xfId="0" applyFont="1" applyBorder="1" applyAlignment="1">
      <alignment horizontal="center" vertical="center" wrapText="1"/>
    </xf>
    <xf numFmtId="0" fontId="0" fillId="5" borderId="25" xfId="0" applyFill="1" applyBorder="1" applyAlignment="1">
      <alignment vertical="center"/>
    </xf>
    <xf numFmtId="0" fontId="0" fillId="5" borderId="28" xfId="0" applyFill="1" applyBorder="1" applyAlignment="1">
      <alignment vertical="center"/>
    </xf>
    <xf numFmtId="0" fontId="4" fillId="5" borderId="25" xfId="0" applyFont="1" applyFill="1" applyBorder="1" applyAlignment="1">
      <alignment horizontal="left" vertical="center" wrapText="1"/>
    </xf>
    <xf numFmtId="0" fontId="4" fillId="5" borderId="28" xfId="0" applyFont="1" applyFill="1" applyBorder="1" applyAlignment="1">
      <alignment horizontal="left" vertical="center" wrapText="1"/>
    </xf>
    <xf numFmtId="0" fontId="4" fillId="5" borderId="25" xfId="0" applyFont="1" applyFill="1" applyBorder="1" applyAlignment="1">
      <alignment horizontal="left" vertical="center"/>
    </xf>
    <xf numFmtId="0" fontId="4" fillId="5" borderId="57" xfId="0" applyFont="1" applyFill="1" applyBorder="1" applyAlignment="1">
      <alignment horizontal="center" vertical="center" wrapText="1"/>
    </xf>
    <xf numFmtId="0" fontId="4" fillId="5" borderId="59" xfId="0" applyFont="1" applyFill="1" applyBorder="1" applyAlignment="1">
      <alignment horizontal="center" vertical="center" wrapText="1"/>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4" fillId="5" borderId="7" xfId="0" applyFont="1" applyFill="1" applyBorder="1" applyAlignment="1">
      <alignment horizontal="center" vertical="center" wrapText="1"/>
    </xf>
    <xf numFmtId="0" fontId="0" fillId="5" borderId="7" xfId="0" applyFill="1" applyBorder="1" applyAlignment="1">
      <alignment horizontal="center" vertical="center" wrapText="1"/>
    </xf>
    <xf numFmtId="170" fontId="7" fillId="2" borderId="55" xfId="0" applyNumberFormat="1" applyFont="1" applyFill="1" applyBorder="1" applyAlignment="1">
      <alignment horizontal="left" vertical="center"/>
    </xf>
    <xf numFmtId="170" fontId="7" fillId="2" borderId="59" xfId="0" applyNumberFormat="1" applyFont="1" applyFill="1" applyBorder="1" applyAlignment="1">
      <alignment horizontal="left" vertical="center"/>
    </xf>
    <xf numFmtId="170" fontId="7" fillId="2" borderId="25" xfId="0" applyNumberFormat="1" applyFont="1" applyFill="1" applyBorder="1" applyAlignment="1">
      <alignment horizontal="left" vertical="center"/>
    </xf>
    <xf numFmtId="170" fontId="7" fillId="2" borderId="28" xfId="0" applyNumberFormat="1" applyFont="1" applyFill="1" applyBorder="1" applyAlignment="1">
      <alignment horizontal="left" vertical="center"/>
    </xf>
    <xf numFmtId="0" fontId="7" fillId="5" borderId="51"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0" fillId="5" borderId="25" xfId="0" applyFill="1" applyBorder="1" applyAlignment="1">
      <alignment horizontal="left" vertical="center"/>
    </xf>
    <xf numFmtId="0" fontId="0" fillId="5" borderId="57" xfId="0" applyFill="1" applyBorder="1" applyAlignment="1">
      <alignment horizontal="left" vertical="center"/>
    </xf>
    <xf numFmtId="0" fontId="0" fillId="5" borderId="28" xfId="0" applyFill="1" applyBorder="1" applyAlignment="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171" fontId="8" fillId="0" borderId="49" xfId="0" applyNumberFormat="1" applyFont="1" applyBorder="1" applyAlignment="1" applyProtection="1">
      <alignment horizontal="center" vertical="center"/>
      <protection locked="0"/>
    </xf>
    <xf numFmtId="171" fontId="8" fillId="0" borderId="50" xfId="0" applyNumberFormat="1" applyFont="1" applyBorder="1" applyAlignment="1" applyProtection="1">
      <alignment horizontal="center" vertical="center"/>
      <protection locked="0"/>
    </xf>
    <xf numFmtId="0" fontId="4" fillId="5" borderId="7" xfId="0" applyFont="1" applyFill="1" applyBorder="1" applyAlignment="1">
      <alignment horizontal="left" vertical="center" wrapText="1"/>
    </xf>
    <xf numFmtId="0" fontId="0" fillId="5" borderId="7" xfId="0" applyFill="1" applyBorder="1" applyAlignment="1">
      <alignment horizontal="left" vertical="center" wrapText="1"/>
    </xf>
    <xf numFmtId="0" fontId="4" fillId="0" borderId="6" xfId="0" applyFont="1" applyBorder="1" applyAlignment="1">
      <alignment horizontal="center" vertical="center" wrapText="1"/>
    </xf>
    <xf numFmtId="0" fontId="0" fillId="0" borderId="25" xfId="0" applyBorder="1" applyAlignment="1">
      <alignment horizontal="center" vertical="center" wrapText="1"/>
    </xf>
    <xf numFmtId="0" fontId="0" fillId="0" borderId="28" xfId="0" applyBorder="1" applyAlignment="1">
      <alignment horizontal="center" vertical="center" wrapText="1"/>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cellXfs>
  <cellStyles count="14">
    <cellStyle name="Euro" xfId="1" xr:uid="{00000000-0005-0000-0000-000000000000}"/>
    <cellStyle name="Euro 10" xfId="2" xr:uid="{00000000-0005-0000-0000-000001000000}"/>
    <cellStyle name="Euro 11" xfId="3" xr:uid="{00000000-0005-0000-0000-000002000000}"/>
    <cellStyle name="Euro 12" xfId="4" xr:uid="{00000000-0005-0000-0000-000003000000}"/>
    <cellStyle name="Euro 2" xfId="5" xr:uid="{00000000-0005-0000-0000-000004000000}"/>
    <cellStyle name="Euro 3" xfId="6" xr:uid="{00000000-0005-0000-0000-000005000000}"/>
    <cellStyle name="Euro 4" xfId="7" xr:uid="{00000000-0005-0000-0000-000006000000}"/>
    <cellStyle name="Euro 5" xfId="8" xr:uid="{00000000-0005-0000-0000-000007000000}"/>
    <cellStyle name="Euro 6" xfId="9" xr:uid="{00000000-0005-0000-0000-000008000000}"/>
    <cellStyle name="Euro 7" xfId="10" xr:uid="{00000000-0005-0000-0000-000009000000}"/>
    <cellStyle name="Euro 8" xfId="11" xr:uid="{00000000-0005-0000-0000-00000A000000}"/>
    <cellStyle name="Euro 9" xfId="12" xr:uid="{00000000-0005-0000-0000-00000B000000}"/>
    <cellStyle name="Normal" xfId="0" builtinId="0"/>
    <cellStyle name="Normal 2" xfId="13" xr:uid="{00000000-0005-0000-0000-00000D000000}"/>
  </cellStyles>
  <dxfs count="2">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617220</xdr:colOff>
      <xdr:row>0</xdr:row>
      <xdr:rowOff>777765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a:extLst>
            <a:ext uri="{FF2B5EF4-FFF2-40B4-BE49-F238E27FC236}">
              <a16:creationId xmlns:a16="http://schemas.microsoft.com/office/drawing/2014/main" id="{00000000-0008-0000-08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A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a:extLst>
            <a:ext uri="{FF2B5EF4-FFF2-40B4-BE49-F238E27FC236}">
              <a16:creationId xmlns:a16="http://schemas.microsoft.com/office/drawing/2014/main" id="{00000000-0008-0000-0C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O18"/>
  <sheetViews>
    <sheetView showGridLines="0" zoomScale="75" zoomScaleNormal="75" workbookViewId="0">
      <pane xSplit="10" ySplit="17" topLeftCell="K18" activePane="bottomRight" state="frozen"/>
      <selection activeCell="C5" sqref="C5:D5"/>
      <selection pane="topRight" activeCell="C5" sqref="C5:D5"/>
      <selection pane="bottomLeft" activeCell="C5" sqref="C5:D5"/>
      <selection pane="bottomRight" activeCell="C43" sqref="C41:C43"/>
    </sheetView>
  </sheetViews>
  <sheetFormatPr baseColWidth="10" defaultColWidth="11.42578125" defaultRowHeight="14.25" x14ac:dyDescent="0.2"/>
  <cols>
    <col min="1" max="1" width="1.7109375" style="16" customWidth="1"/>
    <col min="2" max="2" width="14.7109375" style="16" customWidth="1"/>
    <col min="3" max="3" width="40.42578125" style="16" customWidth="1"/>
    <col min="4" max="4" width="1.85546875" style="16" customWidth="1"/>
    <col min="5" max="5" width="20.7109375" style="16" customWidth="1"/>
    <col min="6" max="8" width="22.28515625" style="16" customWidth="1"/>
    <col min="9" max="9" width="42.140625" style="16" customWidth="1"/>
    <col min="10" max="10" width="5.140625" style="16" customWidth="1"/>
    <col min="11" max="40" width="14.7109375" style="16" customWidth="1"/>
    <col min="41" max="16384" width="11.42578125" style="16"/>
  </cols>
  <sheetData>
    <row r="1" spans="2:15" ht="66.75" customHeight="1" x14ac:dyDescent="0.25">
      <c r="F1" s="119"/>
      <c r="G1" s="119"/>
      <c r="H1" s="119"/>
      <c r="J1" s="11"/>
      <c r="K1" s="11"/>
      <c r="L1" s="11"/>
      <c r="M1" s="11"/>
      <c r="N1" s="11"/>
      <c r="O1" s="11"/>
    </row>
    <row r="2" spans="2:15" x14ac:dyDescent="0.2">
      <c r="B2" s="116"/>
      <c r="C2" s="116"/>
      <c r="D2" s="116"/>
      <c r="E2" s="116"/>
    </row>
    <row r="3" spans="2:15" ht="18" x14ac:dyDescent="0.2">
      <c r="B3" s="122" t="s">
        <v>109</v>
      </c>
      <c r="C3" s="118"/>
      <c r="D3" s="118"/>
      <c r="E3" s="118"/>
    </row>
    <row r="4" spans="2:15" ht="17.25" thickBot="1" x14ac:dyDescent="0.25">
      <c r="B4" s="118"/>
      <c r="C4" s="118"/>
      <c r="D4" s="118"/>
      <c r="E4" s="118"/>
    </row>
    <row r="5" spans="2:15" ht="15.75" thickBot="1" x14ac:dyDescent="0.25">
      <c r="B5" s="193" t="s">
        <v>111</v>
      </c>
      <c r="C5" s="194"/>
      <c r="D5" s="21"/>
      <c r="E5" s="195" t="s">
        <v>157</v>
      </c>
      <c r="F5" s="196"/>
      <c r="G5" s="196"/>
      <c r="H5" s="196"/>
      <c r="I5" s="197"/>
    </row>
    <row r="6" spans="2:15" ht="15.75" thickBot="1" x14ac:dyDescent="0.25">
      <c r="B6" s="21"/>
      <c r="C6" s="21"/>
      <c r="D6" s="21"/>
      <c r="E6" s="21"/>
    </row>
    <row r="7" spans="2:15" ht="15" x14ac:dyDescent="0.2">
      <c r="B7" s="198" t="s">
        <v>110</v>
      </c>
      <c r="C7" s="199"/>
      <c r="D7" s="21"/>
      <c r="E7" s="202" t="s">
        <v>261</v>
      </c>
      <c r="F7" s="203"/>
      <c r="G7" s="203"/>
      <c r="H7" s="203"/>
      <c r="I7" s="204"/>
    </row>
    <row r="8" spans="2:15" ht="15.75" thickBot="1" x14ac:dyDescent="0.25">
      <c r="B8" s="200"/>
      <c r="C8" s="201"/>
      <c r="D8" s="21"/>
      <c r="E8" s="205"/>
      <c r="F8" s="206"/>
      <c r="G8" s="206"/>
      <c r="H8" s="206"/>
      <c r="I8" s="207"/>
    </row>
    <row r="9" spans="2:15" ht="15.75" thickBot="1" x14ac:dyDescent="0.25">
      <c r="B9" s="21"/>
      <c r="C9" s="21"/>
      <c r="D9" s="21"/>
      <c r="E9" s="21"/>
    </row>
    <row r="10" spans="2:15" ht="15.75" thickBot="1" x14ac:dyDescent="0.25">
      <c r="B10" s="193" t="s">
        <v>123</v>
      </c>
      <c r="C10" s="194"/>
      <c r="D10" s="127"/>
      <c r="E10" s="128" t="s">
        <v>121</v>
      </c>
      <c r="F10" s="124">
        <v>44562</v>
      </c>
      <c r="G10" s="128" t="s">
        <v>122</v>
      </c>
      <c r="H10" s="124">
        <v>44926</v>
      </c>
    </row>
    <row r="11" spans="2:15" ht="15.75" thickBot="1" x14ac:dyDescent="0.25">
      <c r="B11" s="21"/>
      <c r="C11" s="21"/>
      <c r="D11" s="21"/>
      <c r="E11" s="21"/>
    </row>
    <row r="12" spans="2:15" ht="15.75" thickBot="1" x14ac:dyDescent="0.25">
      <c r="B12" s="193" t="s">
        <v>113</v>
      </c>
      <c r="C12" s="194"/>
      <c r="D12" s="127"/>
      <c r="E12" s="123">
        <v>2021</v>
      </c>
    </row>
    <row r="13" spans="2:15" ht="15.75" thickBot="1" x14ac:dyDescent="0.25">
      <c r="B13" s="21"/>
      <c r="C13" s="21"/>
      <c r="D13" s="21"/>
      <c r="E13" s="21"/>
    </row>
    <row r="14" spans="2:15" ht="15.75" thickBot="1" x14ac:dyDescent="0.25">
      <c r="B14" s="193" t="s">
        <v>128</v>
      </c>
      <c r="C14" s="194"/>
      <c r="D14" s="127"/>
      <c r="E14" s="123"/>
    </row>
    <row r="15" spans="2:15" ht="15" x14ac:dyDescent="0.2">
      <c r="B15" s="21"/>
      <c r="C15" s="21"/>
      <c r="D15" s="21"/>
      <c r="E15" s="21"/>
    </row>
    <row r="16" spans="2:15" ht="15" x14ac:dyDescent="0.2">
      <c r="B16" s="21"/>
      <c r="C16" s="21"/>
      <c r="D16" s="21"/>
      <c r="E16" s="21"/>
    </row>
    <row r="17" spans="2:8" ht="15" x14ac:dyDescent="0.2">
      <c r="F17" s="87"/>
      <c r="G17" s="87"/>
      <c r="H17" s="87"/>
    </row>
    <row r="18" spans="2:8" ht="15" x14ac:dyDescent="0.2">
      <c r="B18" s="127"/>
      <c r="C18" s="127"/>
      <c r="D18" s="127"/>
      <c r="E18" s="127"/>
      <c r="F18" s="87"/>
      <c r="G18" s="87"/>
      <c r="H18" s="87"/>
    </row>
  </sheetData>
  <sheetProtection algorithmName="SHA-512" hashValue="UcIcilBFZao0bFEmv6sn37HKuGEVt4yt6jYF/da3rRauuFExFsCLk/c7vpfP6taQBuZnyvArPnnimdpFdzvyRA==" saltValue="S22WXEchO9IVe7g//aK1+A==" spinCount="100000" sheet="1" objects="1" scenarios="1"/>
  <protectedRanges>
    <protectedRange password="CC9E" sqref="F17:H18 F1:H1 B18:E18 A1:E2 A3:A18 F2:I11 J1:IX18 B3:E11 B12:I16" name="Rango2"/>
    <protectedRange password="CC9E" sqref="J1:O1 A19:IX65537 F17:H18 F1:H1 B18:E18 F2:L2 A1:E2 M17:IX18 J3:L18 A3:A18 M1:M16 N2:O16 P1:IX16 B3:I16" name="Rango1"/>
  </protectedRanges>
  <mergeCells count="7">
    <mergeCell ref="B14:C14"/>
    <mergeCell ref="B10:C10"/>
    <mergeCell ref="B12:C12"/>
    <mergeCell ref="E5:I5"/>
    <mergeCell ref="B7:C8"/>
    <mergeCell ref="E7:I8"/>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5"/>
  <sheetViews>
    <sheetView zoomScale="85" zoomScaleNormal="85" workbookViewId="0">
      <selection activeCell="B1" sqref="B1"/>
    </sheetView>
  </sheetViews>
  <sheetFormatPr baseColWidth="10" defaultColWidth="11.42578125" defaultRowHeight="14.25" x14ac:dyDescent="0.2"/>
  <cols>
    <col min="1" max="1" width="1.7109375" style="16" customWidth="1"/>
    <col min="2" max="2" width="255.7109375" style="16" customWidth="1"/>
    <col min="3" max="3" width="20.7109375" style="16" customWidth="1"/>
    <col min="4" max="6" width="22.28515625" style="16" customWidth="1"/>
    <col min="7" max="7" width="49.5703125" style="16" customWidth="1"/>
    <col min="8" max="8" width="5.140625" style="16" customWidth="1"/>
    <col min="9" max="38" width="14.7109375" style="16" customWidth="1"/>
    <col min="39" max="16384" width="11.42578125" style="16"/>
  </cols>
  <sheetData>
    <row r="1" spans="2:13" ht="66.75" customHeight="1" x14ac:dyDescent="0.25">
      <c r="D1" s="119"/>
      <c r="E1" s="119"/>
      <c r="F1" s="119"/>
      <c r="H1" s="11"/>
      <c r="I1" s="11"/>
      <c r="J1" s="11"/>
      <c r="K1" s="11"/>
      <c r="L1" s="11"/>
      <c r="M1" s="11"/>
    </row>
    <row r="2" spans="2:13" x14ac:dyDescent="0.2">
      <c r="B2" s="116"/>
      <c r="C2" s="116"/>
    </row>
    <row r="3" spans="2:13" ht="18" x14ac:dyDescent="0.2">
      <c r="B3" s="122" t="s">
        <v>112</v>
      </c>
      <c r="C3" s="118"/>
    </row>
    <row r="4" spans="2:13" ht="16.5" x14ac:dyDescent="0.2">
      <c r="B4" s="118"/>
      <c r="C4" s="118"/>
    </row>
    <row r="5" spans="2:13" ht="409.15" customHeight="1" x14ac:dyDescent="0.2">
      <c r="B5" s="189" t="s">
        <v>140</v>
      </c>
      <c r="C5" s="127"/>
      <c r="D5" s="87"/>
      <c r="E5" s="87"/>
      <c r="F5" s="87"/>
    </row>
  </sheetData>
  <sheetProtection algorithmName="SHA-512" hashValue="PRy3pr5HO28OmOZiaY5PJjd1DWxD+CKV3+Q0/1SaJfBrlZ11hZ3Zxbjcm20bc3jIhm5cITNjutMQmkCmx5MWNA==" saltValue="POEe/QsnMflAHqwR0NgKsQ==" spinCount="100000" sheet="1" objects="1" scenarios="1"/>
  <protectedRanges>
    <protectedRange password="CC9E" sqref="D1:F1 D2:G4 C1:C4 C5:F5 H1:IV5 A1:B5" name="Rango2"/>
    <protectedRange password="CC9E" sqref="H1:M1 D1:F1 K1:K4 D2:J2 C1:C2 C3:J4 C7:IV7 A7 L2:M4 C5:F5 H5:IV5 N1:IV4 A1:B5 A8:IV65525" name="Rango1"/>
  </protectedRanges>
  <pageMargins left="0.7" right="0.7" top="0.75" bottom="0.75" header="0.3" footer="0.3"/>
  <pageSetup paperSize="9" orientation="portrait"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38"/>
  <sheetViews>
    <sheetView showGridLines="0" zoomScale="70" zoomScaleNormal="70" workbookViewId="0">
      <pane xSplit="5" ySplit="14" topLeftCell="F15" activePane="bottomRight" state="frozen"/>
      <selection activeCell="C5" sqref="C5:D5"/>
      <selection pane="topRight" activeCell="C5" sqref="C5:D5"/>
      <selection pane="bottomLeft" activeCell="C5" sqref="C5:D5"/>
      <selection pane="bottomRight" activeCell="N15" sqref="N15:N18"/>
    </sheetView>
  </sheetViews>
  <sheetFormatPr baseColWidth="10" defaultColWidth="11.42578125" defaultRowHeight="14.25" x14ac:dyDescent="0.2"/>
  <cols>
    <col min="1" max="1" width="1.7109375" style="16" customWidth="1"/>
    <col min="2" max="2" width="14.7109375" style="16" customWidth="1"/>
    <col min="3" max="3" width="55.42578125" style="16" customWidth="1"/>
    <col min="4" max="4" width="61.5703125" style="16" customWidth="1"/>
    <col min="5" max="5" width="9" style="16" customWidth="1"/>
    <col min="6" max="7" width="14.7109375" style="16" hidden="1" customWidth="1"/>
    <col min="8" max="8" width="14.7109375" style="16" customWidth="1"/>
    <col min="9" max="10" width="16" style="16" bestFit="1" customWidth="1"/>
    <col min="11" max="12" width="14.7109375" style="16" hidden="1" customWidth="1"/>
    <col min="13" max="13" width="14.7109375" style="16" customWidth="1"/>
    <col min="14" max="15" width="16" style="16" bestFit="1" customWidth="1"/>
    <col min="16" max="17" width="14.7109375" style="16" hidden="1" customWidth="1"/>
    <col min="18" max="20" width="14.7109375" style="16" customWidth="1"/>
    <col min="21" max="22" width="14.7109375" style="16" hidden="1" customWidth="1"/>
    <col min="23" max="25" width="14.7109375" style="16" customWidth="1"/>
    <col min="26" max="27" width="14.7109375" style="16" hidden="1" customWidth="1"/>
    <col min="28" max="35" width="14.7109375" style="16" customWidth="1"/>
    <col min="36" max="16384" width="11.42578125" style="16"/>
  </cols>
  <sheetData>
    <row r="1" spans="1:35" ht="62.45" customHeight="1" x14ac:dyDescent="0.2">
      <c r="D1" s="11"/>
      <c r="E1" s="11"/>
      <c r="F1" s="11"/>
      <c r="G1" s="11"/>
      <c r="H1" s="11"/>
      <c r="I1" s="11"/>
      <c r="J1" s="11"/>
    </row>
    <row r="2" spans="1:35" x14ac:dyDescent="0.2">
      <c r="B2" s="116"/>
    </row>
    <row r="4" spans="1:35" ht="15" x14ac:dyDescent="0.2">
      <c r="B4" s="93" t="s">
        <v>79</v>
      </c>
    </row>
    <row r="5" spans="1:35" ht="15" x14ac:dyDescent="0.2">
      <c r="B5" s="21"/>
    </row>
    <row r="6" spans="1:35" ht="45" customHeight="1" x14ac:dyDescent="0.2">
      <c r="B6" s="208" t="s">
        <v>143</v>
      </c>
      <c r="C6" s="208"/>
      <c r="D6" s="208"/>
      <c r="E6" s="208"/>
    </row>
    <row r="7" spans="1:35" ht="15" x14ac:dyDescent="0.2">
      <c r="B7" s="126"/>
      <c r="C7" s="169"/>
    </row>
    <row r="8" spans="1:35" ht="15" x14ac:dyDescent="0.2">
      <c r="B8" s="126" t="s">
        <v>148</v>
      </c>
      <c r="C8" s="169"/>
    </row>
    <row r="9" spans="1:35" ht="15" x14ac:dyDescent="0.2">
      <c r="B9" s="126"/>
      <c r="C9" s="21"/>
    </row>
    <row r="10" spans="1:35" ht="15" x14ac:dyDescent="0.2">
      <c r="B10" s="126" t="s">
        <v>141</v>
      </c>
      <c r="C10" s="169"/>
    </row>
    <row r="11" spans="1:35" ht="15" x14ac:dyDescent="0.2">
      <c r="B11" s="21"/>
      <c r="C11" s="87"/>
      <c r="D11" s="87"/>
    </row>
    <row r="12" spans="1:35" ht="6" customHeight="1" thickBot="1" x14ac:dyDescent="0.25">
      <c r="A12" s="167"/>
    </row>
    <row r="13" spans="1:35" ht="15.75" thickBot="1" x14ac:dyDescent="0.25">
      <c r="B13" s="214" t="s">
        <v>114</v>
      </c>
      <c r="C13" s="214" t="s">
        <v>145</v>
      </c>
      <c r="D13" s="216" t="s">
        <v>3</v>
      </c>
      <c r="E13" s="216" t="s">
        <v>106</v>
      </c>
      <c r="F13" s="209">
        <f>'Datos solicitud'!E12</f>
        <v>2021</v>
      </c>
      <c r="G13" s="209"/>
      <c r="H13" s="209"/>
      <c r="I13" s="209"/>
      <c r="J13" s="209"/>
      <c r="K13" s="209">
        <f>F13+1</f>
        <v>2022</v>
      </c>
      <c r="L13" s="209"/>
      <c r="M13" s="209"/>
      <c r="N13" s="209"/>
      <c r="O13" s="209"/>
      <c r="P13" s="209">
        <f>K13+1</f>
        <v>2023</v>
      </c>
      <c r="Q13" s="209"/>
      <c r="R13" s="209"/>
      <c r="S13" s="209"/>
      <c r="T13" s="209"/>
      <c r="U13" s="209">
        <f>P13+1</f>
        <v>2024</v>
      </c>
      <c r="V13" s="209"/>
      <c r="W13" s="209"/>
      <c r="X13" s="209"/>
      <c r="Y13" s="209"/>
      <c r="Z13" s="209">
        <f>U13+1</f>
        <v>2025</v>
      </c>
      <c r="AA13" s="209"/>
      <c r="AB13" s="209"/>
      <c r="AC13" s="209"/>
      <c r="AD13" s="209"/>
      <c r="AE13" s="209">
        <f>Z13+1</f>
        <v>2026</v>
      </c>
      <c r="AF13" s="209"/>
      <c r="AG13" s="209"/>
      <c r="AH13" s="209"/>
      <c r="AI13" s="209"/>
    </row>
    <row r="14" spans="1:35" s="57" customFormat="1" ht="78.75" customHeight="1" thickBot="1" x14ac:dyDescent="0.25">
      <c r="B14" s="215"/>
      <c r="C14" s="215"/>
      <c r="D14" s="217"/>
      <c r="E14" s="217"/>
      <c r="F14" s="131" t="s">
        <v>103</v>
      </c>
      <c r="G14" s="132" t="s">
        <v>7</v>
      </c>
      <c r="H14" s="132" t="s">
        <v>138</v>
      </c>
      <c r="I14" s="132" t="s">
        <v>139</v>
      </c>
      <c r="J14" s="133" t="s">
        <v>4</v>
      </c>
      <c r="K14" s="131" t="s">
        <v>103</v>
      </c>
      <c r="L14" s="132" t="s">
        <v>7</v>
      </c>
      <c r="M14" s="132" t="s">
        <v>138</v>
      </c>
      <c r="N14" s="132" t="s">
        <v>139</v>
      </c>
      <c r="O14" s="133" t="s">
        <v>4</v>
      </c>
      <c r="P14" s="131" t="s">
        <v>103</v>
      </c>
      <c r="Q14" s="132" t="s">
        <v>7</v>
      </c>
      <c r="R14" s="132" t="s">
        <v>138</v>
      </c>
      <c r="S14" s="132" t="s">
        <v>139</v>
      </c>
      <c r="T14" s="133" t="s">
        <v>4</v>
      </c>
      <c r="U14" s="131" t="s">
        <v>103</v>
      </c>
      <c r="V14" s="132" t="s">
        <v>7</v>
      </c>
      <c r="W14" s="132" t="s">
        <v>138</v>
      </c>
      <c r="X14" s="132" t="s">
        <v>139</v>
      </c>
      <c r="Y14" s="133" t="s">
        <v>4</v>
      </c>
      <c r="Z14" s="131" t="s">
        <v>103</v>
      </c>
      <c r="AA14" s="132" t="s">
        <v>7</v>
      </c>
      <c r="AB14" s="132" t="s">
        <v>138</v>
      </c>
      <c r="AC14" s="132" t="s">
        <v>139</v>
      </c>
      <c r="AD14" s="133" t="s">
        <v>4</v>
      </c>
      <c r="AE14" s="131" t="s">
        <v>103</v>
      </c>
      <c r="AF14" s="132" t="s">
        <v>7</v>
      </c>
      <c r="AG14" s="132" t="s">
        <v>138</v>
      </c>
      <c r="AH14" s="132" t="s">
        <v>139</v>
      </c>
      <c r="AI14" s="133" t="s">
        <v>4</v>
      </c>
    </row>
    <row r="15" spans="1:35" ht="15" x14ac:dyDescent="0.2">
      <c r="B15" s="129">
        <v>1</v>
      </c>
      <c r="C15" s="80" t="s">
        <v>263</v>
      </c>
      <c r="D15" s="192" t="s">
        <v>266</v>
      </c>
      <c r="E15" s="5" t="s">
        <v>108</v>
      </c>
      <c r="F15" s="170"/>
      <c r="G15" s="171"/>
      <c r="H15" s="113"/>
      <c r="I15" s="100"/>
      <c r="J15" s="114">
        <f>G15+I15</f>
        <v>0</v>
      </c>
      <c r="K15" s="170"/>
      <c r="L15" s="171"/>
      <c r="M15" s="113">
        <v>1446.38</v>
      </c>
      <c r="N15" s="100">
        <v>70540.240000000005</v>
      </c>
      <c r="O15" s="114">
        <f>L15+N15</f>
        <v>70540.240000000005</v>
      </c>
      <c r="P15" s="170"/>
      <c r="Q15" s="171"/>
      <c r="R15" s="113"/>
      <c r="S15" s="100"/>
      <c r="T15" s="114">
        <f>Q15+S15</f>
        <v>0</v>
      </c>
      <c r="U15" s="170"/>
      <c r="V15" s="171"/>
      <c r="W15" s="113"/>
      <c r="X15" s="100"/>
      <c r="Y15" s="114">
        <f>V15+X15</f>
        <v>0</v>
      </c>
      <c r="Z15" s="170"/>
      <c r="AA15" s="171"/>
      <c r="AB15" s="113"/>
      <c r="AC15" s="100"/>
      <c r="AD15" s="114">
        <f>AA15+AC15</f>
        <v>0</v>
      </c>
      <c r="AE15" s="170"/>
      <c r="AF15" s="171"/>
      <c r="AG15" s="113"/>
      <c r="AH15" s="100"/>
      <c r="AI15" s="114">
        <f>AF15+AH15</f>
        <v>0</v>
      </c>
    </row>
    <row r="16" spans="1:35" ht="15" x14ac:dyDescent="0.2">
      <c r="B16" s="130">
        <f>B15+1</f>
        <v>2</v>
      </c>
      <c r="C16" s="81" t="s">
        <v>260</v>
      </c>
      <c r="D16" s="82" t="s">
        <v>258</v>
      </c>
      <c r="E16" s="5" t="s">
        <v>108</v>
      </c>
      <c r="F16" s="170"/>
      <c r="G16" s="171"/>
      <c r="H16" s="113"/>
      <c r="I16" s="100"/>
      <c r="J16" s="114">
        <f t="shared" ref="J16:J32" si="0">G16+I16</f>
        <v>0</v>
      </c>
      <c r="K16" s="170"/>
      <c r="L16" s="171"/>
      <c r="M16" s="113">
        <v>1653</v>
      </c>
      <c r="N16" s="100">
        <v>60242.99</v>
      </c>
      <c r="O16" s="114">
        <f t="shared" ref="O16:O34" si="1">L16+N16</f>
        <v>60242.99</v>
      </c>
      <c r="P16" s="170"/>
      <c r="Q16" s="171"/>
      <c r="R16" s="113"/>
      <c r="S16" s="100"/>
      <c r="T16" s="114">
        <f t="shared" ref="T16:T34" si="2">Q16+S16</f>
        <v>0</v>
      </c>
      <c r="U16" s="170"/>
      <c r="V16" s="171"/>
      <c r="W16" s="113"/>
      <c r="X16" s="100"/>
      <c r="Y16" s="114">
        <f t="shared" ref="Y16:Y34" si="3">V16+X16</f>
        <v>0</v>
      </c>
      <c r="Z16" s="170"/>
      <c r="AA16" s="171"/>
      <c r="AB16" s="113"/>
      <c r="AC16" s="100"/>
      <c r="AD16" s="114">
        <f t="shared" ref="AD16:AD34" si="4">AA16+AC16</f>
        <v>0</v>
      </c>
      <c r="AE16" s="170"/>
      <c r="AF16" s="171"/>
      <c r="AG16" s="113"/>
      <c r="AH16" s="100"/>
      <c r="AI16" s="114">
        <f t="shared" ref="AI16:AI34" si="5">AF16+AH16</f>
        <v>0</v>
      </c>
    </row>
    <row r="17" spans="2:35" ht="15" x14ac:dyDescent="0.2">
      <c r="B17" s="130">
        <f t="shared" ref="B17:B34" si="6">B16+1</f>
        <v>3</v>
      </c>
      <c r="C17" s="81" t="s">
        <v>264</v>
      </c>
      <c r="D17" s="82" t="s">
        <v>267</v>
      </c>
      <c r="E17" s="5" t="s">
        <v>108</v>
      </c>
      <c r="F17" s="170"/>
      <c r="G17" s="171"/>
      <c r="H17" s="113"/>
      <c r="I17" s="100"/>
      <c r="J17" s="114">
        <f t="shared" si="0"/>
        <v>0</v>
      </c>
      <c r="K17" s="170"/>
      <c r="L17" s="171"/>
      <c r="M17" s="113">
        <v>1446.38</v>
      </c>
      <c r="N17" s="100">
        <v>58665.38</v>
      </c>
      <c r="O17" s="114">
        <f t="shared" si="1"/>
        <v>58665.38</v>
      </c>
      <c r="P17" s="170"/>
      <c r="Q17" s="171"/>
      <c r="R17" s="113"/>
      <c r="S17" s="100"/>
      <c r="T17" s="114">
        <f t="shared" si="2"/>
        <v>0</v>
      </c>
      <c r="U17" s="170"/>
      <c r="V17" s="171"/>
      <c r="W17" s="113"/>
      <c r="X17" s="100"/>
      <c r="Y17" s="114">
        <f t="shared" si="3"/>
        <v>0</v>
      </c>
      <c r="Z17" s="170"/>
      <c r="AA17" s="171"/>
      <c r="AB17" s="113"/>
      <c r="AC17" s="100"/>
      <c r="AD17" s="114">
        <f t="shared" si="4"/>
        <v>0</v>
      </c>
      <c r="AE17" s="170"/>
      <c r="AF17" s="171"/>
      <c r="AG17" s="113"/>
      <c r="AH17" s="100"/>
      <c r="AI17" s="114">
        <f t="shared" si="5"/>
        <v>0</v>
      </c>
    </row>
    <row r="18" spans="2:35" ht="15" x14ac:dyDescent="0.2">
      <c r="B18" s="130">
        <f>B17+1</f>
        <v>4</v>
      </c>
      <c r="C18" s="81" t="s">
        <v>265</v>
      </c>
      <c r="D18" s="82" t="s">
        <v>267</v>
      </c>
      <c r="E18" s="5" t="s">
        <v>108</v>
      </c>
      <c r="F18" s="170"/>
      <c r="G18" s="171"/>
      <c r="H18" s="113"/>
      <c r="I18" s="100"/>
      <c r="J18" s="114">
        <f t="shared" si="0"/>
        <v>0</v>
      </c>
      <c r="K18" s="170"/>
      <c r="L18" s="171"/>
      <c r="M18" s="113">
        <v>1631.25</v>
      </c>
      <c r="N18" s="100">
        <v>65538.600000000006</v>
      </c>
      <c r="O18" s="114">
        <f t="shared" si="1"/>
        <v>65538.600000000006</v>
      </c>
      <c r="P18" s="170"/>
      <c r="Q18" s="171"/>
      <c r="R18" s="113"/>
      <c r="S18" s="100"/>
      <c r="T18" s="114">
        <f t="shared" si="2"/>
        <v>0</v>
      </c>
      <c r="U18" s="170"/>
      <c r="V18" s="171"/>
      <c r="W18" s="113"/>
      <c r="X18" s="100"/>
      <c r="Y18" s="114">
        <f t="shared" si="3"/>
        <v>0</v>
      </c>
      <c r="Z18" s="170"/>
      <c r="AA18" s="171"/>
      <c r="AB18" s="113"/>
      <c r="AC18" s="100"/>
      <c r="AD18" s="114">
        <f t="shared" si="4"/>
        <v>0</v>
      </c>
      <c r="AE18" s="170"/>
      <c r="AF18" s="171"/>
      <c r="AG18" s="113"/>
      <c r="AH18" s="100"/>
      <c r="AI18" s="114">
        <f t="shared" si="5"/>
        <v>0</v>
      </c>
    </row>
    <row r="19" spans="2:35" ht="15.75" thickBot="1" x14ac:dyDescent="0.25">
      <c r="B19" s="130">
        <f t="shared" si="6"/>
        <v>5</v>
      </c>
      <c r="C19" s="81" t="s">
        <v>262</v>
      </c>
      <c r="D19" s="82"/>
      <c r="E19" s="5" t="s">
        <v>108</v>
      </c>
      <c r="F19" s="170"/>
      <c r="G19" s="171"/>
      <c r="H19" s="113">
        <v>2966.34</v>
      </c>
      <c r="I19" s="100">
        <v>95704.36</v>
      </c>
      <c r="J19" s="114">
        <f t="shared" si="0"/>
        <v>95704.36</v>
      </c>
      <c r="K19" s="170"/>
      <c r="L19" s="171"/>
      <c r="M19" s="113"/>
      <c r="N19" s="100"/>
      <c r="O19" s="114">
        <f t="shared" si="1"/>
        <v>0</v>
      </c>
      <c r="P19" s="170"/>
      <c r="Q19" s="171"/>
      <c r="R19" s="113"/>
      <c r="S19" s="100"/>
      <c r="T19" s="114">
        <f t="shared" si="2"/>
        <v>0</v>
      </c>
      <c r="U19" s="170"/>
      <c r="V19" s="171"/>
      <c r="W19" s="113"/>
      <c r="X19" s="100"/>
      <c r="Y19" s="114">
        <f t="shared" si="3"/>
        <v>0</v>
      </c>
      <c r="Z19" s="170"/>
      <c r="AA19" s="171"/>
      <c r="AB19" s="113"/>
      <c r="AC19" s="100"/>
      <c r="AD19" s="114">
        <f t="shared" si="4"/>
        <v>0</v>
      </c>
      <c r="AE19" s="170"/>
      <c r="AF19" s="171"/>
      <c r="AG19" s="113"/>
      <c r="AH19" s="100"/>
      <c r="AI19" s="114">
        <f t="shared" si="5"/>
        <v>0</v>
      </c>
    </row>
    <row r="20" spans="2:35" ht="15" hidden="1" x14ac:dyDescent="0.2">
      <c r="B20" s="130">
        <f t="shared" si="6"/>
        <v>6</v>
      </c>
      <c r="C20" s="81"/>
      <c r="D20" s="82"/>
      <c r="E20" s="5" t="s">
        <v>108</v>
      </c>
      <c r="F20" s="170"/>
      <c r="G20" s="171"/>
      <c r="H20" s="113"/>
      <c r="I20" s="100"/>
      <c r="J20" s="114">
        <f>G20+I20</f>
        <v>0</v>
      </c>
      <c r="K20" s="170"/>
      <c r="L20" s="171"/>
      <c r="M20" s="113"/>
      <c r="N20" s="100"/>
      <c r="O20" s="114">
        <f t="shared" si="1"/>
        <v>0</v>
      </c>
      <c r="P20" s="170"/>
      <c r="Q20" s="171"/>
      <c r="R20" s="113"/>
      <c r="S20" s="100"/>
      <c r="T20" s="114">
        <f t="shared" si="2"/>
        <v>0</v>
      </c>
      <c r="U20" s="170"/>
      <c r="V20" s="171"/>
      <c r="W20" s="113"/>
      <c r="X20" s="100"/>
      <c r="Y20" s="114">
        <f t="shared" si="3"/>
        <v>0</v>
      </c>
      <c r="Z20" s="170"/>
      <c r="AA20" s="171"/>
      <c r="AB20" s="113"/>
      <c r="AC20" s="100"/>
      <c r="AD20" s="114">
        <f t="shared" si="4"/>
        <v>0</v>
      </c>
      <c r="AE20" s="170"/>
      <c r="AF20" s="171"/>
      <c r="AG20" s="113"/>
      <c r="AH20" s="100"/>
      <c r="AI20" s="114">
        <f t="shared" si="5"/>
        <v>0</v>
      </c>
    </row>
    <row r="21" spans="2:35" ht="15" hidden="1" x14ac:dyDescent="0.2">
      <c r="B21" s="130">
        <f t="shared" si="6"/>
        <v>7</v>
      </c>
      <c r="C21" s="81"/>
      <c r="D21" s="82"/>
      <c r="E21" s="5" t="s">
        <v>108</v>
      </c>
      <c r="F21" s="170"/>
      <c r="G21" s="171"/>
      <c r="H21" s="113"/>
      <c r="I21" s="100"/>
      <c r="J21" s="114">
        <f t="shared" si="0"/>
        <v>0</v>
      </c>
      <c r="K21" s="170"/>
      <c r="L21" s="171"/>
      <c r="M21" s="113"/>
      <c r="N21" s="100"/>
      <c r="O21" s="114">
        <f t="shared" si="1"/>
        <v>0</v>
      </c>
      <c r="P21" s="170"/>
      <c r="Q21" s="171"/>
      <c r="R21" s="113"/>
      <c r="S21" s="100"/>
      <c r="T21" s="114">
        <f t="shared" si="2"/>
        <v>0</v>
      </c>
      <c r="U21" s="170"/>
      <c r="V21" s="171"/>
      <c r="W21" s="113"/>
      <c r="X21" s="100"/>
      <c r="Y21" s="114">
        <f t="shared" si="3"/>
        <v>0</v>
      </c>
      <c r="Z21" s="170"/>
      <c r="AA21" s="171"/>
      <c r="AB21" s="113"/>
      <c r="AC21" s="100"/>
      <c r="AD21" s="114">
        <f t="shared" si="4"/>
        <v>0</v>
      </c>
      <c r="AE21" s="170"/>
      <c r="AF21" s="171"/>
      <c r="AG21" s="113"/>
      <c r="AH21" s="100"/>
      <c r="AI21" s="114">
        <f t="shared" si="5"/>
        <v>0</v>
      </c>
    </row>
    <row r="22" spans="2:35" ht="15" hidden="1" x14ac:dyDescent="0.2">
      <c r="B22" s="130">
        <f t="shared" si="6"/>
        <v>8</v>
      </c>
      <c r="C22" s="81"/>
      <c r="D22" s="82"/>
      <c r="E22" s="5" t="s">
        <v>108</v>
      </c>
      <c r="F22" s="170"/>
      <c r="G22" s="171"/>
      <c r="H22" s="113"/>
      <c r="I22" s="100"/>
      <c r="J22" s="114">
        <f t="shared" si="0"/>
        <v>0</v>
      </c>
      <c r="K22" s="170"/>
      <c r="L22" s="171"/>
      <c r="M22" s="113"/>
      <c r="N22" s="100"/>
      <c r="O22" s="114">
        <f t="shared" si="1"/>
        <v>0</v>
      </c>
      <c r="P22" s="170"/>
      <c r="Q22" s="171"/>
      <c r="R22" s="113"/>
      <c r="S22" s="100"/>
      <c r="T22" s="114">
        <f t="shared" si="2"/>
        <v>0</v>
      </c>
      <c r="U22" s="170"/>
      <c r="V22" s="171"/>
      <c r="W22" s="113"/>
      <c r="X22" s="100"/>
      <c r="Y22" s="114">
        <f t="shared" si="3"/>
        <v>0</v>
      </c>
      <c r="Z22" s="170"/>
      <c r="AA22" s="171"/>
      <c r="AB22" s="113"/>
      <c r="AC22" s="100"/>
      <c r="AD22" s="114">
        <f t="shared" si="4"/>
        <v>0</v>
      </c>
      <c r="AE22" s="170"/>
      <c r="AF22" s="171"/>
      <c r="AG22" s="113"/>
      <c r="AH22" s="100"/>
      <c r="AI22" s="114">
        <f t="shared" si="5"/>
        <v>0</v>
      </c>
    </row>
    <row r="23" spans="2:35" ht="15" hidden="1" x14ac:dyDescent="0.2">
      <c r="B23" s="130">
        <f t="shared" si="6"/>
        <v>9</v>
      </c>
      <c r="C23" s="81"/>
      <c r="D23" s="82"/>
      <c r="E23" s="5" t="s">
        <v>108</v>
      </c>
      <c r="F23" s="170"/>
      <c r="G23" s="171"/>
      <c r="H23" s="113"/>
      <c r="I23" s="100"/>
      <c r="J23" s="114">
        <f t="shared" si="0"/>
        <v>0</v>
      </c>
      <c r="K23" s="170"/>
      <c r="L23" s="171"/>
      <c r="M23" s="113"/>
      <c r="N23" s="100"/>
      <c r="O23" s="114">
        <f t="shared" si="1"/>
        <v>0</v>
      </c>
      <c r="P23" s="170"/>
      <c r="Q23" s="171"/>
      <c r="R23" s="113"/>
      <c r="S23" s="100"/>
      <c r="T23" s="114">
        <f t="shared" si="2"/>
        <v>0</v>
      </c>
      <c r="U23" s="170"/>
      <c r="V23" s="171"/>
      <c r="W23" s="113"/>
      <c r="X23" s="100"/>
      <c r="Y23" s="114">
        <f t="shared" si="3"/>
        <v>0</v>
      </c>
      <c r="Z23" s="170"/>
      <c r="AA23" s="171"/>
      <c r="AB23" s="113"/>
      <c r="AC23" s="100"/>
      <c r="AD23" s="114">
        <f t="shared" si="4"/>
        <v>0</v>
      </c>
      <c r="AE23" s="170"/>
      <c r="AF23" s="171"/>
      <c r="AG23" s="113"/>
      <c r="AH23" s="100"/>
      <c r="AI23" s="114">
        <f t="shared" si="5"/>
        <v>0</v>
      </c>
    </row>
    <row r="24" spans="2:35" ht="15" hidden="1" x14ac:dyDescent="0.2">
      <c r="B24" s="130">
        <f t="shared" si="6"/>
        <v>10</v>
      </c>
      <c r="C24" s="81"/>
      <c r="D24" s="82"/>
      <c r="E24" s="5" t="s">
        <v>108</v>
      </c>
      <c r="F24" s="170"/>
      <c r="G24" s="171"/>
      <c r="H24" s="113"/>
      <c r="I24" s="100"/>
      <c r="J24" s="114">
        <f t="shared" si="0"/>
        <v>0</v>
      </c>
      <c r="K24" s="170"/>
      <c r="L24" s="171"/>
      <c r="M24" s="113"/>
      <c r="N24" s="100"/>
      <c r="O24" s="114">
        <f t="shared" si="1"/>
        <v>0</v>
      </c>
      <c r="P24" s="170"/>
      <c r="Q24" s="171"/>
      <c r="R24" s="113"/>
      <c r="S24" s="100"/>
      <c r="T24" s="114">
        <f t="shared" si="2"/>
        <v>0</v>
      </c>
      <c r="U24" s="170"/>
      <c r="V24" s="171"/>
      <c r="W24" s="113"/>
      <c r="X24" s="100"/>
      <c r="Y24" s="114">
        <f t="shared" si="3"/>
        <v>0</v>
      </c>
      <c r="Z24" s="170"/>
      <c r="AA24" s="171"/>
      <c r="AB24" s="113"/>
      <c r="AC24" s="100"/>
      <c r="AD24" s="114">
        <f t="shared" si="4"/>
        <v>0</v>
      </c>
      <c r="AE24" s="170"/>
      <c r="AF24" s="171"/>
      <c r="AG24" s="113"/>
      <c r="AH24" s="100"/>
      <c r="AI24" s="114">
        <f t="shared" si="5"/>
        <v>0</v>
      </c>
    </row>
    <row r="25" spans="2:35" ht="15" hidden="1" x14ac:dyDescent="0.2">
      <c r="B25" s="130">
        <f t="shared" si="6"/>
        <v>11</v>
      </c>
      <c r="C25" s="81"/>
      <c r="D25" s="82"/>
      <c r="E25" s="5" t="s">
        <v>108</v>
      </c>
      <c r="F25" s="170"/>
      <c r="G25" s="171"/>
      <c r="H25" s="113"/>
      <c r="I25" s="100"/>
      <c r="J25" s="114">
        <f t="shared" si="0"/>
        <v>0</v>
      </c>
      <c r="K25" s="170"/>
      <c r="L25" s="171"/>
      <c r="M25" s="113"/>
      <c r="N25" s="100"/>
      <c r="O25" s="114">
        <f t="shared" si="1"/>
        <v>0</v>
      </c>
      <c r="P25" s="170"/>
      <c r="Q25" s="171"/>
      <c r="R25" s="113"/>
      <c r="S25" s="100"/>
      <c r="T25" s="114">
        <f t="shared" si="2"/>
        <v>0</v>
      </c>
      <c r="U25" s="170"/>
      <c r="V25" s="171"/>
      <c r="W25" s="113"/>
      <c r="X25" s="100"/>
      <c r="Y25" s="114">
        <f t="shared" si="3"/>
        <v>0</v>
      </c>
      <c r="Z25" s="170"/>
      <c r="AA25" s="171"/>
      <c r="AB25" s="113"/>
      <c r="AC25" s="100"/>
      <c r="AD25" s="114">
        <f t="shared" si="4"/>
        <v>0</v>
      </c>
      <c r="AE25" s="170"/>
      <c r="AF25" s="171"/>
      <c r="AG25" s="113"/>
      <c r="AH25" s="100"/>
      <c r="AI25" s="114">
        <f t="shared" si="5"/>
        <v>0</v>
      </c>
    </row>
    <row r="26" spans="2:35" ht="15" hidden="1" x14ac:dyDescent="0.2">
      <c r="B26" s="130">
        <f t="shared" si="6"/>
        <v>12</v>
      </c>
      <c r="C26" s="81"/>
      <c r="D26" s="82"/>
      <c r="E26" s="5" t="s">
        <v>108</v>
      </c>
      <c r="F26" s="170"/>
      <c r="G26" s="171"/>
      <c r="H26" s="113"/>
      <c r="I26" s="100"/>
      <c r="J26" s="114">
        <f t="shared" si="0"/>
        <v>0</v>
      </c>
      <c r="K26" s="170"/>
      <c r="L26" s="171"/>
      <c r="M26" s="113"/>
      <c r="N26" s="100"/>
      <c r="O26" s="114">
        <f t="shared" si="1"/>
        <v>0</v>
      </c>
      <c r="P26" s="170"/>
      <c r="Q26" s="171"/>
      <c r="R26" s="113"/>
      <c r="S26" s="100"/>
      <c r="T26" s="114">
        <f t="shared" si="2"/>
        <v>0</v>
      </c>
      <c r="U26" s="170"/>
      <c r="V26" s="171"/>
      <c r="W26" s="113"/>
      <c r="X26" s="100"/>
      <c r="Y26" s="114">
        <f t="shared" si="3"/>
        <v>0</v>
      </c>
      <c r="Z26" s="170"/>
      <c r="AA26" s="171"/>
      <c r="AB26" s="113"/>
      <c r="AC26" s="100"/>
      <c r="AD26" s="114">
        <f t="shared" si="4"/>
        <v>0</v>
      </c>
      <c r="AE26" s="170"/>
      <c r="AF26" s="171"/>
      <c r="AG26" s="113"/>
      <c r="AH26" s="100"/>
      <c r="AI26" s="114">
        <f t="shared" si="5"/>
        <v>0</v>
      </c>
    </row>
    <row r="27" spans="2:35" ht="15" hidden="1" x14ac:dyDescent="0.2">
      <c r="B27" s="130">
        <f t="shared" si="6"/>
        <v>13</v>
      </c>
      <c r="C27" s="81"/>
      <c r="D27" s="82"/>
      <c r="E27" s="5" t="s">
        <v>108</v>
      </c>
      <c r="F27" s="170"/>
      <c r="G27" s="171"/>
      <c r="H27" s="113"/>
      <c r="I27" s="100"/>
      <c r="J27" s="114">
        <f t="shared" si="0"/>
        <v>0</v>
      </c>
      <c r="K27" s="170"/>
      <c r="L27" s="171"/>
      <c r="M27" s="113"/>
      <c r="N27" s="100"/>
      <c r="O27" s="114">
        <f t="shared" si="1"/>
        <v>0</v>
      </c>
      <c r="P27" s="170"/>
      <c r="Q27" s="171"/>
      <c r="R27" s="113"/>
      <c r="S27" s="100"/>
      <c r="T27" s="114">
        <f t="shared" si="2"/>
        <v>0</v>
      </c>
      <c r="U27" s="170"/>
      <c r="V27" s="171"/>
      <c r="W27" s="113"/>
      <c r="X27" s="100"/>
      <c r="Y27" s="114">
        <f t="shared" si="3"/>
        <v>0</v>
      </c>
      <c r="Z27" s="170"/>
      <c r="AA27" s="171"/>
      <c r="AB27" s="113"/>
      <c r="AC27" s="100"/>
      <c r="AD27" s="114">
        <f t="shared" si="4"/>
        <v>0</v>
      </c>
      <c r="AE27" s="170"/>
      <c r="AF27" s="171"/>
      <c r="AG27" s="113"/>
      <c r="AH27" s="100"/>
      <c r="AI27" s="114">
        <f t="shared" si="5"/>
        <v>0</v>
      </c>
    </row>
    <row r="28" spans="2:35" ht="15" hidden="1" x14ac:dyDescent="0.2">
      <c r="B28" s="130">
        <f t="shared" si="6"/>
        <v>14</v>
      </c>
      <c r="C28" s="81"/>
      <c r="D28" s="82"/>
      <c r="E28" s="5" t="s">
        <v>108</v>
      </c>
      <c r="F28" s="170"/>
      <c r="G28" s="171"/>
      <c r="H28" s="113"/>
      <c r="I28" s="100"/>
      <c r="J28" s="114">
        <f t="shared" si="0"/>
        <v>0</v>
      </c>
      <c r="K28" s="170"/>
      <c r="L28" s="171"/>
      <c r="M28" s="113"/>
      <c r="N28" s="100"/>
      <c r="O28" s="114">
        <f t="shared" si="1"/>
        <v>0</v>
      </c>
      <c r="P28" s="170"/>
      <c r="Q28" s="171"/>
      <c r="R28" s="113"/>
      <c r="S28" s="100"/>
      <c r="T28" s="114">
        <f t="shared" si="2"/>
        <v>0</v>
      </c>
      <c r="U28" s="170"/>
      <c r="V28" s="171"/>
      <c r="W28" s="113"/>
      <c r="X28" s="100"/>
      <c r="Y28" s="114">
        <f t="shared" si="3"/>
        <v>0</v>
      </c>
      <c r="Z28" s="170"/>
      <c r="AA28" s="171"/>
      <c r="AB28" s="113"/>
      <c r="AC28" s="100"/>
      <c r="AD28" s="114">
        <f t="shared" si="4"/>
        <v>0</v>
      </c>
      <c r="AE28" s="170"/>
      <c r="AF28" s="171"/>
      <c r="AG28" s="113"/>
      <c r="AH28" s="100"/>
      <c r="AI28" s="114">
        <f t="shared" si="5"/>
        <v>0</v>
      </c>
    </row>
    <row r="29" spans="2:35" ht="15" hidden="1" x14ac:dyDescent="0.2">
      <c r="B29" s="130">
        <f t="shared" si="6"/>
        <v>15</v>
      </c>
      <c r="C29" s="81"/>
      <c r="D29" s="82"/>
      <c r="E29" s="5" t="s">
        <v>108</v>
      </c>
      <c r="F29" s="170"/>
      <c r="G29" s="171"/>
      <c r="H29" s="113"/>
      <c r="I29" s="100"/>
      <c r="J29" s="114">
        <f t="shared" si="0"/>
        <v>0</v>
      </c>
      <c r="K29" s="170"/>
      <c r="L29" s="171"/>
      <c r="M29" s="113"/>
      <c r="N29" s="100"/>
      <c r="O29" s="114">
        <f t="shared" si="1"/>
        <v>0</v>
      </c>
      <c r="P29" s="170"/>
      <c r="Q29" s="171"/>
      <c r="R29" s="113"/>
      <c r="S29" s="100"/>
      <c r="T29" s="114">
        <f t="shared" si="2"/>
        <v>0</v>
      </c>
      <c r="U29" s="170"/>
      <c r="V29" s="171"/>
      <c r="W29" s="113"/>
      <c r="X29" s="100"/>
      <c r="Y29" s="114">
        <f t="shared" si="3"/>
        <v>0</v>
      </c>
      <c r="Z29" s="170"/>
      <c r="AA29" s="171"/>
      <c r="AB29" s="113"/>
      <c r="AC29" s="100"/>
      <c r="AD29" s="114">
        <f t="shared" si="4"/>
        <v>0</v>
      </c>
      <c r="AE29" s="170"/>
      <c r="AF29" s="171"/>
      <c r="AG29" s="113"/>
      <c r="AH29" s="100"/>
      <c r="AI29" s="114">
        <f t="shared" si="5"/>
        <v>0</v>
      </c>
    </row>
    <row r="30" spans="2:35" ht="15" hidden="1" x14ac:dyDescent="0.2">
      <c r="B30" s="130">
        <f t="shared" si="6"/>
        <v>16</v>
      </c>
      <c r="C30" s="81"/>
      <c r="D30" s="82"/>
      <c r="E30" s="5" t="s">
        <v>108</v>
      </c>
      <c r="F30" s="170"/>
      <c r="G30" s="171"/>
      <c r="H30" s="113"/>
      <c r="I30" s="100"/>
      <c r="J30" s="114">
        <f t="shared" si="0"/>
        <v>0</v>
      </c>
      <c r="K30" s="170"/>
      <c r="L30" s="171"/>
      <c r="M30" s="113"/>
      <c r="N30" s="100"/>
      <c r="O30" s="114">
        <f t="shared" si="1"/>
        <v>0</v>
      </c>
      <c r="P30" s="170"/>
      <c r="Q30" s="171"/>
      <c r="R30" s="113"/>
      <c r="S30" s="100"/>
      <c r="T30" s="114">
        <f t="shared" si="2"/>
        <v>0</v>
      </c>
      <c r="U30" s="170"/>
      <c r="V30" s="171"/>
      <c r="W30" s="113"/>
      <c r="X30" s="100"/>
      <c r="Y30" s="114">
        <f t="shared" si="3"/>
        <v>0</v>
      </c>
      <c r="Z30" s="170"/>
      <c r="AA30" s="171"/>
      <c r="AB30" s="113"/>
      <c r="AC30" s="100"/>
      <c r="AD30" s="114">
        <f t="shared" si="4"/>
        <v>0</v>
      </c>
      <c r="AE30" s="170"/>
      <c r="AF30" s="171"/>
      <c r="AG30" s="113"/>
      <c r="AH30" s="100"/>
      <c r="AI30" s="114">
        <f t="shared" si="5"/>
        <v>0</v>
      </c>
    </row>
    <row r="31" spans="2:35" ht="15" hidden="1" x14ac:dyDescent="0.2">
      <c r="B31" s="130">
        <f t="shared" si="6"/>
        <v>17</v>
      </c>
      <c r="C31" s="81"/>
      <c r="D31" s="82"/>
      <c r="E31" s="5" t="s">
        <v>108</v>
      </c>
      <c r="F31" s="170"/>
      <c r="G31" s="171"/>
      <c r="H31" s="113"/>
      <c r="I31" s="100"/>
      <c r="J31" s="114">
        <f t="shared" si="0"/>
        <v>0</v>
      </c>
      <c r="K31" s="170"/>
      <c r="L31" s="171"/>
      <c r="M31" s="113"/>
      <c r="N31" s="100"/>
      <c r="O31" s="114">
        <f t="shared" si="1"/>
        <v>0</v>
      </c>
      <c r="P31" s="170"/>
      <c r="Q31" s="171"/>
      <c r="R31" s="113"/>
      <c r="S31" s="100"/>
      <c r="T31" s="114">
        <f t="shared" si="2"/>
        <v>0</v>
      </c>
      <c r="U31" s="170"/>
      <c r="V31" s="171"/>
      <c r="W31" s="113"/>
      <c r="X31" s="100"/>
      <c r="Y31" s="114">
        <f t="shared" si="3"/>
        <v>0</v>
      </c>
      <c r="Z31" s="170"/>
      <c r="AA31" s="171"/>
      <c r="AB31" s="113"/>
      <c r="AC31" s="100"/>
      <c r="AD31" s="114">
        <f t="shared" si="4"/>
        <v>0</v>
      </c>
      <c r="AE31" s="170"/>
      <c r="AF31" s="171"/>
      <c r="AG31" s="113"/>
      <c r="AH31" s="100"/>
      <c r="AI31" s="114">
        <f t="shared" si="5"/>
        <v>0</v>
      </c>
    </row>
    <row r="32" spans="2:35" ht="15" hidden="1" x14ac:dyDescent="0.2">
      <c r="B32" s="130">
        <f t="shared" si="6"/>
        <v>18</v>
      </c>
      <c r="C32" s="81"/>
      <c r="D32" s="82"/>
      <c r="E32" s="5" t="s">
        <v>108</v>
      </c>
      <c r="F32" s="170"/>
      <c r="G32" s="171"/>
      <c r="H32" s="113"/>
      <c r="I32" s="100"/>
      <c r="J32" s="114">
        <f t="shared" si="0"/>
        <v>0</v>
      </c>
      <c r="K32" s="170"/>
      <c r="L32" s="171"/>
      <c r="M32" s="113"/>
      <c r="N32" s="100"/>
      <c r="O32" s="114">
        <f t="shared" si="1"/>
        <v>0</v>
      </c>
      <c r="P32" s="170"/>
      <c r="Q32" s="171"/>
      <c r="R32" s="113"/>
      <c r="S32" s="100"/>
      <c r="T32" s="114">
        <f t="shared" si="2"/>
        <v>0</v>
      </c>
      <c r="U32" s="170"/>
      <c r="V32" s="171"/>
      <c r="W32" s="113"/>
      <c r="X32" s="100"/>
      <c r="Y32" s="114">
        <f t="shared" si="3"/>
        <v>0</v>
      </c>
      <c r="Z32" s="170"/>
      <c r="AA32" s="171"/>
      <c r="AB32" s="113"/>
      <c r="AC32" s="100"/>
      <c r="AD32" s="114">
        <f t="shared" si="4"/>
        <v>0</v>
      </c>
      <c r="AE32" s="170"/>
      <c r="AF32" s="171"/>
      <c r="AG32" s="113"/>
      <c r="AH32" s="100"/>
      <c r="AI32" s="114">
        <f t="shared" si="5"/>
        <v>0</v>
      </c>
    </row>
    <row r="33" spans="1:35" ht="15" hidden="1" x14ac:dyDescent="0.2">
      <c r="B33" s="130">
        <f t="shared" si="6"/>
        <v>19</v>
      </c>
      <c r="C33" s="81"/>
      <c r="D33" s="82"/>
      <c r="E33" s="5" t="s">
        <v>108</v>
      </c>
      <c r="F33" s="170"/>
      <c r="G33" s="171"/>
      <c r="H33" s="113"/>
      <c r="I33" s="100"/>
      <c r="J33" s="114">
        <f>G33+I33</f>
        <v>0</v>
      </c>
      <c r="K33" s="170"/>
      <c r="L33" s="171"/>
      <c r="M33" s="113"/>
      <c r="N33" s="100"/>
      <c r="O33" s="114">
        <f t="shared" si="1"/>
        <v>0</v>
      </c>
      <c r="P33" s="170"/>
      <c r="Q33" s="171"/>
      <c r="R33" s="113"/>
      <c r="S33" s="100"/>
      <c r="T33" s="114">
        <f t="shared" si="2"/>
        <v>0</v>
      </c>
      <c r="U33" s="170"/>
      <c r="V33" s="171"/>
      <c r="W33" s="113"/>
      <c r="X33" s="100"/>
      <c r="Y33" s="114">
        <f t="shared" si="3"/>
        <v>0</v>
      </c>
      <c r="Z33" s="170"/>
      <c r="AA33" s="171"/>
      <c r="AB33" s="113"/>
      <c r="AC33" s="100"/>
      <c r="AD33" s="114">
        <f t="shared" si="4"/>
        <v>0</v>
      </c>
      <c r="AE33" s="170"/>
      <c r="AF33" s="171"/>
      <c r="AG33" s="113"/>
      <c r="AH33" s="100"/>
      <c r="AI33" s="114">
        <f t="shared" si="5"/>
        <v>0</v>
      </c>
    </row>
    <row r="34" spans="1:35" ht="15.75" hidden="1" thickBot="1" x14ac:dyDescent="0.25">
      <c r="B34" s="130">
        <f t="shared" si="6"/>
        <v>20</v>
      </c>
      <c r="C34" s="81"/>
      <c r="D34" s="82"/>
      <c r="E34" s="5" t="s">
        <v>108</v>
      </c>
      <c r="F34" s="170"/>
      <c r="G34" s="171"/>
      <c r="H34" s="113"/>
      <c r="I34" s="100"/>
      <c r="J34" s="114">
        <f>G34+I34</f>
        <v>0</v>
      </c>
      <c r="K34" s="170"/>
      <c r="L34" s="171"/>
      <c r="M34" s="113"/>
      <c r="N34" s="100"/>
      <c r="O34" s="114">
        <f t="shared" si="1"/>
        <v>0</v>
      </c>
      <c r="P34" s="170"/>
      <c r="Q34" s="171"/>
      <c r="R34" s="113"/>
      <c r="S34" s="100"/>
      <c r="T34" s="114">
        <f t="shared" si="2"/>
        <v>0</v>
      </c>
      <c r="U34" s="170"/>
      <c r="V34" s="171"/>
      <c r="W34" s="113"/>
      <c r="X34" s="100"/>
      <c r="Y34" s="114">
        <f t="shared" si="3"/>
        <v>0</v>
      </c>
      <c r="Z34" s="170"/>
      <c r="AA34" s="171"/>
      <c r="AB34" s="113"/>
      <c r="AC34" s="100"/>
      <c r="AD34" s="114">
        <f t="shared" si="4"/>
        <v>0</v>
      </c>
      <c r="AE34" s="170"/>
      <c r="AF34" s="171"/>
      <c r="AG34" s="113"/>
      <c r="AH34" s="100"/>
      <c r="AI34" s="114">
        <f t="shared" si="5"/>
        <v>0</v>
      </c>
    </row>
    <row r="35" spans="1:35" ht="31.5" customHeight="1" x14ac:dyDescent="0.2">
      <c r="D35" s="210" t="s">
        <v>104</v>
      </c>
      <c r="E35" s="211"/>
      <c r="F35" s="98">
        <f>SUMIF($E15:$E34,"&lt;&gt;SÍ",F15:F34)</f>
        <v>0</v>
      </c>
      <c r="G35" s="101">
        <f>SUMIF($E15:$E34,"&lt;&gt;SÍ",G15:G34)</f>
        <v>0</v>
      </c>
      <c r="H35" s="102">
        <f>SUMIF($E15:$E34,"&lt;&gt;SÍ",H15:H34)</f>
        <v>2966.34</v>
      </c>
      <c r="I35" s="103">
        <f>SUMIF($E15:$E34,"&lt;&gt;SÍ",I15:I34)</f>
        <v>95704.36</v>
      </c>
      <c r="J35" s="79">
        <f>G35+I35</f>
        <v>95704.36</v>
      </c>
      <c r="K35" s="98">
        <f>SUMIF($E15:$E34,"&lt;&gt;SÍ",K15:K34)</f>
        <v>0</v>
      </c>
      <c r="L35" s="101">
        <f>SUMIF($E15:$E34,"&lt;&gt;SÍ",L15:L34)</f>
        <v>0</v>
      </c>
      <c r="M35" s="102">
        <f>SUMIF($E15:$E34,"&lt;&gt;SÍ",M15:M34)</f>
        <v>6177.01</v>
      </c>
      <c r="N35" s="103">
        <f>SUMIF($E15:$E34,"&lt;&gt;SÍ",N15:N34)</f>
        <v>254987.21000000002</v>
      </c>
      <c r="O35" s="79">
        <f>L35+N35</f>
        <v>254987.21000000002</v>
      </c>
      <c r="P35" s="98">
        <f>SUMIF($E15:$E34,"&lt;&gt;SÍ",P15:P34)</f>
        <v>0</v>
      </c>
      <c r="Q35" s="101">
        <f>SUMIF($E15:$E34,"&lt;&gt;SÍ",Q15:Q34)</f>
        <v>0</v>
      </c>
      <c r="R35" s="102">
        <f>SUMIF($E15:$E34,"&lt;&gt;SÍ",R15:R34)</f>
        <v>0</v>
      </c>
      <c r="S35" s="103">
        <f>SUMIF($E15:$E34,"&lt;&gt;SÍ",S15:S34)</f>
        <v>0</v>
      </c>
      <c r="T35" s="79">
        <f>Q35+S35</f>
        <v>0</v>
      </c>
      <c r="U35" s="98">
        <f>SUMIF($E15:$E34,"&lt;&gt;SÍ",U15:U34)</f>
        <v>0</v>
      </c>
      <c r="V35" s="101">
        <f>SUMIF($E15:$E34,"&lt;&gt;SÍ",V15:V34)</f>
        <v>0</v>
      </c>
      <c r="W35" s="102">
        <f>SUMIF($E15:$E34,"&lt;&gt;SÍ",W15:W34)</f>
        <v>0</v>
      </c>
      <c r="X35" s="103">
        <f>SUMIF($E15:$E34,"&lt;&gt;SÍ",X15:X34)</f>
        <v>0</v>
      </c>
      <c r="Y35" s="79">
        <f>V35+X35</f>
        <v>0</v>
      </c>
      <c r="Z35" s="98">
        <f>SUMIF($E15:$E34,"&lt;&gt;SÍ",Z15:Z34)</f>
        <v>0</v>
      </c>
      <c r="AA35" s="101">
        <f>SUMIF($E15:$E34,"&lt;&gt;SÍ",AA15:AA34)</f>
        <v>0</v>
      </c>
      <c r="AB35" s="102">
        <f>SUMIF($E15:$E34,"&lt;&gt;SÍ",AB15:AB34)</f>
        <v>0</v>
      </c>
      <c r="AC35" s="103">
        <f>SUMIF($E15:$E34,"&lt;&gt;SÍ",AC15:AC34)</f>
        <v>0</v>
      </c>
      <c r="AD35" s="79">
        <f>AA35+AC35</f>
        <v>0</v>
      </c>
      <c r="AE35" s="98">
        <f>SUMIF($E15:$E34,"&lt;&gt;SÍ",AE15:AE34)</f>
        <v>0</v>
      </c>
      <c r="AF35" s="101">
        <f>SUMIF($E15:$E34,"&lt;&gt;SÍ",AF15:AF34)</f>
        <v>0</v>
      </c>
      <c r="AG35" s="102">
        <f>SUMIF($E15:$E34,"&lt;&gt;SÍ",AG15:AG34)</f>
        <v>0</v>
      </c>
      <c r="AH35" s="103">
        <f>SUMIF($E15:$E34,"&lt;&gt;SÍ",AH15:AH34)</f>
        <v>0</v>
      </c>
      <c r="AI35" s="79">
        <f>AF35+AH35</f>
        <v>0</v>
      </c>
    </row>
    <row r="36" spans="1:35" ht="31.5" customHeight="1" thickBot="1" x14ac:dyDescent="0.25">
      <c r="D36" s="212" t="s">
        <v>105</v>
      </c>
      <c r="E36" s="213"/>
      <c r="F36" s="104">
        <f>SUMIF($E15:$E34,"SÍ",F15:F34)</f>
        <v>0</v>
      </c>
      <c r="G36" s="105">
        <f>SUMIF($E15:$E34,"SÍ",G15:G34)</f>
        <v>0</v>
      </c>
      <c r="H36" s="106"/>
      <c r="I36" s="107"/>
      <c r="J36" s="108">
        <f>G36</f>
        <v>0</v>
      </c>
      <c r="K36" s="104">
        <f>SUMIF($E15:$E34,"SÍ",K15:K34)</f>
        <v>0</v>
      </c>
      <c r="L36" s="105">
        <f>SUMIF($E15:$E34,"SÍ",L15:L34)</f>
        <v>0</v>
      </c>
      <c r="M36" s="106"/>
      <c r="N36" s="107"/>
      <c r="O36" s="108">
        <f>L36</f>
        <v>0</v>
      </c>
      <c r="P36" s="104">
        <f>SUMIF($E15:$E34,"SÍ",P15:P34)</f>
        <v>0</v>
      </c>
      <c r="Q36" s="105">
        <f>SUMIF($E15:$E34,"SÍ",Q15:Q34)</f>
        <v>0</v>
      </c>
      <c r="R36" s="106"/>
      <c r="S36" s="107"/>
      <c r="T36" s="108">
        <f>Q36</f>
        <v>0</v>
      </c>
      <c r="U36" s="104">
        <f>SUMIF($E15:$E34,"SÍ",U15:U34)</f>
        <v>0</v>
      </c>
      <c r="V36" s="105">
        <f>SUMIF($E15:$E34,"SÍ",V15:V34)</f>
        <v>0</v>
      </c>
      <c r="W36" s="106"/>
      <c r="X36" s="107"/>
      <c r="Y36" s="108">
        <f>V36</f>
        <v>0</v>
      </c>
      <c r="Z36" s="104">
        <f>SUMIF($E15:$E34,"SÍ",Z15:Z34)</f>
        <v>0</v>
      </c>
      <c r="AA36" s="105">
        <f>SUMIF($E15:$E34,"SÍ",AA15:AA34)</f>
        <v>0</v>
      </c>
      <c r="AB36" s="106"/>
      <c r="AC36" s="107"/>
      <c r="AD36" s="108">
        <f>AA36</f>
        <v>0</v>
      </c>
      <c r="AE36" s="104">
        <f>SUMIF($E15:$E34,"SÍ",AE15:AE34)</f>
        <v>0</v>
      </c>
      <c r="AF36" s="105">
        <f>SUMIF($E15:$E34,"SÍ",AF15:AF34)</f>
        <v>0</v>
      </c>
      <c r="AG36" s="106"/>
      <c r="AH36" s="107"/>
      <c r="AI36" s="108">
        <f>AF36</f>
        <v>0</v>
      </c>
    </row>
    <row r="37" spans="1:35" ht="31.5" customHeight="1" thickBot="1" x14ac:dyDescent="0.25">
      <c r="C37" s="115"/>
      <c r="D37" s="134" t="s">
        <v>11</v>
      </c>
      <c r="E37" s="135"/>
      <c r="F37" s="99">
        <f>F35+F36</f>
        <v>0</v>
      </c>
      <c r="G37" s="109">
        <f>G35+G36</f>
        <v>0</v>
      </c>
      <c r="H37" s="110">
        <f>H35</f>
        <v>2966.34</v>
      </c>
      <c r="I37" s="111">
        <f>I35</f>
        <v>95704.36</v>
      </c>
      <c r="J37" s="112">
        <f>G37+I37</f>
        <v>95704.36</v>
      </c>
      <c r="K37" s="99">
        <f>K35+K36</f>
        <v>0</v>
      </c>
      <c r="L37" s="109">
        <f>L35+L36</f>
        <v>0</v>
      </c>
      <c r="M37" s="110">
        <f>M35</f>
        <v>6177.01</v>
      </c>
      <c r="N37" s="111">
        <f>N35</f>
        <v>254987.21000000002</v>
      </c>
      <c r="O37" s="112">
        <f>L37+N37</f>
        <v>254987.21000000002</v>
      </c>
      <c r="P37" s="99">
        <f>P35+P36</f>
        <v>0</v>
      </c>
      <c r="Q37" s="109">
        <f>Q35+Q36</f>
        <v>0</v>
      </c>
      <c r="R37" s="110">
        <f>R35</f>
        <v>0</v>
      </c>
      <c r="S37" s="111">
        <f>S35</f>
        <v>0</v>
      </c>
      <c r="T37" s="112">
        <f>Q37+S37</f>
        <v>0</v>
      </c>
      <c r="U37" s="99">
        <f>U35+U36</f>
        <v>0</v>
      </c>
      <c r="V37" s="109">
        <f>V35+V36</f>
        <v>0</v>
      </c>
      <c r="W37" s="110">
        <f>W35</f>
        <v>0</v>
      </c>
      <c r="X37" s="111">
        <f>X35</f>
        <v>0</v>
      </c>
      <c r="Y37" s="112">
        <f>V37+X37</f>
        <v>0</v>
      </c>
      <c r="Z37" s="99">
        <f>Z35+Z36</f>
        <v>0</v>
      </c>
      <c r="AA37" s="109">
        <f>AA35+AA36</f>
        <v>0</v>
      </c>
      <c r="AB37" s="110">
        <f>AB35</f>
        <v>0</v>
      </c>
      <c r="AC37" s="111">
        <f>AC35</f>
        <v>0</v>
      </c>
      <c r="AD37" s="112">
        <f>AA37+AC37</f>
        <v>0</v>
      </c>
      <c r="AE37" s="99">
        <f>AE35+AE36</f>
        <v>0</v>
      </c>
      <c r="AF37" s="109">
        <f>AF35+AF36</f>
        <v>0</v>
      </c>
      <c r="AG37" s="110">
        <f>AG35</f>
        <v>0</v>
      </c>
      <c r="AH37" s="111">
        <f>AH35</f>
        <v>0</v>
      </c>
      <c r="AI37" s="112">
        <f>AF37+AH37</f>
        <v>0</v>
      </c>
    </row>
    <row r="38" spans="1:35" ht="6" customHeight="1" x14ac:dyDescent="0.2">
      <c r="A38" s="22"/>
      <c r="B38" s="22"/>
      <c r="C38" s="22"/>
      <c r="D38" s="22"/>
      <c r="E38" s="22"/>
      <c r="F38" s="22"/>
      <c r="G38" s="22"/>
      <c r="H38" s="22"/>
      <c r="I38" s="22"/>
      <c r="J38" s="22"/>
    </row>
  </sheetData>
  <sheetProtection insertRows="0"/>
  <protectedRanges>
    <protectedRange password="CC9E" sqref="B12:C38 G12 D1:G1 F38 D2:D5 D37:E38 H38:IU38 K34:K36 P34:P36 U34:U36 Z34:Z36 AE34:AE36 H34:J37 M34:O37 R34:T37 W34:Y37 AB34:AD37 AG13:IU13 D12:F36 AA15:AA37 V15:V37 Q15:Q37 H13:K13 L15:L37 G14:G38 B1:C5 B7:B8 A1:A8 A11:A38 E9:IU10 E2:G5 B11:G11 H1:IU8 H11:IU12 A9:B10 M13:P13 R13:U13 W13:Z13 AB13:AE13 AF15:IU37 H15:K33 M15:P33 R15:U33 W15:Z33 AB15:AE33 H14:IU14 E7:G8 F6:G6" name="Rango2"/>
    <protectedRange password="CC9E" sqref="A40:A65549 K40:IU65549 G12 F38:F65549 D2:D5 D37:E65549 D1:J1 K38:IU38 P34:P36 U34:U36 Z34:Z36 AE34:AE36 M34:O37 R34:T37 W34:Y37 AB34:AD37 AG13:IU13 D12:F36 AA15:AA37 V15:V37 Q15:Q37 K13 L15:L37 G14:G65549 B12:C65549 B1:C5 B7:B8 A1:A8 A11:A38 E9:IU10 E2:G5 B11:G11 K1:IU8 K11:IU12 I2:J8 H1:H8 H11:J65549 A9:B10 M13:P13 R13:U13 W13:Z13 AB13:AE13 AF15:IU37 K15:K36 M15:P33 R15:U33 W15:Z33 AB15:AE33 K14:IU14 E7:G8 F6:G6" name="Rango1"/>
    <protectedRange password="CC9E" sqref="A39:IU39" name="Rango2_1"/>
    <protectedRange password="CC9E" sqref="A39:IU39" name="Rango1_1"/>
    <protectedRange password="CC9E" sqref="E6" name="Rango2_3"/>
    <protectedRange password="CC9E" sqref="E6" name="Rango1_3"/>
    <protectedRange password="CC9E" sqref="B6" name="Rango2_6_1_1_2"/>
    <protectedRange password="CC9E" sqref="B6" name="Rango1_6_1_1_2"/>
  </protectedRanges>
  <mergeCells count="13">
    <mergeCell ref="AE13:AI13"/>
    <mergeCell ref="F13:J13"/>
    <mergeCell ref="D35:E35"/>
    <mergeCell ref="D36:E36"/>
    <mergeCell ref="B13:B14"/>
    <mergeCell ref="D13:D14"/>
    <mergeCell ref="C13:C14"/>
    <mergeCell ref="E13:E14"/>
    <mergeCell ref="B6:E6"/>
    <mergeCell ref="K13:O13"/>
    <mergeCell ref="P13:T13"/>
    <mergeCell ref="U13:Y13"/>
    <mergeCell ref="Z13:AD13"/>
  </mergeCells>
  <phoneticPr fontId="2" type="noConversion"/>
  <dataValidations count="1">
    <dataValidation type="list" allowBlank="1" showInputMessage="1" showErrorMessage="1" sqref="E15:E34" xr:uid="{00000000-0002-0000-0200-000000000000}">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B16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W40"/>
  <sheetViews>
    <sheetView showGridLines="0" zoomScale="70" zoomScaleNormal="70" workbookViewId="0">
      <pane xSplit="5" ySplit="15" topLeftCell="F16"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7.7109375" style="16" customWidth="1"/>
    <col min="4" max="4" width="19" style="16" customWidth="1"/>
    <col min="5" max="5" width="11.85546875" style="16" customWidth="1"/>
    <col min="6" max="14" width="14.7109375" style="16" customWidth="1"/>
    <col min="15" max="15" width="14" style="16" customWidth="1"/>
    <col min="16" max="17" width="13.85546875" style="16" customWidth="1"/>
    <col min="18" max="18" width="14.7109375" style="16" customWidth="1"/>
    <col min="19" max="19" width="14.140625" style="16" customWidth="1"/>
    <col min="20" max="20" width="15.42578125" style="16" customWidth="1"/>
    <col min="21" max="21" width="14.42578125" style="16" customWidth="1"/>
    <col min="22" max="22" width="14.85546875" style="16" customWidth="1"/>
    <col min="23" max="23" width="14.5703125" style="16" customWidth="1"/>
    <col min="24" max="16384" width="11.42578125" style="16"/>
  </cols>
  <sheetData>
    <row r="1" spans="1:23" ht="64.5" customHeight="1" x14ac:dyDescent="0.2">
      <c r="E1" s="229"/>
      <c r="F1" s="229"/>
      <c r="G1" s="229"/>
      <c r="H1" s="229"/>
      <c r="I1" s="229"/>
      <c r="J1" s="229"/>
      <c r="K1" s="12"/>
      <c r="L1" s="12"/>
      <c r="M1" s="12"/>
      <c r="N1" s="12"/>
    </row>
    <row r="2" spans="1:23" ht="15" customHeight="1" x14ac:dyDescent="0.2">
      <c r="B2" s="116"/>
    </row>
    <row r="3" spans="1:23" ht="15" customHeight="1" x14ac:dyDescent="0.2"/>
    <row r="4" spans="1:23" ht="15" x14ac:dyDescent="0.2">
      <c r="B4" s="93" t="s">
        <v>5</v>
      </c>
    </row>
    <row r="5" spans="1:23" ht="15" customHeight="1" x14ac:dyDescent="0.2">
      <c r="B5" s="221" t="s">
        <v>127</v>
      </c>
      <c r="C5" s="221"/>
      <c r="D5" s="221"/>
      <c r="E5" s="221"/>
      <c r="F5" s="221"/>
      <c r="G5" s="221"/>
      <c r="H5" s="221"/>
      <c r="I5" s="221"/>
      <c r="J5" s="221"/>
      <c r="K5" s="221"/>
      <c r="L5" s="221"/>
      <c r="M5" s="221"/>
      <c r="N5" s="221"/>
    </row>
    <row r="6" spans="1:23" ht="15" x14ac:dyDescent="0.2">
      <c r="C6" s="167"/>
      <c r="F6" s="88"/>
    </row>
    <row r="7" spans="1:23" ht="33.75" customHeight="1" x14ac:dyDescent="0.2">
      <c r="B7" s="208" t="s">
        <v>149</v>
      </c>
      <c r="C7" s="208"/>
      <c r="D7" s="208"/>
      <c r="E7" s="208"/>
      <c r="F7" s="88"/>
    </row>
    <row r="8" spans="1:23" ht="15" x14ac:dyDescent="0.2">
      <c r="B8" s="126"/>
      <c r="C8" s="167"/>
      <c r="F8" s="88"/>
    </row>
    <row r="9" spans="1:23" ht="15" x14ac:dyDescent="0.2">
      <c r="B9" s="126" t="s">
        <v>120</v>
      </c>
      <c r="C9" s="167"/>
      <c r="F9" s="88"/>
    </row>
    <row r="10" spans="1:23" ht="15" x14ac:dyDescent="0.2">
      <c r="B10" s="126"/>
      <c r="C10" s="167"/>
      <c r="F10" s="88"/>
    </row>
    <row r="11" spans="1:23" ht="27" customHeight="1" x14ac:dyDescent="0.2">
      <c r="B11" s="208" t="s">
        <v>136</v>
      </c>
      <c r="C11" s="208"/>
      <c r="D11" s="208"/>
      <c r="E11" s="208"/>
      <c r="F11" s="88"/>
    </row>
    <row r="12" spans="1:23" ht="15" x14ac:dyDescent="0.2">
      <c r="D12" s="167"/>
      <c r="F12" s="88"/>
    </row>
    <row r="13" spans="1:23" ht="6" customHeight="1" thickBot="1" x14ac:dyDescent="0.25"/>
    <row r="14" spans="1:23" ht="15.75" customHeight="1" thickBot="1" x14ac:dyDescent="0.25">
      <c r="A14" s="57"/>
      <c r="B14" s="214" t="s">
        <v>137</v>
      </c>
      <c r="C14" s="225" t="s">
        <v>146</v>
      </c>
      <c r="D14" s="214" t="s">
        <v>78</v>
      </c>
      <c r="E14" s="214" t="s">
        <v>124</v>
      </c>
      <c r="F14" s="222">
        <f>Personal!F13</f>
        <v>2021</v>
      </c>
      <c r="G14" s="223"/>
      <c r="H14" s="224"/>
      <c r="I14" s="222">
        <f>F14+1</f>
        <v>2022</v>
      </c>
      <c r="J14" s="223"/>
      <c r="K14" s="224"/>
      <c r="L14" s="222">
        <f>I14+1</f>
        <v>2023</v>
      </c>
      <c r="M14" s="223"/>
      <c r="N14" s="224"/>
      <c r="O14" s="222">
        <f>L14+1</f>
        <v>2024</v>
      </c>
      <c r="P14" s="223"/>
      <c r="Q14" s="224"/>
      <c r="R14" s="222">
        <f>O14+1</f>
        <v>2025</v>
      </c>
      <c r="S14" s="223"/>
      <c r="T14" s="224"/>
      <c r="U14" s="222">
        <f>R14+1</f>
        <v>2026</v>
      </c>
      <c r="V14" s="223"/>
      <c r="W14" s="224"/>
    </row>
    <row r="15" spans="1:23" s="57" customFormat="1" ht="78.75" customHeight="1" thickBot="1" x14ac:dyDescent="0.25">
      <c r="A15" s="16"/>
      <c r="B15" s="215" t="s">
        <v>1</v>
      </c>
      <c r="C15" s="226" t="s">
        <v>0</v>
      </c>
      <c r="D15" s="215"/>
      <c r="E15" s="215"/>
      <c r="F15" s="138" t="s">
        <v>7</v>
      </c>
      <c r="G15" s="139" t="s">
        <v>139</v>
      </c>
      <c r="H15" s="140" t="s">
        <v>8</v>
      </c>
      <c r="I15" s="138" t="s">
        <v>7</v>
      </c>
      <c r="J15" s="139" t="s">
        <v>139</v>
      </c>
      <c r="K15" s="140" t="s">
        <v>8</v>
      </c>
      <c r="L15" s="138" t="s">
        <v>7</v>
      </c>
      <c r="M15" s="139" t="s">
        <v>139</v>
      </c>
      <c r="N15" s="140" t="s">
        <v>8</v>
      </c>
      <c r="O15" s="138" t="s">
        <v>7</v>
      </c>
      <c r="P15" s="139" t="s">
        <v>139</v>
      </c>
      <c r="Q15" s="140" t="s">
        <v>8</v>
      </c>
      <c r="R15" s="138" t="s">
        <v>7</v>
      </c>
      <c r="S15" s="139" t="s">
        <v>139</v>
      </c>
      <c r="T15" s="140" t="s">
        <v>8</v>
      </c>
      <c r="U15" s="138" t="s">
        <v>7</v>
      </c>
      <c r="V15" s="139" t="s">
        <v>139</v>
      </c>
      <c r="W15" s="140" t="s">
        <v>8</v>
      </c>
    </row>
    <row r="16" spans="1:23" ht="15.75" customHeight="1" x14ac:dyDescent="0.2">
      <c r="B16" s="129">
        <v>1</v>
      </c>
      <c r="C16" s="67"/>
      <c r="D16" s="67"/>
      <c r="E16" s="68"/>
      <c r="F16" s="59"/>
      <c r="G16" s="65"/>
      <c r="H16" s="172">
        <f>SUM(F16:G16)</f>
        <v>0</v>
      </c>
      <c r="I16" s="59"/>
      <c r="J16" s="65"/>
      <c r="K16" s="172">
        <f>SUM(I16:J16)</f>
        <v>0</v>
      </c>
      <c r="L16" s="59"/>
      <c r="M16" s="65"/>
      <c r="N16" s="172">
        <f>SUM(L16:M16)</f>
        <v>0</v>
      </c>
      <c r="O16" s="59"/>
      <c r="P16" s="65"/>
      <c r="Q16" s="172">
        <f>SUM(O16:P16)</f>
        <v>0</v>
      </c>
      <c r="R16" s="59"/>
      <c r="S16" s="65"/>
      <c r="T16" s="172">
        <f>SUM(R16:S16)</f>
        <v>0</v>
      </c>
      <c r="U16" s="59"/>
      <c r="V16" s="65"/>
      <c r="W16" s="172">
        <f>U16+V16</f>
        <v>0</v>
      </c>
    </row>
    <row r="17" spans="2:23" ht="15" x14ac:dyDescent="0.2">
      <c r="B17" s="130">
        <f>B16+1</f>
        <v>2</v>
      </c>
      <c r="C17" s="69"/>
      <c r="D17" s="69"/>
      <c r="E17" s="70"/>
      <c r="F17" s="59"/>
      <c r="G17" s="60"/>
      <c r="H17" s="172">
        <f t="shared" ref="H17:H35" si="0">SUM(F17:G17)</f>
        <v>0</v>
      </c>
      <c r="I17" s="71"/>
      <c r="J17" s="72"/>
      <c r="K17" s="172">
        <f t="shared" ref="K17:K35" si="1">SUM(I17:J17)</f>
        <v>0</v>
      </c>
      <c r="L17" s="65"/>
      <c r="M17" s="65"/>
      <c r="N17" s="172">
        <f t="shared" ref="N17:N35" si="2">SUM(L17:M17)</f>
        <v>0</v>
      </c>
      <c r="O17" s="65"/>
      <c r="P17" s="65"/>
      <c r="Q17" s="172">
        <f t="shared" ref="Q17:Q35" si="3">SUM(O17:P17)</f>
        <v>0</v>
      </c>
      <c r="R17" s="65"/>
      <c r="S17" s="65"/>
      <c r="T17" s="172">
        <f t="shared" ref="T17:T35" si="4">SUM(R17:S17)</f>
        <v>0</v>
      </c>
      <c r="U17" s="65"/>
      <c r="V17" s="65"/>
      <c r="W17" s="172">
        <f t="shared" ref="W17:W35" si="5">U17+V17</f>
        <v>0</v>
      </c>
    </row>
    <row r="18" spans="2:23" ht="15" x14ac:dyDescent="0.2">
      <c r="B18" s="130">
        <f t="shared" ref="B18:B34" si="6">B17+1</f>
        <v>3</v>
      </c>
      <c r="C18" s="69"/>
      <c r="D18" s="69"/>
      <c r="E18" s="70"/>
      <c r="F18" s="59"/>
      <c r="G18" s="60"/>
      <c r="H18" s="172">
        <f t="shared" si="0"/>
        <v>0</v>
      </c>
      <c r="I18" s="71"/>
      <c r="J18" s="72"/>
      <c r="K18" s="172">
        <f t="shared" si="1"/>
        <v>0</v>
      </c>
      <c r="L18" s="65"/>
      <c r="M18" s="65"/>
      <c r="N18" s="172">
        <f t="shared" si="2"/>
        <v>0</v>
      </c>
      <c r="O18" s="65"/>
      <c r="P18" s="65"/>
      <c r="Q18" s="172">
        <f t="shared" si="3"/>
        <v>0</v>
      </c>
      <c r="R18" s="65"/>
      <c r="S18" s="65"/>
      <c r="T18" s="172">
        <f t="shared" si="4"/>
        <v>0</v>
      </c>
      <c r="U18" s="65"/>
      <c r="V18" s="65"/>
      <c r="W18" s="172">
        <f t="shared" si="5"/>
        <v>0</v>
      </c>
    </row>
    <row r="19" spans="2:23" ht="15" x14ac:dyDescent="0.2">
      <c r="B19" s="130">
        <f t="shared" si="6"/>
        <v>4</v>
      </c>
      <c r="C19" s="69"/>
      <c r="D19" s="69"/>
      <c r="E19" s="70"/>
      <c r="F19" s="59"/>
      <c r="G19" s="60"/>
      <c r="H19" s="172">
        <f t="shared" si="0"/>
        <v>0</v>
      </c>
      <c r="I19" s="71"/>
      <c r="J19" s="72"/>
      <c r="K19" s="172">
        <f t="shared" si="1"/>
        <v>0</v>
      </c>
      <c r="L19" s="65"/>
      <c r="M19" s="65"/>
      <c r="N19" s="172">
        <f t="shared" si="2"/>
        <v>0</v>
      </c>
      <c r="O19" s="65"/>
      <c r="P19" s="65"/>
      <c r="Q19" s="172">
        <f t="shared" si="3"/>
        <v>0</v>
      </c>
      <c r="R19" s="65"/>
      <c r="S19" s="65"/>
      <c r="T19" s="172">
        <f t="shared" si="4"/>
        <v>0</v>
      </c>
      <c r="U19" s="65"/>
      <c r="V19" s="65"/>
      <c r="W19" s="172">
        <f t="shared" si="5"/>
        <v>0</v>
      </c>
    </row>
    <row r="20" spans="2:23" ht="15" x14ac:dyDescent="0.2">
      <c r="B20" s="130">
        <f t="shared" si="6"/>
        <v>5</v>
      </c>
      <c r="C20" s="69"/>
      <c r="D20" s="69"/>
      <c r="E20" s="70"/>
      <c r="F20" s="59"/>
      <c r="G20" s="60"/>
      <c r="H20" s="172">
        <f t="shared" si="0"/>
        <v>0</v>
      </c>
      <c r="I20" s="71"/>
      <c r="J20" s="72"/>
      <c r="K20" s="172">
        <f t="shared" si="1"/>
        <v>0</v>
      </c>
      <c r="L20" s="65"/>
      <c r="M20" s="65"/>
      <c r="N20" s="172">
        <f t="shared" si="2"/>
        <v>0</v>
      </c>
      <c r="O20" s="65"/>
      <c r="P20" s="65"/>
      <c r="Q20" s="172">
        <f t="shared" si="3"/>
        <v>0</v>
      </c>
      <c r="R20" s="65"/>
      <c r="S20" s="65"/>
      <c r="T20" s="172">
        <f t="shared" si="4"/>
        <v>0</v>
      </c>
      <c r="U20" s="65"/>
      <c r="V20" s="65"/>
      <c r="W20" s="172">
        <f t="shared" si="5"/>
        <v>0</v>
      </c>
    </row>
    <row r="21" spans="2:23" ht="15" x14ac:dyDescent="0.2">
      <c r="B21" s="130">
        <f t="shared" si="6"/>
        <v>6</v>
      </c>
      <c r="C21" s="69"/>
      <c r="D21" s="69"/>
      <c r="E21" s="70"/>
      <c r="F21" s="59"/>
      <c r="G21" s="60"/>
      <c r="H21" s="172">
        <f t="shared" si="0"/>
        <v>0</v>
      </c>
      <c r="I21" s="71"/>
      <c r="J21" s="72"/>
      <c r="K21" s="172">
        <f t="shared" si="1"/>
        <v>0</v>
      </c>
      <c r="L21" s="65"/>
      <c r="M21" s="65"/>
      <c r="N21" s="172">
        <f t="shared" si="2"/>
        <v>0</v>
      </c>
      <c r="O21" s="65"/>
      <c r="P21" s="65"/>
      <c r="Q21" s="172">
        <f t="shared" si="3"/>
        <v>0</v>
      </c>
      <c r="R21" s="65"/>
      <c r="S21" s="65"/>
      <c r="T21" s="172">
        <f t="shared" si="4"/>
        <v>0</v>
      </c>
      <c r="U21" s="65"/>
      <c r="V21" s="65"/>
      <c r="W21" s="172">
        <f t="shared" si="5"/>
        <v>0</v>
      </c>
    </row>
    <row r="22" spans="2:23" ht="15" x14ac:dyDescent="0.2">
      <c r="B22" s="130">
        <f t="shared" si="6"/>
        <v>7</v>
      </c>
      <c r="C22" s="69"/>
      <c r="D22" s="69"/>
      <c r="E22" s="70"/>
      <c r="F22" s="59"/>
      <c r="G22" s="60"/>
      <c r="H22" s="172">
        <f t="shared" si="0"/>
        <v>0</v>
      </c>
      <c r="I22" s="71"/>
      <c r="J22" s="72"/>
      <c r="K22" s="172">
        <f t="shared" si="1"/>
        <v>0</v>
      </c>
      <c r="L22" s="65"/>
      <c r="M22" s="65"/>
      <c r="N22" s="172">
        <f t="shared" si="2"/>
        <v>0</v>
      </c>
      <c r="O22" s="65"/>
      <c r="P22" s="65"/>
      <c r="Q22" s="172">
        <f t="shared" si="3"/>
        <v>0</v>
      </c>
      <c r="R22" s="65"/>
      <c r="S22" s="65"/>
      <c r="T22" s="172">
        <f t="shared" si="4"/>
        <v>0</v>
      </c>
      <c r="U22" s="65"/>
      <c r="V22" s="65"/>
      <c r="W22" s="172">
        <f t="shared" si="5"/>
        <v>0</v>
      </c>
    </row>
    <row r="23" spans="2:23" ht="15" x14ac:dyDescent="0.2">
      <c r="B23" s="130">
        <f t="shared" si="6"/>
        <v>8</v>
      </c>
      <c r="C23" s="69"/>
      <c r="D23" s="69"/>
      <c r="E23" s="70"/>
      <c r="F23" s="59"/>
      <c r="G23" s="60"/>
      <c r="H23" s="172">
        <f t="shared" si="0"/>
        <v>0</v>
      </c>
      <c r="I23" s="71"/>
      <c r="J23" s="72"/>
      <c r="K23" s="172">
        <f t="shared" si="1"/>
        <v>0</v>
      </c>
      <c r="L23" s="65"/>
      <c r="M23" s="65"/>
      <c r="N23" s="172">
        <f t="shared" si="2"/>
        <v>0</v>
      </c>
      <c r="O23" s="65"/>
      <c r="P23" s="65"/>
      <c r="Q23" s="172">
        <f t="shared" si="3"/>
        <v>0</v>
      </c>
      <c r="R23" s="65"/>
      <c r="S23" s="65"/>
      <c r="T23" s="172">
        <f t="shared" si="4"/>
        <v>0</v>
      </c>
      <c r="U23" s="65"/>
      <c r="V23" s="65"/>
      <c r="W23" s="172">
        <f t="shared" si="5"/>
        <v>0</v>
      </c>
    </row>
    <row r="24" spans="2:23" ht="15" x14ac:dyDescent="0.2">
      <c r="B24" s="130">
        <f t="shared" si="6"/>
        <v>9</v>
      </c>
      <c r="C24" s="69"/>
      <c r="D24" s="69"/>
      <c r="E24" s="70"/>
      <c r="F24" s="59"/>
      <c r="G24" s="60"/>
      <c r="H24" s="172">
        <f t="shared" si="0"/>
        <v>0</v>
      </c>
      <c r="I24" s="71"/>
      <c r="J24" s="72"/>
      <c r="K24" s="172">
        <f t="shared" si="1"/>
        <v>0</v>
      </c>
      <c r="L24" s="65"/>
      <c r="M24" s="65"/>
      <c r="N24" s="172">
        <f t="shared" si="2"/>
        <v>0</v>
      </c>
      <c r="O24" s="65"/>
      <c r="P24" s="65"/>
      <c r="Q24" s="172">
        <f t="shared" si="3"/>
        <v>0</v>
      </c>
      <c r="R24" s="65"/>
      <c r="S24" s="65"/>
      <c r="T24" s="172">
        <f t="shared" si="4"/>
        <v>0</v>
      </c>
      <c r="U24" s="65"/>
      <c r="V24" s="65"/>
      <c r="W24" s="172">
        <f t="shared" si="5"/>
        <v>0</v>
      </c>
    </row>
    <row r="25" spans="2:23" ht="15" x14ac:dyDescent="0.2">
      <c r="B25" s="130">
        <f t="shared" si="6"/>
        <v>10</v>
      </c>
      <c r="C25" s="69"/>
      <c r="D25" s="69"/>
      <c r="E25" s="70"/>
      <c r="F25" s="59"/>
      <c r="G25" s="60"/>
      <c r="H25" s="172">
        <f t="shared" si="0"/>
        <v>0</v>
      </c>
      <c r="I25" s="71"/>
      <c r="J25" s="72"/>
      <c r="K25" s="172">
        <f t="shared" si="1"/>
        <v>0</v>
      </c>
      <c r="L25" s="65"/>
      <c r="M25" s="65"/>
      <c r="N25" s="172">
        <f t="shared" si="2"/>
        <v>0</v>
      </c>
      <c r="O25" s="65"/>
      <c r="P25" s="65"/>
      <c r="Q25" s="172">
        <f t="shared" si="3"/>
        <v>0</v>
      </c>
      <c r="R25" s="65"/>
      <c r="S25" s="65"/>
      <c r="T25" s="172">
        <f t="shared" si="4"/>
        <v>0</v>
      </c>
      <c r="U25" s="65"/>
      <c r="V25" s="65"/>
      <c r="W25" s="172">
        <f t="shared" si="5"/>
        <v>0</v>
      </c>
    </row>
    <row r="26" spans="2:23" ht="15" x14ac:dyDescent="0.2">
      <c r="B26" s="130">
        <f t="shared" si="6"/>
        <v>11</v>
      </c>
      <c r="C26" s="69"/>
      <c r="D26" s="69"/>
      <c r="E26" s="70"/>
      <c r="F26" s="59"/>
      <c r="G26" s="60"/>
      <c r="H26" s="172">
        <f t="shared" si="0"/>
        <v>0</v>
      </c>
      <c r="I26" s="71"/>
      <c r="J26" s="72"/>
      <c r="K26" s="172">
        <f t="shared" si="1"/>
        <v>0</v>
      </c>
      <c r="L26" s="65"/>
      <c r="M26" s="65"/>
      <c r="N26" s="172">
        <f t="shared" si="2"/>
        <v>0</v>
      </c>
      <c r="O26" s="65"/>
      <c r="P26" s="65"/>
      <c r="Q26" s="172">
        <f t="shared" si="3"/>
        <v>0</v>
      </c>
      <c r="R26" s="65"/>
      <c r="S26" s="65"/>
      <c r="T26" s="172">
        <f t="shared" si="4"/>
        <v>0</v>
      </c>
      <c r="U26" s="65"/>
      <c r="V26" s="65"/>
      <c r="W26" s="172">
        <f t="shared" si="5"/>
        <v>0</v>
      </c>
    </row>
    <row r="27" spans="2:23" ht="15" x14ac:dyDescent="0.2">
      <c r="B27" s="130">
        <f t="shared" si="6"/>
        <v>12</v>
      </c>
      <c r="C27" s="69"/>
      <c r="D27" s="69"/>
      <c r="E27" s="70"/>
      <c r="F27" s="59"/>
      <c r="G27" s="60"/>
      <c r="H27" s="172">
        <f t="shared" si="0"/>
        <v>0</v>
      </c>
      <c r="I27" s="71"/>
      <c r="J27" s="72"/>
      <c r="K27" s="172">
        <f t="shared" si="1"/>
        <v>0</v>
      </c>
      <c r="L27" s="65"/>
      <c r="M27" s="65"/>
      <c r="N27" s="172">
        <f t="shared" si="2"/>
        <v>0</v>
      </c>
      <c r="O27" s="65"/>
      <c r="P27" s="65"/>
      <c r="Q27" s="172">
        <f t="shared" si="3"/>
        <v>0</v>
      </c>
      <c r="R27" s="65"/>
      <c r="S27" s="65"/>
      <c r="T27" s="172">
        <f t="shared" si="4"/>
        <v>0</v>
      </c>
      <c r="U27" s="65"/>
      <c r="V27" s="65"/>
      <c r="W27" s="172">
        <f t="shared" si="5"/>
        <v>0</v>
      </c>
    </row>
    <row r="28" spans="2:23" ht="15" x14ac:dyDescent="0.2">
      <c r="B28" s="130">
        <f t="shared" si="6"/>
        <v>13</v>
      </c>
      <c r="C28" s="69"/>
      <c r="D28" s="69"/>
      <c r="E28" s="70"/>
      <c r="F28" s="59"/>
      <c r="G28" s="60"/>
      <c r="H28" s="172">
        <f t="shared" si="0"/>
        <v>0</v>
      </c>
      <c r="I28" s="71"/>
      <c r="J28" s="72"/>
      <c r="K28" s="172">
        <f t="shared" si="1"/>
        <v>0</v>
      </c>
      <c r="L28" s="65"/>
      <c r="M28" s="65"/>
      <c r="N28" s="172">
        <f t="shared" si="2"/>
        <v>0</v>
      </c>
      <c r="O28" s="65"/>
      <c r="P28" s="65"/>
      <c r="Q28" s="172">
        <f t="shared" si="3"/>
        <v>0</v>
      </c>
      <c r="R28" s="65"/>
      <c r="S28" s="65"/>
      <c r="T28" s="172">
        <f t="shared" si="4"/>
        <v>0</v>
      </c>
      <c r="U28" s="65"/>
      <c r="V28" s="65"/>
      <c r="W28" s="172">
        <f t="shared" si="5"/>
        <v>0</v>
      </c>
    </row>
    <row r="29" spans="2:23" ht="15" x14ac:dyDescent="0.2">
      <c r="B29" s="130">
        <f t="shared" si="6"/>
        <v>14</v>
      </c>
      <c r="C29" s="69"/>
      <c r="D29" s="69"/>
      <c r="E29" s="70"/>
      <c r="F29" s="59"/>
      <c r="G29" s="60"/>
      <c r="H29" s="172">
        <f t="shared" si="0"/>
        <v>0</v>
      </c>
      <c r="I29" s="71"/>
      <c r="J29" s="72"/>
      <c r="K29" s="172">
        <f t="shared" si="1"/>
        <v>0</v>
      </c>
      <c r="L29" s="65"/>
      <c r="M29" s="65"/>
      <c r="N29" s="172">
        <f t="shared" si="2"/>
        <v>0</v>
      </c>
      <c r="O29" s="65"/>
      <c r="P29" s="65"/>
      <c r="Q29" s="172">
        <f t="shared" si="3"/>
        <v>0</v>
      </c>
      <c r="R29" s="65"/>
      <c r="S29" s="65"/>
      <c r="T29" s="172">
        <f t="shared" si="4"/>
        <v>0</v>
      </c>
      <c r="U29" s="65"/>
      <c r="V29" s="65"/>
      <c r="W29" s="172">
        <f t="shared" si="5"/>
        <v>0</v>
      </c>
    </row>
    <row r="30" spans="2:23" ht="15" x14ac:dyDescent="0.2">
      <c r="B30" s="130">
        <f t="shared" si="6"/>
        <v>15</v>
      </c>
      <c r="C30" s="69"/>
      <c r="D30" s="69"/>
      <c r="E30" s="70"/>
      <c r="F30" s="59"/>
      <c r="G30" s="60"/>
      <c r="H30" s="172">
        <f t="shared" si="0"/>
        <v>0</v>
      </c>
      <c r="I30" s="71"/>
      <c r="J30" s="72"/>
      <c r="K30" s="172">
        <f t="shared" si="1"/>
        <v>0</v>
      </c>
      <c r="L30" s="65"/>
      <c r="M30" s="65"/>
      <c r="N30" s="172">
        <f t="shared" si="2"/>
        <v>0</v>
      </c>
      <c r="O30" s="65"/>
      <c r="P30" s="65"/>
      <c r="Q30" s="172">
        <f t="shared" si="3"/>
        <v>0</v>
      </c>
      <c r="R30" s="65"/>
      <c r="S30" s="65"/>
      <c r="T30" s="172">
        <f t="shared" si="4"/>
        <v>0</v>
      </c>
      <c r="U30" s="65"/>
      <c r="V30" s="65"/>
      <c r="W30" s="172">
        <f t="shared" si="5"/>
        <v>0</v>
      </c>
    </row>
    <row r="31" spans="2:23" ht="15" x14ac:dyDescent="0.2">
      <c r="B31" s="130">
        <f t="shared" si="6"/>
        <v>16</v>
      </c>
      <c r="C31" s="69"/>
      <c r="D31" s="69"/>
      <c r="E31" s="70"/>
      <c r="F31" s="59"/>
      <c r="G31" s="60"/>
      <c r="H31" s="172">
        <f t="shared" si="0"/>
        <v>0</v>
      </c>
      <c r="I31" s="71"/>
      <c r="J31" s="72"/>
      <c r="K31" s="172">
        <f t="shared" si="1"/>
        <v>0</v>
      </c>
      <c r="L31" s="65"/>
      <c r="M31" s="65"/>
      <c r="N31" s="172">
        <f t="shared" si="2"/>
        <v>0</v>
      </c>
      <c r="O31" s="65"/>
      <c r="P31" s="65"/>
      <c r="Q31" s="172">
        <f t="shared" si="3"/>
        <v>0</v>
      </c>
      <c r="R31" s="65"/>
      <c r="S31" s="65"/>
      <c r="T31" s="172">
        <f t="shared" si="4"/>
        <v>0</v>
      </c>
      <c r="U31" s="65"/>
      <c r="V31" s="65"/>
      <c r="W31" s="172">
        <f t="shared" si="5"/>
        <v>0</v>
      </c>
    </row>
    <row r="32" spans="2:23" ht="15" x14ac:dyDescent="0.2">
      <c r="B32" s="130">
        <f t="shared" si="6"/>
        <v>17</v>
      </c>
      <c r="C32" s="69"/>
      <c r="D32" s="69"/>
      <c r="E32" s="70"/>
      <c r="F32" s="59"/>
      <c r="G32" s="60"/>
      <c r="H32" s="172">
        <f t="shared" si="0"/>
        <v>0</v>
      </c>
      <c r="I32" s="71"/>
      <c r="J32" s="72"/>
      <c r="K32" s="172">
        <f t="shared" si="1"/>
        <v>0</v>
      </c>
      <c r="L32" s="65"/>
      <c r="M32" s="65"/>
      <c r="N32" s="172">
        <f t="shared" si="2"/>
        <v>0</v>
      </c>
      <c r="O32" s="65"/>
      <c r="P32" s="65"/>
      <c r="Q32" s="172">
        <f t="shared" si="3"/>
        <v>0</v>
      </c>
      <c r="R32" s="65"/>
      <c r="S32" s="65"/>
      <c r="T32" s="172">
        <f t="shared" si="4"/>
        <v>0</v>
      </c>
      <c r="U32" s="65"/>
      <c r="V32" s="65"/>
      <c r="W32" s="172">
        <f t="shared" si="5"/>
        <v>0</v>
      </c>
    </row>
    <row r="33" spans="2:23" ht="15" x14ac:dyDescent="0.2">
      <c r="B33" s="136">
        <f t="shared" si="6"/>
        <v>18</v>
      </c>
      <c r="C33" s="69"/>
      <c r="D33" s="69"/>
      <c r="E33" s="70"/>
      <c r="F33" s="59"/>
      <c r="G33" s="60"/>
      <c r="H33" s="172">
        <f t="shared" si="0"/>
        <v>0</v>
      </c>
      <c r="I33" s="71"/>
      <c r="J33" s="72"/>
      <c r="K33" s="172">
        <f t="shared" si="1"/>
        <v>0</v>
      </c>
      <c r="L33" s="65"/>
      <c r="M33" s="65"/>
      <c r="N33" s="172">
        <f t="shared" si="2"/>
        <v>0</v>
      </c>
      <c r="O33" s="65"/>
      <c r="P33" s="65"/>
      <c r="Q33" s="172">
        <f t="shared" si="3"/>
        <v>0</v>
      </c>
      <c r="R33" s="65"/>
      <c r="S33" s="65"/>
      <c r="T33" s="172">
        <f t="shared" si="4"/>
        <v>0</v>
      </c>
      <c r="U33" s="65"/>
      <c r="V33" s="65"/>
      <c r="W33" s="172">
        <f t="shared" si="5"/>
        <v>0</v>
      </c>
    </row>
    <row r="34" spans="2:23" ht="15" x14ac:dyDescent="0.2">
      <c r="B34" s="136">
        <f t="shared" si="6"/>
        <v>19</v>
      </c>
      <c r="C34" s="69"/>
      <c r="D34" s="69"/>
      <c r="E34" s="70"/>
      <c r="F34" s="59"/>
      <c r="G34" s="60"/>
      <c r="H34" s="172">
        <f t="shared" si="0"/>
        <v>0</v>
      </c>
      <c r="I34" s="71"/>
      <c r="J34" s="72"/>
      <c r="K34" s="172">
        <f t="shared" si="1"/>
        <v>0</v>
      </c>
      <c r="L34" s="65"/>
      <c r="M34" s="65"/>
      <c r="N34" s="172">
        <f t="shared" si="2"/>
        <v>0</v>
      </c>
      <c r="O34" s="65"/>
      <c r="P34" s="65"/>
      <c r="Q34" s="172">
        <f t="shared" si="3"/>
        <v>0</v>
      </c>
      <c r="R34" s="65"/>
      <c r="S34" s="65"/>
      <c r="T34" s="172">
        <f t="shared" si="4"/>
        <v>0</v>
      </c>
      <c r="U34" s="65"/>
      <c r="V34" s="65"/>
      <c r="W34" s="172">
        <f t="shared" si="5"/>
        <v>0</v>
      </c>
    </row>
    <row r="35" spans="2:23" ht="15.75" thickBot="1" x14ac:dyDescent="0.25">
      <c r="B35" s="137">
        <f>B34+1</f>
        <v>20</v>
      </c>
      <c r="C35" s="73"/>
      <c r="D35" s="73"/>
      <c r="E35" s="70"/>
      <c r="F35" s="59"/>
      <c r="G35" s="74"/>
      <c r="H35" s="173">
        <f t="shared" si="0"/>
        <v>0</v>
      </c>
      <c r="I35" s="75"/>
      <c r="J35" s="76"/>
      <c r="K35" s="173">
        <f t="shared" si="1"/>
        <v>0</v>
      </c>
      <c r="L35" s="65"/>
      <c r="M35" s="65"/>
      <c r="N35" s="173">
        <f t="shared" si="2"/>
        <v>0</v>
      </c>
      <c r="O35" s="65"/>
      <c r="P35" s="65"/>
      <c r="Q35" s="173">
        <f t="shared" si="3"/>
        <v>0</v>
      </c>
      <c r="R35" s="65"/>
      <c r="S35" s="65"/>
      <c r="T35" s="173">
        <f t="shared" si="4"/>
        <v>0</v>
      </c>
      <c r="U35" s="65"/>
      <c r="V35" s="65"/>
      <c r="W35" s="172">
        <f t="shared" si="5"/>
        <v>0</v>
      </c>
    </row>
    <row r="36" spans="2:23" ht="21" customHeight="1" thickBot="1" x14ac:dyDescent="0.25">
      <c r="C36" s="227" t="s">
        <v>16</v>
      </c>
      <c r="D36" s="228"/>
      <c r="E36" s="141" t="s">
        <v>13</v>
      </c>
      <c r="F36" s="77">
        <f t="shared" ref="F36:U38" si="7">SUMIF($E$16:$E$35,$E36,F$16:F$35)</f>
        <v>0</v>
      </c>
      <c r="G36" s="78">
        <f t="shared" si="7"/>
        <v>0</v>
      </c>
      <c r="H36" s="56">
        <f>SUM(F36:G36)</f>
        <v>0</v>
      </c>
      <c r="I36" s="77">
        <f t="shared" si="7"/>
        <v>0</v>
      </c>
      <c r="J36" s="78">
        <f t="shared" si="7"/>
        <v>0</v>
      </c>
      <c r="K36" s="56">
        <f>SUM(I36:J36)</f>
        <v>0</v>
      </c>
      <c r="L36" s="77">
        <f t="shared" si="7"/>
        <v>0</v>
      </c>
      <c r="M36" s="78">
        <f t="shared" si="7"/>
        <v>0</v>
      </c>
      <c r="N36" s="56">
        <f>SUM(L36:M36)</f>
        <v>0</v>
      </c>
      <c r="O36" s="77">
        <f t="shared" si="7"/>
        <v>0</v>
      </c>
      <c r="P36" s="78">
        <f t="shared" si="7"/>
        <v>0</v>
      </c>
      <c r="Q36" s="56">
        <f>SUM(O36:P36)</f>
        <v>0</v>
      </c>
      <c r="R36" s="77">
        <f t="shared" si="7"/>
        <v>0</v>
      </c>
      <c r="S36" s="78">
        <f t="shared" si="7"/>
        <v>0</v>
      </c>
      <c r="T36" s="56">
        <f>SUM(R36:S36)</f>
        <v>0</v>
      </c>
      <c r="U36" s="77">
        <f t="shared" si="7"/>
        <v>0</v>
      </c>
      <c r="V36" s="78">
        <f t="shared" ref="U36:V38" si="8">SUMIF($E$16:$E$35,$E36,V$16:V$35)</f>
        <v>0</v>
      </c>
      <c r="W36" s="56">
        <f>SUM(U36:V36)</f>
        <v>0</v>
      </c>
    </row>
    <row r="37" spans="2:23" ht="21" customHeight="1" thickBot="1" x14ac:dyDescent="0.25">
      <c r="C37" s="166" t="s">
        <v>17</v>
      </c>
      <c r="D37" s="166"/>
      <c r="E37" s="141" t="s">
        <v>14</v>
      </c>
      <c r="F37" s="77">
        <f t="shared" si="7"/>
        <v>0</v>
      </c>
      <c r="G37" s="78">
        <f t="shared" si="7"/>
        <v>0</v>
      </c>
      <c r="H37" s="56">
        <f>SUM(F37:G37)</f>
        <v>0</v>
      </c>
      <c r="I37" s="77">
        <f t="shared" si="7"/>
        <v>0</v>
      </c>
      <c r="J37" s="78">
        <f t="shared" si="7"/>
        <v>0</v>
      </c>
      <c r="K37" s="56">
        <f>SUM(I37:J37)</f>
        <v>0</v>
      </c>
      <c r="L37" s="77">
        <f t="shared" si="7"/>
        <v>0</v>
      </c>
      <c r="M37" s="78">
        <f t="shared" si="7"/>
        <v>0</v>
      </c>
      <c r="N37" s="56">
        <f>SUM(L37:M37)</f>
        <v>0</v>
      </c>
      <c r="O37" s="77">
        <f t="shared" si="7"/>
        <v>0</v>
      </c>
      <c r="P37" s="78">
        <f t="shared" si="7"/>
        <v>0</v>
      </c>
      <c r="Q37" s="56">
        <f>SUM(O37:P37)</f>
        <v>0</v>
      </c>
      <c r="R37" s="77">
        <f t="shared" si="7"/>
        <v>0</v>
      </c>
      <c r="S37" s="78">
        <f t="shared" si="7"/>
        <v>0</v>
      </c>
      <c r="T37" s="56">
        <f>SUM(R37:S37)</f>
        <v>0</v>
      </c>
      <c r="U37" s="77">
        <f t="shared" si="8"/>
        <v>0</v>
      </c>
      <c r="V37" s="78">
        <f t="shared" si="8"/>
        <v>0</v>
      </c>
      <c r="W37" s="56">
        <f>SUM(U37:V37)</f>
        <v>0</v>
      </c>
    </row>
    <row r="38" spans="2:23" ht="21" customHeight="1" thickBot="1" x14ac:dyDescent="0.25">
      <c r="C38" s="166" t="s">
        <v>18</v>
      </c>
      <c r="D38" s="166"/>
      <c r="E38" s="141" t="s">
        <v>27</v>
      </c>
      <c r="F38" s="77">
        <f t="shared" si="7"/>
        <v>0</v>
      </c>
      <c r="G38" s="78">
        <f t="shared" si="7"/>
        <v>0</v>
      </c>
      <c r="H38" s="56">
        <f>SUM(F38:G38)</f>
        <v>0</v>
      </c>
      <c r="I38" s="77">
        <f t="shared" si="7"/>
        <v>0</v>
      </c>
      <c r="J38" s="78">
        <f t="shared" si="7"/>
        <v>0</v>
      </c>
      <c r="K38" s="56">
        <f>SUM(I38:J38)</f>
        <v>0</v>
      </c>
      <c r="L38" s="77">
        <f t="shared" si="7"/>
        <v>0</v>
      </c>
      <c r="M38" s="78">
        <f t="shared" si="7"/>
        <v>0</v>
      </c>
      <c r="N38" s="56">
        <f>SUM(L38:M38)</f>
        <v>0</v>
      </c>
      <c r="O38" s="77">
        <f t="shared" si="7"/>
        <v>0</v>
      </c>
      <c r="P38" s="78">
        <f t="shared" si="7"/>
        <v>0</v>
      </c>
      <c r="Q38" s="56">
        <f>SUM(O38:P38)</f>
        <v>0</v>
      </c>
      <c r="R38" s="77">
        <f t="shared" si="7"/>
        <v>0</v>
      </c>
      <c r="S38" s="78">
        <f t="shared" si="7"/>
        <v>0</v>
      </c>
      <c r="T38" s="56">
        <f>SUM(R38:S38)</f>
        <v>0</v>
      </c>
      <c r="U38" s="77">
        <f t="shared" si="8"/>
        <v>0</v>
      </c>
      <c r="V38" s="78">
        <f t="shared" si="8"/>
        <v>0</v>
      </c>
      <c r="W38" s="56">
        <f>SUM(U38:V38)</f>
        <v>0</v>
      </c>
    </row>
    <row r="39" spans="2:23" ht="22.5" customHeight="1" thickBot="1" x14ac:dyDescent="0.25">
      <c r="C39" s="218" t="s">
        <v>125</v>
      </c>
      <c r="D39" s="219"/>
      <c r="E39" s="220"/>
      <c r="F39" s="55">
        <f>F36+F37+F38</f>
        <v>0</v>
      </c>
      <c r="G39" s="55">
        <f>G36+G37+G38</f>
        <v>0</v>
      </c>
      <c r="H39" s="56">
        <f>F39+G39</f>
        <v>0</v>
      </c>
      <c r="I39" s="55">
        <f>I36+I37+I38</f>
        <v>0</v>
      </c>
      <c r="J39" s="55">
        <f>J36+J37+J38</f>
        <v>0</v>
      </c>
      <c r="K39" s="56">
        <f>I39+J39</f>
        <v>0</v>
      </c>
      <c r="L39" s="55">
        <f>L36+L37+L38</f>
        <v>0</v>
      </c>
      <c r="M39" s="55">
        <f>M36+M37+M38</f>
        <v>0</v>
      </c>
      <c r="N39" s="56">
        <f>L39+M39</f>
        <v>0</v>
      </c>
      <c r="O39" s="55">
        <f>O36+O37+O38</f>
        <v>0</v>
      </c>
      <c r="P39" s="55">
        <f>P36+P37+P38</f>
        <v>0</v>
      </c>
      <c r="Q39" s="56">
        <f>O39+P39</f>
        <v>0</v>
      </c>
      <c r="R39" s="55">
        <f>R36+R37+R38</f>
        <v>0</v>
      </c>
      <c r="S39" s="55">
        <f>S36+S37+S38</f>
        <v>0</v>
      </c>
      <c r="T39" s="56">
        <f>R39+S39</f>
        <v>0</v>
      </c>
      <c r="U39" s="55">
        <f>U36+U37+U38</f>
        <v>0</v>
      </c>
      <c r="V39" s="55">
        <f>V36+V37+V38</f>
        <v>0</v>
      </c>
      <c r="W39" s="56">
        <f>U39+V39</f>
        <v>0</v>
      </c>
    </row>
    <row r="40" spans="2:23" ht="6" customHeight="1" x14ac:dyDescent="0.2"/>
  </sheetData>
  <sheetProtection insertRows="0"/>
  <protectedRanges>
    <protectedRange password="CC9E" sqref="E6 D12 A6:C6 G6:IV12 O5:IV5 A7:A8 A1:IV4 E8:E12 C8:C11 A9:B12 A13:IV65538 A5" name="Rango1"/>
    <protectedRange password="CC9E" sqref="F6:F12" name="Rango2"/>
    <protectedRange password="CC9E" sqref="F6:F12" name="Rango1_1"/>
    <protectedRange password="CC9E" sqref="B5:N5" name="Rango1_2"/>
    <protectedRange password="CC9E" sqref="B7:C7 E7" name="Rango1_3"/>
    <protectedRange password="CC9E" sqref="B8" name="Rango2_6"/>
    <protectedRange password="CC9E" sqref="B8" name="Rango1_6"/>
  </protectedRanges>
  <mergeCells count="16">
    <mergeCell ref="O14:Q14"/>
    <mergeCell ref="R14:T14"/>
    <mergeCell ref="U14:W14"/>
    <mergeCell ref="E1:J1"/>
    <mergeCell ref="B7:E7"/>
    <mergeCell ref="B11:E11"/>
    <mergeCell ref="C39:E39"/>
    <mergeCell ref="B5:N5"/>
    <mergeCell ref="I14:K14"/>
    <mergeCell ref="L14:N14"/>
    <mergeCell ref="B14:B15"/>
    <mergeCell ref="C14:C15"/>
    <mergeCell ref="F14:H14"/>
    <mergeCell ref="E14:E15"/>
    <mergeCell ref="D14:D15"/>
    <mergeCell ref="C36:D36"/>
  </mergeCells>
  <phoneticPr fontId="2" type="noConversion"/>
  <dataValidations count="1">
    <dataValidation type="list" allowBlank="1" showInputMessage="1" showErrorMessage="1" sqref="E16:E35" xr:uid="{00000000-0002-0000-0300-000000000000}">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6:G38 B16:B35 F36:F38 F14:H14 J14:K14" unlockedFormula="1"/>
    <ignoredError sqref="H36:H38"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35"/>
  <sheetViews>
    <sheetView showGridLines="0" showZeros="0" zoomScale="70" zoomScaleNormal="70" workbookViewId="0">
      <pane xSplit="4" ySplit="13" topLeftCell="E14" activePane="bottomRight" state="frozen"/>
      <selection activeCell="E44" sqref="E44"/>
      <selection pane="topRight" activeCell="E44" sqref="E44"/>
      <selection pane="bottomLeft" activeCell="E44" sqref="E44"/>
      <selection pane="bottomRight" activeCell="A33" sqref="A33:XFD33"/>
    </sheetView>
  </sheetViews>
  <sheetFormatPr baseColWidth="10" defaultColWidth="11.42578125" defaultRowHeight="14.25" x14ac:dyDescent="0.2"/>
  <cols>
    <col min="1" max="1" width="1.7109375" style="16" customWidth="1"/>
    <col min="2" max="2" width="14.7109375" style="16" customWidth="1"/>
    <col min="3" max="3" width="96.28515625" style="16" customWidth="1"/>
    <col min="4" max="4" width="18.140625" style="16" customWidth="1"/>
    <col min="5" max="5" width="14.7109375" style="16" hidden="1" customWidth="1"/>
    <col min="6" max="7" width="18.140625" style="16" bestFit="1" customWidth="1"/>
    <col min="8" max="8" width="14.7109375" style="16" hidden="1" customWidth="1"/>
    <col min="9" max="10" width="18.5703125" style="16" bestFit="1" customWidth="1"/>
    <col min="11" max="11" width="14.7109375" style="16" hidden="1" customWidth="1"/>
    <col min="12" max="13" width="14.7109375" style="16" customWidth="1"/>
    <col min="14" max="14" width="15.42578125" style="16" hidden="1" customWidth="1"/>
    <col min="15" max="15" width="15.28515625" style="16" customWidth="1"/>
    <col min="16" max="16" width="16" style="16" customWidth="1"/>
    <col min="17" max="17" width="15" style="16" hidden="1" customWidth="1"/>
    <col min="18" max="19" width="15" style="16" customWidth="1"/>
    <col min="20" max="20" width="15.42578125" style="16" customWidth="1"/>
    <col min="21" max="21" width="14.28515625" style="16" customWidth="1"/>
    <col min="22" max="22" width="14.7109375" style="16" customWidth="1"/>
    <col min="23" max="16384" width="11.42578125" style="16"/>
  </cols>
  <sheetData>
    <row r="1" spans="1:22" ht="63" customHeight="1" x14ac:dyDescent="0.2">
      <c r="E1" s="229"/>
      <c r="F1" s="229"/>
      <c r="G1" s="229"/>
      <c r="H1" s="229"/>
      <c r="I1" s="229"/>
      <c r="J1" s="12"/>
      <c r="K1" s="12"/>
      <c r="L1" s="12"/>
      <c r="M1" s="12"/>
    </row>
    <row r="4" spans="1:22" ht="15" x14ac:dyDescent="0.2">
      <c r="B4" s="93" t="s">
        <v>5</v>
      </c>
    </row>
    <row r="5" spans="1:22" ht="15" x14ac:dyDescent="0.2">
      <c r="B5" s="21" t="s">
        <v>15</v>
      </c>
    </row>
    <row r="7" spans="1:22" ht="28.5" customHeight="1" x14ac:dyDescent="0.2">
      <c r="B7" s="208" t="s">
        <v>149</v>
      </c>
      <c r="C7" s="208"/>
      <c r="D7" s="208"/>
      <c r="E7" s="190"/>
    </row>
    <row r="8" spans="1:22" ht="15" x14ac:dyDescent="0.2">
      <c r="B8" s="126"/>
      <c r="C8" s="167"/>
      <c r="D8" s="19"/>
      <c r="E8" s="88"/>
    </row>
    <row r="9" spans="1:22" ht="29.25" customHeight="1" x14ac:dyDescent="0.2">
      <c r="B9" s="208" t="s">
        <v>129</v>
      </c>
      <c r="C9" s="208"/>
      <c r="D9" s="208"/>
      <c r="E9" s="88"/>
    </row>
    <row r="10" spans="1:22" ht="15" x14ac:dyDescent="0.2">
      <c r="B10" s="126"/>
      <c r="C10" s="167"/>
      <c r="D10" s="167"/>
      <c r="E10" s="88"/>
    </row>
    <row r="11" spans="1:22" ht="6" customHeight="1" thickBot="1" x14ac:dyDescent="0.25"/>
    <row r="12" spans="1:22" ht="15.75" customHeight="1" thickBot="1" x14ac:dyDescent="0.25">
      <c r="A12" s="57"/>
      <c r="B12" s="214" t="s">
        <v>137</v>
      </c>
      <c r="C12" s="225" t="s">
        <v>146</v>
      </c>
      <c r="D12" s="214" t="s">
        <v>78</v>
      </c>
      <c r="E12" s="222">
        <f>Personal!F13</f>
        <v>2021</v>
      </c>
      <c r="F12" s="223"/>
      <c r="G12" s="224"/>
      <c r="H12" s="222">
        <f>E12+1</f>
        <v>2022</v>
      </c>
      <c r="I12" s="223"/>
      <c r="J12" s="224"/>
      <c r="K12" s="222">
        <f>H12+1</f>
        <v>2023</v>
      </c>
      <c r="L12" s="223"/>
      <c r="M12" s="224"/>
      <c r="N12" s="222">
        <f>K12+1</f>
        <v>2024</v>
      </c>
      <c r="O12" s="223"/>
      <c r="P12" s="224"/>
      <c r="Q12" s="222">
        <f>N12+1</f>
        <v>2025</v>
      </c>
      <c r="R12" s="223"/>
      <c r="S12" s="224"/>
      <c r="T12" s="222">
        <f>Q12+1</f>
        <v>2026</v>
      </c>
      <c r="U12" s="223"/>
      <c r="V12" s="224"/>
    </row>
    <row r="13" spans="1:22" s="57" customFormat="1" ht="66.75" customHeight="1" thickBot="1" x14ac:dyDescent="0.25">
      <c r="A13" s="16"/>
      <c r="B13" s="215" t="s">
        <v>1</v>
      </c>
      <c r="C13" s="226" t="s">
        <v>0</v>
      </c>
      <c r="D13" s="215"/>
      <c r="E13" s="138" t="s">
        <v>7</v>
      </c>
      <c r="F13" s="139" t="s">
        <v>139</v>
      </c>
      <c r="G13" s="140" t="s">
        <v>8</v>
      </c>
      <c r="H13" s="138" t="s">
        <v>7</v>
      </c>
      <c r="I13" s="139" t="s">
        <v>139</v>
      </c>
      <c r="J13" s="140" t="s">
        <v>8</v>
      </c>
      <c r="K13" s="142" t="s">
        <v>7</v>
      </c>
      <c r="L13" s="139" t="s">
        <v>139</v>
      </c>
      <c r="M13" s="140" t="s">
        <v>8</v>
      </c>
      <c r="N13" s="142" t="s">
        <v>7</v>
      </c>
      <c r="O13" s="139" t="s">
        <v>139</v>
      </c>
      <c r="P13" s="140" t="s">
        <v>8</v>
      </c>
      <c r="Q13" s="142" t="s">
        <v>7</v>
      </c>
      <c r="R13" s="139" t="s">
        <v>139</v>
      </c>
      <c r="S13" s="140" t="s">
        <v>8</v>
      </c>
      <c r="T13" s="142" t="s">
        <v>7</v>
      </c>
      <c r="U13" s="139" t="s">
        <v>139</v>
      </c>
      <c r="V13" s="140" t="s">
        <v>8</v>
      </c>
    </row>
    <row r="14" spans="1:22" ht="15.75" customHeight="1" x14ac:dyDescent="0.2">
      <c r="B14" s="129">
        <v>1</v>
      </c>
      <c r="C14" s="64" t="s">
        <v>269</v>
      </c>
      <c r="D14" s="162" t="s">
        <v>270</v>
      </c>
      <c r="E14" s="59"/>
      <c r="F14" s="65"/>
      <c r="G14" s="172">
        <f>E14+F14</f>
        <v>0</v>
      </c>
      <c r="H14" s="59"/>
      <c r="I14" s="65">
        <v>335355.24</v>
      </c>
      <c r="J14" s="172">
        <f>SUM(H14:I14)</f>
        <v>335355.24</v>
      </c>
      <c r="K14" s="59"/>
      <c r="L14" s="65"/>
      <c r="M14" s="172">
        <f>SUM(K14:L14)</f>
        <v>0</v>
      </c>
      <c r="N14" s="59"/>
      <c r="O14" s="65"/>
      <c r="P14" s="172">
        <f>SUM(N14:O14)</f>
        <v>0</v>
      </c>
      <c r="Q14" s="59"/>
      <c r="R14" s="65"/>
      <c r="S14" s="172">
        <f>SUM(Q14:R14)</f>
        <v>0</v>
      </c>
      <c r="T14" s="59"/>
      <c r="U14" s="65"/>
      <c r="V14" s="172">
        <f>SUM(T14:U14)</f>
        <v>0</v>
      </c>
    </row>
    <row r="15" spans="1:22" ht="15" x14ac:dyDescent="0.2">
      <c r="B15" s="130">
        <f>B14+1</f>
        <v>2</v>
      </c>
      <c r="C15" s="66" t="s">
        <v>271</v>
      </c>
      <c r="D15" s="163" t="s">
        <v>272</v>
      </c>
      <c r="E15" s="59"/>
      <c r="F15" s="60"/>
      <c r="G15" s="172">
        <f t="shared" ref="G15:G33" si="0">E15+F15</f>
        <v>0</v>
      </c>
      <c r="H15" s="59"/>
      <c r="I15" s="60">
        <v>38355.26</v>
      </c>
      <c r="J15" s="172">
        <f t="shared" ref="J15:J33" si="1">SUM(H15:I15)</f>
        <v>38355.26</v>
      </c>
      <c r="K15" s="59"/>
      <c r="L15" s="60"/>
      <c r="M15" s="172">
        <f t="shared" ref="M15:M33" si="2">SUM(K15:L15)</f>
        <v>0</v>
      </c>
      <c r="N15" s="59"/>
      <c r="O15" s="60"/>
      <c r="P15" s="172">
        <f t="shared" ref="P15:P33" si="3">SUM(N15:O15)</f>
        <v>0</v>
      </c>
      <c r="Q15" s="59"/>
      <c r="R15" s="60"/>
      <c r="S15" s="172">
        <f t="shared" ref="S15:S33" si="4">SUM(Q15:R15)</f>
        <v>0</v>
      </c>
      <c r="T15" s="59"/>
      <c r="U15" s="60"/>
      <c r="V15" s="172">
        <f t="shared" ref="V15:V33" si="5">SUM(T15:U15)</f>
        <v>0</v>
      </c>
    </row>
    <row r="16" spans="1:22" ht="15" x14ac:dyDescent="0.2">
      <c r="B16" s="130">
        <f t="shared" ref="B16:B32" si="6">B15+1</f>
        <v>3</v>
      </c>
      <c r="C16" s="66" t="s">
        <v>273</v>
      </c>
      <c r="D16" s="163" t="s">
        <v>274</v>
      </c>
      <c r="E16" s="59"/>
      <c r="F16" s="60"/>
      <c r="G16" s="172">
        <f t="shared" si="0"/>
        <v>0</v>
      </c>
      <c r="H16" s="59"/>
      <c r="I16" s="60">
        <v>215000</v>
      </c>
      <c r="J16" s="172">
        <f t="shared" si="1"/>
        <v>215000</v>
      </c>
      <c r="K16" s="59"/>
      <c r="L16" s="60"/>
      <c r="M16" s="172">
        <f t="shared" si="2"/>
        <v>0</v>
      </c>
      <c r="N16" s="59"/>
      <c r="O16" s="60"/>
      <c r="P16" s="172">
        <f t="shared" si="3"/>
        <v>0</v>
      </c>
      <c r="Q16" s="59"/>
      <c r="R16" s="60"/>
      <c r="S16" s="172">
        <f t="shared" si="4"/>
        <v>0</v>
      </c>
      <c r="T16" s="59"/>
      <c r="U16" s="60"/>
      <c r="V16" s="172">
        <f t="shared" si="5"/>
        <v>0</v>
      </c>
    </row>
    <row r="17" spans="2:22" ht="15" x14ac:dyDescent="0.2">
      <c r="B17" s="130">
        <f t="shared" si="6"/>
        <v>4</v>
      </c>
      <c r="C17" s="66" t="s">
        <v>275</v>
      </c>
      <c r="D17" s="163" t="s">
        <v>276</v>
      </c>
      <c r="E17" s="59"/>
      <c r="F17" s="60"/>
      <c r="G17" s="172">
        <f t="shared" si="0"/>
        <v>0</v>
      </c>
      <c r="H17" s="59"/>
      <c r="I17" s="60">
        <v>515360.51300000004</v>
      </c>
      <c r="J17" s="172">
        <f t="shared" si="1"/>
        <v>515360.51300000004</v>
      </c>
      <c r="K17" s="59"/>
      <c r="L17" s="60"/>
      <c r="M17" s="172">
        <f t="shared" si="2"/>
        <v>0</v>
      </c>
      <c r="N17" s="59"/>
      <c r="O17" s="60"/>
      <c r="P17" s="172">
        <f t="shared" si="3"/>
        <v>0</v>
      </c>
      <c r="Q17" s="59"/>
      <c r="R17" s="60"/>
      <c r="S17" s="172">
        <f t="shared" si="4"/>
        <v>0</v>
      </c>
      <c r="T17" s="59"/>
      <c r="U17" s="60"/>
      <c r="V17" s="172">
        <f t="shared" si="5"/>
        <v>0</v>
      </c>
    </row>
    <row r="18" spans="2:22" ht="15" x14ac:dyDescent="0.2">
      <c r="B18" s="130">
        <f t="shared" si="6"/>
        <v>5</v>
      </c>
      <c r="C18" s="66" t="s">
        <v>158</v>
      </c>
      <c r="D18" s="163" t="s">
        <v>159</v>
      </c>
      <c r="E18" s="59"/>
      <c r="F18" s="60"/>
      <c r="G18" s="172">
        <f t="shared" si="0"/>
        <v>0</v>
      </c>
      <c r="H18" s="59"/>
      <c r="I18" s="60">
        <v>91403.39</v>
      </c>
      <c r="J18" s="172">
        <f t="shared" si="1"/>
        <v>91403.39</v>
      </c>
      <c r="K18" s="59"/>
      <c r="L18" s="60"/>
      <c r="M18" s="172">
        <f t="shared" si="2"/>
        <v>0</v>
      </c>
      <c r="N18" s="59"/>
      <c r="O18" s="60"/>
      <c r="P18" s="172">
        <f t="shared" si="3"/>
        <v>0</v>
      </c>
      <c r="Q18" s="59"/>
      <c r="R18" s="60"/>
      <c r="S18" s="172">
        <f t="shared" si="4"/>
        <v>0</v>
      </c>
      <c r="T18" s="59"/>
      <c r="U18" s="60"/>
      <c r="V18" s="172">
        <f t="shared" si="5"/>
        <v>0</v>
      </c>
    </row>
    <row r="19" spans="2:22" ht="15" x14ac:dyDescent="0.2">
      <c r="B19" s="130">
        <f t="shared" si="6"/>
        <v>6</v>
      </c>
      <c r="C19" s="66" t="s">
        <v>277</v>
      </c>
      <c r="D19" s="163" t="s">
        <v>278</v>
      </c>
      <c r="E19" s="59"/>
      <c r="F19" s="60"/>
      <c r="G19" s="172">
        <f t="shared" si="0"/>
        <v>0</v>
      </c>
      <c r="H19" s="59"/>
      <c r="I19" s="60">
        <v>97360</v>
      </c>
      <c r="J19" s="172">
        <f t="shared" si="1"/>
        <v>97360</v>
      </c>
      <c r="K19" s="59"/>
      <c r="L19" s="60"/>
      <c r="M19" s="172">
        <f t="shared" si="2"/>
        <v>0</v>
      </c>
      <c r="N19" s="59"/>
      <c r="O19" s="60"/>
      <c r="P19" s="172">
        <f t="shared" si="3"/>
        <v>0</v>
      </c>
      <c r="Q19" s="59"/>
      <c r="R19" s="60"/>
      <c r="S19" s="172">
        <f t="shared" si="4"/>
        <v>0</v>
      </c>
      <c r="T19" s="59"/>
      <c r="U19" s="60"/>
      <c r="V19" s="172">
        <f t="shared" si="5"/>
        <v>0</v>
      </c>
    </row>
    <row r="20" spans="2:22" ht="15.75" thickBot="1" x14ac:dyDescent="0.25">
      <c r="B20" s="130">
        <f t="shared" si="6"/>
        <v>7</v>
      </c>
      <c r="C20" s="66" t="s">
        <v>268</v>
      </c>
      <c r="D20" s="163"/>
      <c r="E20" s="59"/>
      <c r="F20" s="65">
        <v>256004.37</v>
      </c>
      <c r="G20" s="172">
        <f t="shared" si="0"/>
        <v>256004.37</v>
      </c>
      <c r="H20" s="59"/>
      <c r="I20" s="60"/>
      <c r="J20" s="172">
        <f t="shared" si="1"/>
        <v>0</v>
      </c>
      <c r="K20" s="59"/>
      <c r="L20" s="60"/>
      <c r="M20" s="172">
        <f t="shared" si="2"/>
        <v>0</v>
      </c>
      <c r="N20" s="59"/>
      <c r="O20" s="60"/>
      <c r="P20" s="172">
        <f t="shared" si="3"/>
        <v>0</v>
      </c>
      <c r="Q20" s="59"/>
      <c r="R20" s="60"/>
      <c r="S20" s="172">
        <f t="shared" si="4"/>
        <v>0</v>
      </c>
      <c r="T20" s="59"/>
      <c r="U20" s="60"/>
      <c r="V20" s="172">
        <f t="shared" si="5"/>
        <v>0</v>
      </c>
    </row>
    <row r="21" spans="2:22" ht="15" hidden="1" x14ac:dyDescent="0.2">
      <c r="B21" s="130">
        <f t="shared" si="6"/>
        <v>8</v>
      </c>
      <c r="C21" s="66"/>
      <c r="D21" s="163"/>
      <c r="E21" s="59"/>
      <c r="F21" s="60"/>
      <c r="G21" s="172">
        <f t="shared" si="0"/>
        <v>0</v>
      </c>
      <c r="H21" s="59"/>
      <c r="I21" s="60"/>
      <c r="J21" s="172">
        <f t="shared" si="1"/>
        <v>0</v>
      </c>
      <c r="K21" s="59"/>
      <c r="L21" s="60"/>
      <c r="M21" s="172">
        <f t="shared" si="2"/>
        <v>0</v>
      </c>
      <c r="N21" s="59"/>
      <c r="O21" s="60"/>
      <c r="P21" s="172">
        <f t="shared" si="3"/>
        <v>0</v>
      </c>
      <c r="Q21" s="59"/>
      <c r="R21" s="60"/>
      <c r="S21" s="172">
        <f t="shared" si="4"/>
        <v>0</v>
      </c>
      <c r="T21" s="59"/>
      <c r="U21" s="60"/>
      <c r="V21" s="172">
        <f t="shared" si="5"/>
        <v>0</v>
      </c>
    </row>
    <row r="22" spans="2:22" ht="15" hidden="1" x14ac:dyDescent="0.2">
      <c r="B22" s="130">
        <f t="shared" si="6"/>
        <v>9</v>
      </c>
      <c r="C22" s="66"/>
      <c r="D22" s="163"/>
      <c r="E22" s="59"/>
      <c r="F22" s="60"/>
      <c r="G22" s="172">
        <f t="shared" si="0"/>
        <v>0</v>
      </c>
      <c r="H22" s="59"/>
      <c r="I22" s="60"/>
      <c r="J22" s="172">
        <f t="shared" si="1"/>
        <v>0</v>
      </c>
      <c r="K22" s="59"/>
      <c r="L22" s="60"/>
      <c r="M22" s="172">
        <f t="shared" si="2"/>
        <v>0</v>
      </c>
      <c r="N22" s="59"/>
      <c r="O22" s="60"/>
      <c r="P22" s="172">
        <f t="shared" si="3"/>
        <v>0</v>
      </c>
      <c r="Q22" s="59"/>
      <c r="R22" s="60"/>
      <c r="S22" s="172">
        <f t="shared" si="4"/>
        <v>0</v>
      </c>
      <c r="T22" s="59"/>
      <c r="U22" s="60"/>
      <c r="V22" s="172">
        <f t="shared" si="5"/>
        <v>0</v>
      </c>
    </row>
    <row r="23" spans="2:22" ht="15" hidden="1" x14ac:dyDescent="0.2">
      <c r="B23" s="130">
        <f t="shared" si="6"/>
        <v>10</v>
      </c>
      <c r="C23" s="66"/>
      <c r="D23" s="163"/>
      <c r="E23" s="59"/>
      <c r="F23" s="60"/>
      <c r="G23" s="172">
        <f t="shared" si="0"/>
        <v>0</v>
      </c>
      <c r="H23" s="59"/>
      <c r="I23" s="60"/>
      <c r="J23" s="172">
        <f t="shared" si="1"/>
        <v>0</v>
      </c>
      <c r="K23" s="59"/>
      <c r="L23" s="60"/>
      <c r="M23" s="172">
        <f t="shared" si="2"/>
        <v>0</v>
      </c>
      <c r="N23" s="59"/>
      <c r="O23" s="60"/>
      <c r="P23" s="172">
        <f t="shared" si="3"/>
        <v>0</v>
      </c>
      <c r="Q23" s="59"/>
      <c r="R23" s="60"/>
      <c r="S23" s="172">
        <f t="shared" si="4"/>
        <v>0</v>
      </c>
      <c r="T23" s="59"/>
      <c r="U23" s="60"/>
      <c r="V23" s="172">
        <f t="shared" si="5"/>
        <v>0</v>
      </c>
    </row>
    <row r="24" spans="2:22" ht="15" hidden="1" x14ac:dyDescent="0.2">
      <c r="B24" s="130">
        <f t="shared" si="6"/>
        <v>11</v>
      </c>
      <c r="C24" s="66"/>
      <c r="D24" s="163"/>
      <c r="E24" s="59"/>
      <c r="F24" s="60"/>
      <c r="G24" s="172">
        <f t="shared" si="0"/>
        <v>0</v>
      </c>
      <c r="H24" s="59"/>
      <c r="I24" s="60"/>
      <c r="J24" s="172">
        <f t="shared" si="1"/>
        <v>0</v>
      </c>
      <c r="K24" s="59"/>
      <c r="L24" s="60"/>
      <c r="M24" s="172">
        <f t="shared" si="2"/>
        <v>0</v>
      </c>
      <c r="N24" s="59"/>
      <c r="O24" s="60"/>
      <c r="P24" s="172">
        <f t="shared" si="3"/>
        <v>0</v>
      </c>
      <c r="Q24" s="59"/>
      <c r="R24" s="60"/>
      <c r="S24" s="172">
        <f t="shared" si="4"/>
        <v>0</v>
      </c>
      <c r="T24" s="59"/>
      <c r="U24" s="60"/>
      <c r="V24" s="172">
        <f t="shared" si="5"/>
        <v>0</v>
      </c>
    </row>
    <row r="25" spans="2:22" ht="15" hidden="1" x14ac:dyDescent="0.2">
      <c r="B25" s="130">
        <f t="shared" si="6"/>
        <v>12</v>
      </c>
      <c r="C25" s="66"/>
      <c r="D25" s="163"/>
      <c r="E25" s="59"/>
      <c r="F25" s="60"/>
      <c r="G25" s="172">
        <f t="shared" si="0"/>
        <v>0</v>
      </c>
      <c r="H25" s="59"/>
      <c r="I25" s="60"/>
      <c r="J25" s="172">
        <f t="shared" si="1"/>
        <v>0</v>
      </c>
      <c r="K25" s="59"/>
      <c r="L25" s="60"/>
      <c r="M25" s="172">
        <f t="shared" si="2"/>
        <v>0</v>
      </c>
      <c r="N25" s="59"/>
      <c r="O25" s="60"/>
      <c r="P25" s="172">
        <f t="shared" si="3"/>
        <v>0</v>
      </c>
      <c r="Q25" s="59"/>
      <c r="R25" s="60"/>
      <c r="S25" s="172">
        <f t="shared" si="4"/>
        <v>0</v>
      </c>
      <c r="T25" s="59"/>
      <c r="U25" s="60"/>
      <c r="V25" s="172">
        <f t="shared" si="5"/>
        <v>0</v>
      </c>
    </row>
    <row r="26" spans="2:22" ht="15" hidden="1" x14ac:dyDescent="0.2">
      <c r="B26" s="130">
        <f t="shared" si="6"/>
        <v>13</v>
      </c>
      <c r="C26" s="66"/>
      <c r="D26" s="163"/>
      <c r="E26" s="59"/>
      <c r="F26" s="60"/>
      <c r="G26" s="172">
        <f t="shared" si="0"/>
        <v>0</v>
      </c>
      <c r="H26" s="59"/>
      <c r="I26" s="60"/>
      <c r="J26" s="172">
        <f t="shared" si="1"/>
        <v>0</v>
      </c>
      <c r="K26" s="59"/>
      <c r="L26" s="60"/>
      <c r="M26" s="172">
        <f t="shared" si="2"/>
        <v>0</v>
      </c>
      <c r="N26" s="59"/>
      <c r="O26" s="60"/>
      <c r="P26" s="172">
        <f t="shared" si="3"/>
        <v>0</v>
      </c>
      <c r="Q26" s="59"/>
      <c r="R26" s="60"/>
      <c r="S26" s="172">
        <f t="shared" si="4"/>
        <v>0</v>
      </c>
      <c r="T26" s="59"/>
      <c r="U26" s="60"/>
      <c r="V26" s="172">
        <f t="shared" si="5"/>
        <v>0</v>
      </c>
    </row>
    <row r="27" spans="2:22" ht="15" hidden="1" x14ac:dyDescent="0.2">
      <c r="B27" s="130">
        <f t="shared" si="6"/>
        <v>14</v>
      </c>
      <c r="C27" s="66"/>
      <c r="D27" s="163"/>
      <c r="E27" s="59"/>
      <c r="F27" s="60"/>
      <c r="G27" s="172">
        <f t="shared" si="0"/>
        <v>0</v>
      </c>
      <c r="H27" s="59"/>
      <c r="I27" s="60"/>
      <c r="J27" s="172">
        <f t="shared" si="1"/>
        <v>0</v>
      </c>
      <c r="K27" s="59"/>
      <c r="L27" s="60"/>
      <c r="M27" s="172">
        <f t="shared" si="2"/>
        <v>0</v>
      </c>
      <c r="N27" s="59"/>
      <c r="O27" s="60"/>
      <c r="P27" s="172">
        <f t="shared" si="3"/>
        <v>0</v>
      </c>
      <c r="Q27" s="59"/>
      <c r="R27" s="60"/>
      <c r="S27" s="172">
        <f t="shared" si="4"/>
        <v>0</v>
      </c>
      <c r="T27" s="59"/>
      <c r="U27" s="60"/>
      <c r="V27" s="172">
        <f t="shared" si="5"/>
        <v>0</v>
      </c>
    </row>
    <row r="28" spans="2:22" ht="15" hidden="1" x14ac:dyDescent="0.2">
      <c r="B28" s="130">
        <f t="shared" si="6"/>
        <v>15</v>
      </c>
      <c r="C28" s="66"/>
      <c r="D28" s="163"/>
      <c r="E28" s="59"/>
      <c r="F28" s="60"/>
      <c r="G28" s="172">
        <f t="shared" si="0"/>
        <v>0</v>
      </c>
      <c r="H28" s="59"/>
      <c r="I28" s="60"/>
      <c r="J28" s="172">
        <f t="shared" si="1"/>
        <v>0</v>
      </c>
      <c r="K28" s="59"/>
      <c r="L28" s="60"/>
      <c r="M28" s="172">
        <f t="shared" si="2"/>
        <v>0</v>
      </c>
      <c r="N28" s="59"/>
      <c r="O28" s="60"/>
      <c r="P28" s="172">
        <f t="shared" si="3"/>
        <v>0</v>
      </c>
      <c r="Q28" s="59"/>
      <c r="R28" s="60"/>
      <c r="S28" s="172">
        <f t="shared" si="4"/>
        <v>0</v>
      </c>
      <c r="T28" s="59"/>
      <c r="U28" s="60"/>
      <c r="V28" s="172">
        <f t="shared" si="5"/>
        <v>0</v>
      </c>
    </row>
    <row r="29" spans="2:22" ht="15" hidden="1" x14ac:dyDescent="0.2">
      <c r="B29" s="130">
        <f t="shared" si="6"/>
        <v>16</v>
      </c>
      <c r="C29" s="66"/>
      <c r="D29" s="163"/>
      <c r="E29" s="59"/>
      <c r="F29" s="60"/>
      <c r="G29" s="172">
        <f t="shared" si="0"/>
        <v>0</v>
      </c>
      <c r="H29" s="59"/>
      <c r="I29" s="60"/>
      <c r="J29" s="172">
        <f t="shared" si="1"/>
        <v>0</v>
      </c>
      <c r="K29" s="59"/>
      <c r="L29" s="60"/>
      <c r="M29" s="172">
        <f t="shared" si="2"/>
        <v>0</v>
      </c>
      <c r="N29" s="59"/>
      <c r="O29" s="60"/>
      <c r="P29" s="172">
        <f t="shared" si="3"/>
        <v>0</v>
      </c>
      <c r="Q29" s="59"/>
      <c r="R29" s="60"/>
      <c r="S29" s="172">
        <f t="shared" si="4"/>
        <v>0</v>
      </c>
      <c r="T29" s="59"/>
      <c r="U29" s="60"/>
      <c r="V29" s="172">
        <f t="shared" si="5"/>
        <v>0</v>
      </c>
    </row>
    <row r="30" spans="2:22" ht="15" hidden="1" x14ac:dyDescent="0.2">
      <c r="B30" s="130">
        <f t="shared" si="6"/>
        <v>17</v>
      </c>
      <c r="C30" s="66"/>
      <c r="D30" s="163"/>
      <c r="E30" s="59"/>
      <c r="F30" s="60"/>
      <c r="G30" s="172">
        <f t="shared" si="0"/>
        <v>0</v>
      </c>
      <c r="H30" s="59"/>
      <c r="I30" s="60"/>
      <c r="J30" s="172">
        <f t="shared" si="1"/>
        <v>0</v>
      </c>
      <c r="K30" s="59"/>
      <c r="L30" s="60"/>
      <c r="M30" s="172">
        <f t="shared" si="2"/>
        <v>0</v>
      </c>
      <c r="N30" s="59"/>
      <c r="O30" s="60"/>
      <c r="P30" s="172">
        <f t="shared" si="3"/>
        <v>0</v>
      </c>
      <c r="Q30" s="59"/>
      <c r="R30" s="60"/>
      <c r="S30" s="172">
        <f t="shared" si="4"/>
        <v>0</v>
      </c>
      <c r="T30" s="59"/>
      <c r="U30" s="60"/>
      <c r="V30" s="172">
        <f t="shared" si="5"/>
        <v>0</v>
      </c>
    </row>
    <row r="31" spans="2:22" ht="15" hidden="1" x14ac:dyDescent="0.2">
      <c r="B31" s="136">
        <f t="shared" si="6"/>
        <v>18</v>
      </c>
      <c r="C31" s="66"/>
      <c r="D31" s="163"/>
      <c r="E31" s="59"/>
      <c r="F31" s="60"/>
      <c r="G31" s="172">
        <f t="shared" si="0"/>
        <v>0</v>
      </c>
      <c r="H31" s="59"/>
      <c r="I31" s="60"/>
      <c r="J31" s="172">
        <f t="shared" si="1"/>
        <v>0</v>
      </c>
      <c r="K31" s="59"/>
      <c r="L31" s="60"/>
      <c r="M31" s="172">
        <f t="shared" si="2"/>
        <v>0</v>
      </c>
      <c r="N31" s="59"/>
      <c r="O31" s="60"/>
      <c r="P31" s="172">
        <f t="shared" si="3"/>
        <v>0</v>
      </c>
      <c r="Q31" s="59"/>
      <c r="R31" s="60"/>
      <c r="S31" s="172">
        <f t="shared" si="4"/>
        <v>0</v>
      </c>
      <c r="T31" s="59"/>
      <c r="U31" s="60"/>
      <c r="V31" s="172">
        <f t="shared" si="5"/>
        <v>0</v>
      </c>
    </row>
    <row r="32" spans="2:22" ht="15" hidden="1" x14ac:dyDescent="0.2">
      <c r="B32" s="136">
        <f t="shared" si="6"/>
        <v>19</v>
      </c>
      <c r="C32" s="66"/>
      <c r="D32" s="164"/>
      <c r="E32" s="59"/>
      <c r="F32" s="60"/>
      <c r="G32" s="172">
        <f t="shared" si="0"/>
        <v>0</v>
      </c>
      <c r="H32" s="59"/>
      <c r="I32" s="60"/>
      <c r="J32" s="172">
        <f t="shared" si="1"/>
        <v>0</v>
      </c>
      <c r="K32" s="59"/>
      <c r="L32" s="60"/>
      <c r="M32" s="172">
        <f t="shared" si="2"/>
        <v>0</v>
      </c>
      <c r="N32" s="59"/>
      <c r="O32" s="60"/>
      <c r="P32" s="172">
        <f t="shared" si="3"/>
        <v>0</v>
      </c>
      <c r="Q32" s="59"/>
      <c r="R32" s="60"/>
      <c r="S32" s="172">
        <f t="shared" si="4"/>
        <v>0</v>
      </c>
      <c r="T32" s="59"/>
      <c r="U32" s="60"/>
      <c r="V32" s="172">
        <f t="shared" si="5"/>
        <v>0</v>
      </c>
    </row>
    <row r="33" spans="2:22" ht="15.75" hidden="1" thickBot="1" x14ac:dyDescent="0.25">
      <c r="B33" s="137">
        <f>B32+1</f>
        <v>20</v>
      </c>
      <c r="C33" s="66"/>
      <c r="D33" s="165"/>
      <c r="E33" s="158"/>
      <c r="F33" s="74"/>
      <c r="G33" s="173">
        <f t="shared" si="0"/>
        <v>0</v>
      </c>
      <c r="H33" s="158"/>
      <c r="I33" s="74"/>
      <c r="J33" s="173">
        <f t="shared" si="1"/>
        <v>0</v>
      </c>
      <c r="K33" s="158"/>
      <c r="L33" s="74"/>
      <c r="M33" s="173">
        <f t="shared" si="2"/>
        <v>0</v>
      </c>
      <c r="N33" s="158"/>
      <c r="O33" s="74"/>
      <c r="P33" s="173">
        <f t="shared" si="3"/>
        <v>0</v>
      </c>
      <c r="Q33" s="158"/>
      <c r="R33" s="74"/>
      <c r="S33" s="173">
        <f t="shared" si="4"/>
        <v>0</v>
      </c>
      <c r="T33" s="158"/>
      <c r="U33" s="74"/>
      <c r="V33" s="173">
        <f t="shared" si="5"/>
        <v>0</v>
      </c>
    </row>
    <row r="34" spans="2:22" ht="31.5" customHeight="1" thickBot="1" x14ac:dyDescent="0.25">
      <c r="C34" s="227" t="s">
        <v>130</v>
      </c>
      <c r="D34" s="228"/>
      <c r="E34" s="63">
        <f>SUM(E14:E33)</f>
        <v>0</v>
      </c>
      <c r="F34" s="159">
        <f>SUM(F14:F33)</f>
        <v>256004.37</v>
      </c>
      <c r="G34" s="62">
        <f>E34+F34</f>
        <v>256004.37</v>
      </c>
      <c r="H34" s="161">
        <f>SUM(H14:H33)</f>
        <v>0</v>
      </c>
      <c r="I34" s="159">
        <f t="shared" ref="I34:V34" si="7">SUM(I14:I33)</f>
        <v>1292834.4029999999</v>
      </c>
      <c r="J34" s="160">
        <f t="shared" si="7"/>
        <v>1292834.4029999999</v>
      </c>
      <c r="K34" s="63">
        <f t="shared" si="7"/>
        <v>0</v>
      </c>
      <c r="L34" s="159">
        <f t="shared" si="7"/>
        <v>0</v>
      </c>
      <c r="M34" s="62">
        <f t="shared" si="7"/>
        <v>0</v>
      </c>
      <c r="N34" s="161">
        <f t="shared" si="7"/>
        <v>0</v>
      </c>
      <c r="O34" s="159">
        <f t="shared" si="7"/>
        <v>0</v>
      </c>
      <c r="P34" s="160">
        <f t="shared" si="7"/>
        <v>0</v>
      </c>
      <c r="Q34" s="63">
        <f t="shared" si="7"/>
        <v>0</v>
      </c>
      <c r="R34" s="159">
        <f t="shared" si="7"/>
        <v>0</v>
      </c>
      <c r="S34" s="62">
        <f t="shared" si="7"/>
        <v>0</v>
      </c>
      <c r="T34" s="161">
        <f t="shared" si="7"/>
        <v>0</v>
      </c>
      <c r="U34" s="159">
        <f t="shared" si="7"/>
        <v>0</v>
      </c>
      <c r="V34" s="62">
        <f t="shared" si="7"/>
        <v>0</v>
      </c>
    </row>
    <row r="35" spans="2:22" ht="6" customHeight="1" x14ac:dyDescent="0.2"/>
  </sheetData>
  <sheetProtection insertRows="0"/>
  <protectedRanges>
    <protectedRange password="CC9E" sqref="A7:A10 E9:IU9 E11:IU12 A11:D11 C10:IU10 C8:IU8 F7:IU7 A12:A13 C12:D13 E13 G13:H13 J13:K13 M13:N13 P13:Q13 S13:T13 V13:IU13 A1:IU6 A14:IU65534" name="Rango1"/>
    <protectedRange password="CC9E" sqref="B8 B10" name="Rango1_2"/>
    <protectedRange password="CC9E" sqref="B9:C9" name="Rango1_1"/>
    <protectedRange password="CC9E" sqref="B12:B13" name="Rango1_4"/>
    <protectedRange password="CC9E" sqref="F13" name="Rango1_5"/>
    <protectedRange password="CC9E" sqref="I13" name="Rango1_6"/>
    <protectedRange password="CC9E" sqref="L13" name="Rango1_7"/>
    <protectedRange password="CC9E" sqref="R13" name="Rango1_9"/>
    <protectedRange password="CC9E" sqref="U13" name="Rango1_10"/>
    <protectedRange password="CC9E" sqref="B7:C7 E7" name="Rango1_3_1_1"/>
  </protectedRanges>
  <mergeCells count="13">
    <mergeCell ref="E1:I1"/>
    <mergeCell ref="C34:D34"/>
    <mergeCell ref="H12:J12"/>
    <mergeCell ref="K12:M12"/>
    <mergeCell ref="D12:D13"/>
    <mergeCell ref="B7:D7"/>
    <mergeCell ref="B9:D9"/>
    <mergeCell ref="T12:V12"/>
    <mergeCell ref="B12:B13"/>
    <mergeCell ref="C12:C13"/>
    <mergeCell ref="E12:G12"/>
    <mergeCell ref="N12:P12"/>
    <mergeCell ref="Q12:S12"/>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B33 B14:B32 E12:G12 I12:J12"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5.7109375" style="16" customWidth="1"/>
    <col min="4" max="12" width="15.28515625" style="16" customWidth="1"/>
    <col min="13" max="13" width="15.140625" style="16" customWidth="1"/>
    <col min="14" max="14" width="13.28515625" style="16" customWidth="1"/>
    <col min="15" max="15" width="13.42578125" style="16" customWidth="1"/>
    <col min="16" max="16" width="14.85546875" style="16" customWidth="1"/>
    <col min="17" max="17" width="14.42578125" style="16" customWidth="1"/>
    <col min="18" max="18" width="13.42578125" style="16" customWidth="1"/>
    <col min="19" max="21" width="13.5703125" style="16" customWidth="1"/>
    <col min="22" max="16384" width="11.42578125" style="16"/>
  </cols>
  <sheetData>
    <row r="1" spans="2:21" ht="64.5" customHeight="1" x14ac:dyDescent="0.2">
      <c r="D1" s="229"/>
      <c r="E1" s="229"/>
      <c r="F1" s="229"/>
      <c r="G1" s="229"/>
      <c r="H1" s="229"/>
      <c r="I1" s="229"/>
      <c r="J1" s="12"/>
      <c r="K1" s="12"/>
      <c r="L1" s="12"/>
    </row>
    <row r="4" spans="2:21" ht="15" x14ac:dyDescent="0.2">
      <c r="B4" s="93" t="s">
        <v>82</v>
      </c>
    </row>
    <row r="6" spans="2:21" ht="43.9" customHeight="1" x14ac:dyDescent="0.2">
      <c r="B6" s="208" t="s">
        <v>150</v>
      </c>
      <c r="C6" s="208"/>
      <c r="D6" s="190"/>
      <c r="E6" s="190"/>
    </row>
    <row r="7" spans="2:21" ht="15" x14ac:dyDescent="0.2">
      <c r="C7" s="167"/>
      <c r="D7" s="88"/>
    </row>
    <row r="8" spans="2:21" ht="30" customHeight="1" x14ac:dyDescent="0.2">
      <c r="B8" s="208" t="s">
        <v>131</v>
      </c>
      <c r="C8" s="208"/>
      <c r="D8" s="88"/>
    </row>
    <row r="9" spans="2:21" ht="15" x14ac:dyDescent="0.2">
      <c r="C9" s="167"/>
      <c r="D9" s="88"/>
    </row>
    <row r="10" spans="2:21" ht="6" customHeight="1" thickBot="1" x14ac:dyDescent="0.25"/>
    <row r="11" spans="2:21" ht="15.75" customHeight="1" thickBot="1" x14ac:dyDescent="0.25">
      <c r="B11" s="214" t="s">
        <v>80</v>
      </c>
      <c r="C11" s="230" t="s">
        <v>142</v>
      </c>
      <c r="D11" s="222">
        <f>Personal!F13</f>
        <v>2021</v>
      </c>
      <c r="E11" s="223"/>
      <c r="F11" s="224"/>
      <c r="G11" s="222">
        <f>D11+1</f>
        <v>2022</v>
      </c>
      <c r="H11" s="223"/>
      <c r="I11" s="224"/>
      <c r="J11" s="222">
        <f>G11+1</f>
        <v>2023</v>
      </c>
      <c r="K11" s="223"/>
      <c r="L11" s="224"/>
      <c r="M11" s="222">
        <f>J11+1</f>
        <v>2024</v>
      </c>
      <c r="N11" s="223"/>
      <c r="O11" s="224"/>
      <c r="P11" s="222">
        <f>M11+1</f>
        <v>2025</v>
      </c>
      <c r="Q11" s="223"/>
      <c r="R11" s="224"/>
      <c r="S11" s="222">
        <f>P11+1</f>
        <v>2026</v>
      </c>
      <c r="T11" s="223"/>
      <c r="U11" s="224"/>
    </row>
    <row r="12" spans="2:21" s="57" customFormat="1" ht="57.6" customHeight="1" thickBot="1" x14ac:dyDescent="0.25">
      <c r="B12" s="215" t="s">
        <v>1</v>
      </c>
      <c r="C12" s="231"/>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60"/>
      <c r="F13" s="172">
        <f>SUM(D13:E13)</f>
        <v>0</v>
      </c>
      <c r="G13" s="59"/>
      <c r="H13" s="60"/>
      <c r="I13" s="172">
        <f>SUM(G13:H13)</f>
        <v>0</v>
      </c>
      <c r="J13" s="59"/>
      <c r="K13" s="60"/>
      <c r="L13" s="172">
        <f>SUM(J13:K13)</f>
        <v>0</v>
      </c>
      <c r="M13" s="59"/>
      <c r="N13" s="60"/>
      <c r="O13" s="172">
        <f>SUM(M13:N13)</f>
        <v>0</v>
      </c>
      <c r="P13" s="59"/>
      <c r="Q13" s="60"/>
      <c r="R13" s="172">
        <f>SUM(P13:Q13)</f>
        <v>0</v>
      </c>
      <c r="S13" s="59"/>
      <c r="T13" s="60"/>
      <c r="U13" s="172">
        <f>SUM(S13:T13)</f>
        <v>0</v>
      </c>
    </row>
    <row r="14" spans="2:21" ht="15.75" customHeight="1" x14ac:dyDescent="0.2">
      <c r="B14" s="130">
        <f>B13+1</f>
        <v>2</v>
      </c>
      <c r="C14" s="61"/>
      <c r="D14" s="59"/>
      <c r="E14" s="60"/>
      <c r="F14" s="172">
        <f t="shared" ref="F14:F32" si="0">SUM(D14:E14)</f>
        <v>0</v>
      </c>
      <c r="G14" s="59"/>
      <c r="H14" s="60"/>
      <c r="I14" s="172">
        <f t="shared" ref="I14:I32" si="1">SUM(G14:H14)</f>
        <v>0</v>
      </c>
      <c r="J14" s="59"/>
      <c r="K14" s="60"/>
      <c r="L14" s="172">
        <f t="shared" ref="L14:L32" si="2">SUM(J14:K14)</f>
        <v>0</v>
      </c>
      <c r="M14" s="59"/>
      <c r="N14" s="60"/>
      <c r="O14" s="172">
        <f t="shared" ref="O14:O32" si="3">SUM(M14:N14)</f>
        <v>0</v>
      </c>
      <c r="P14" s="59"/>
      <c r="Q14" s="60"/>
      <c r="R14" s="172">
        <f t="shared" ref="R14:R32" si="4">SUM(P14:Q14)</f>
        <v>0</v>
      </c>
      <c r="S14" s="59"/>
      <c r="T14" s="60"/>
      <c r="U14" s="172">
        <f t="shared" ref="U14:U32" si="5">SUM(S14:T14)</f>
        <v>0</v>
      </c>
    </row>
    <row r="15" spans="2:21" ht="15.75" customHeight="1" x14ac:dyDescent="0.2">
      <c r="B15" s="130">
        <f t="shared" ref="B15:B31" si="6">B14+1</f>
        <v>3</v>
      </c>
      <c r="C15" s="61"/>
      <c r="D15" s="59"/>
      <c r="E15" s="60"/>
      <c r="F15" s="172">
        <f t="shared" si="0"/>
        <v>0</v>
      </c>
      <c r="G15" s="59"/>
      <c r="H15" s="60"/>
      <c r="I15" s="172">
        <f t="shared" si="1"/>
        <v>0</v>
      </c>
      <c r="J15" s="59"/>
      <c r="K15" s="60"/>
      <c r="L15" s="172">
        <f t="shared" si="2"/>
        <v>0</v>
      </c>
      <c r="M15" s="59"/>
      <c r="N15" s="60"/>
      <c r="O15" s="172">
        <f t="shared" si="3"/>
        <v>0</v>
      </c>
      <c r="P15" s="59"/>
      <c r="Q15" s="60"/>
      <c r="R15" s="172">
        <f t="shared" si="4"/>
        <v>0</v>
      </c>
      <c r="S15" s="59"/>
      <c r="T15" s="60"/>
      <c r="U15" s="172">
        <f t="shared" si="5"/>
        <v>0</v>
      </c>
    </row>
    <row r="16" spans="2:21" ht="15.75" customHeight="1" x14ac:dyDescent="0.2">
      <c r="B16" s="130">
        <f t="shared" si="6"/>
        <v>4</v>
      </c>
      <c r="C16" s="61"/>
      <c r="D16" s="59"/>
      <c r="E16" s="60"/>
      <c r="F16" s="172">
        <f t="shared" si="0"/>
        <v>0</v>
      </c>
      <c r="G16" s="59"/>
      <c r="H16" s="60"/>
      <c r="I16" s="172">
        <f t="shared" si="1"/>
        <v>0</v>
      </c>
      <c r="J16" s="59"/>
      <c r="K16" s="60"/>
      <c r="L16" s="172">
        <f t="shared" si="2"/>
        <v>0</v>
      </c>
      <c r="M16" s="59"/>
      <c r="N16" s="60"/>
      <c r="O16" s="172">
        <f t="shared" si="3"/>
        <v>0</v>
      </c>
      <c r="P16" s="59"/>
      <c r="Q16" s="60"/>
      <c r="R16" s="172">
        <f t="shared" si="4"/>
        <v>0</v>
      </c>
      <c r="S16" s="59"/>
      <c r="T16" s="60"/>
      <c r="U16" s="172">
        <f t="shared" si="5"/>
        <v>0</v>
      </c>
    </row>
    <row r="17" spans="2:21" ht="15.75" customHeight="1" x14ac:dyDescent="0.2">
      <c r="B17" s="130">
        <f t="shared" si="6"/>
        <v>5</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6</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7</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8</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9</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10</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11</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12</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13</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14</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15</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16</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17</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6">
        <f t="shared" si="6"/>
        <v>18</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 customHeight="1" x14ac:dyDescent="0.2">
      <c r="B31" s="136">
        <f t="shared" si="6"/>
        <v>19</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thickBot="1" x14ac:dyDescent="0.25">
      <c r="B32" s="137">
        <f>B31+1</f>
        <v>20</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31.5" customHeight="1" thickBot="1" x14ac:dyDescent="0.25">
      <c r="C33" s="166" t="s">
        <v>2</v>
      </c>
      <c r="D33" s="54">
        <f>SUM(D13:D32)</f>
        <v>0</v>
      </c>
      <c r="E33" s="55">
        <f>SUM(E13:E32)</f>
        <v>0</v>
      </c>
      <c r="F33" s="56">
        <f>D33+E33</f>
        <v>0</v>
      </c>
      <c r="G33" s="54">
        <f>SUM(G13:G32)</f>
        <v>0</v>
      </c>
      <c r="H33" s="55">
        <f>SUM(H13:H32)</f>
        <v>0</v>
      </c>
      <c r="I33" s="56">
        <f>G33+H33</f>
        <v>0</v>
      </c>
      <c r="J33" s="54">
        <f>SUM(J13:J32)</f>
        <v>0</v>
      </c>
      <c r="K33" s="55">
        <f>SUM(K13:K32)</f>
        <v>0</v>
      </c>
      <c r="L33" s="56">
        <f>J33+K33</f>
        <v>0</v>
      </c>
      <c r="M33" s="54">
        <f>SUM(M13:M32)</f>
        <v>0</v>
      </c>
      <c r="N33" s="55">
        <f>SUM(N13:N32)</f>
        <v>0</v>
      </c>
      <c r="O33" s="56">
        <f>M33+N33</f>
        <v>0</v>
      </c>
      <c r="P33" s="54">
        <f>SUM(P13:P32)</f>
        <v>0</v>
      </c>
      <c r="Q33" s="55">
        <f>SUM(Q13:Q32)</f>
        <v>0</v>
      </c>
      <c r="R33" s="56">
        <f>P33+Q33</f>
        <v>0</v>
      </c>
      <c r="S33" s="54">
        <f>SUM(S13:S32)</f>
        <v>0</v>
      </c>
      <c r="T33" s="55">
        <f>SUM(T13:T32)</f>
        <v>0</v>
      </c>
      <c r="U33" s="56">
        <f>S33+T33</f>
        <v>0</v>
      </c>
    </row>
    <row r="34" spans="1:21" ht="6" customHeight="1" x14ac:dyDescent="0.2">
      <c r="A34" s="22"/>
      <c r="B34" s="22"/>
      <c r="C34" s="22"/>
      <c r="D34" s="22"/>
      <c r="E34" s="22"/>
      <c r="F34" s="22"/>
      <c r="G34" s="22"/>
      <c r="H34" s="22"/>
      <c r="I34" s="22"/>
      <c r="J34" s="22"/>
      <c r="K34" s="22"/>
      <c r="L34" s="22"/>
      <c r="M34" s="22"/>
      <c r="N34" s="22"/>
    </row>
  </sheetData>
  <sheetProtection insertRows="0"/>
  <protectedRanges>
    <protectedRange password="CC9E" sqref="A1:IV5 A13:IV65536 A12:D12 F12:G12 I12:J12 L12:M12 O12:P12 R12:S12 U12:IV12 A7:IV11 A6 F6:IV6" name="Rango1"/>
    <protectedRange password="CC9E" sqref="E12" name="Rango1_1"/>
    <protectedRange password="CC9E" sqref="H12" name="Rango1_2"/>
    <protectedRange password="CC9E" sqref="K12" name="Rango1_3"/>
    <protectedRange password="CC9E" sqref="N12" name="Rango1_4"/>
    <protectedRange password="CC9E" sqref="Q12" name="Rango1_5"/>
    <protectedRange password="CC9E" sqref="T12" name="Rango1_6"/>
    <protectedRange password="CC9E" sqref="B6:C6 E6" name="Rango1_3_1"/>
  </protectedRanges>
  <mergeCells count="11">
    <mergeCell ref="S11:U11"/>
    <mergeCell ref="D1:I1"/>
    <mergeCell ref="C11:C12"/>
    <mergeCell ref="J11:L1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1:F11 B13:B32 B33:C33 D33:E33 H11:I1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0.7109375" style="16" customWidth="1"/>
    <col min="4" max="12" width="15.28515625" style="16" customWidth="1"/>
    <col min="13" max="13" width="15.140625" style="16" customWidth="1"/>
    <col min="14" max="14" width="13.28515625" style="16" customWidth="1"/>
    <col min="15" max="15" width="13.42578125" style="16" customWidth="1"/>
    <col min="16" max="16" width="14.85546875" style="16" customWidth="1"/>
    <col min="17" max="17" width="14.42578125" style="16" customWidth="1"/>
    <col min="18" max="18" width="13.42578125" style="16" customWidth="1"/>
    <col min="19" max="19" width="13.5703125" style="16" customWidth="1"/>
    <col min="20" max="20" width="14.28515625" style="16" customWidth="1"/>
    <col min="21" max="21" width="13.5703125" style="16" customWidth="1"/>
    <col min="22" max="16384" width="11.42578125" style="16"/>
  </cols>
  <sheetData>
    <row r="1" spans="2:21" ht="64.5" customHeight="1" x14ac:dyDescent="0.2">
      <c r="D1" s="229"/>
      <c r="E1" s="229"/>
      <c r="F1" s="229"/>
      <c r="G1" s="229"/>
      <c r="H1" s="229"/>
      <c r="I1" s="229"/>
      <c r="J1" s="12"/>
      <c r="K1" s="12"/>
      <c r="L1" s="12"/>
    </row>
    <row r="2" spans="2:21" x14ac:dyDescent="0.2">
      <c r="B2" s="116"/>
    </row>
    <row r="4" spans="2:21" ht="15" x14ac:dyDescent="0.2">
      <c r="B4" s="93" t="s">
        <v>135</v>
      </c>
    </row>
    <row r="5" spans="2:21" ht="15" x14ac:dyDescent="0.2">
      <c r="B5" s="93"/>
    </row>
    <row r="6" spans="2:21" ht="43.15" customHeight="1" x14ac:dyDescent="0.2">
      <c r="B6" s="208" t="s">
        <v>151</v>
      </c>
      <c r="C6" s="208"/>
    </row>
    <row r="8" spans="2:21" ht="26.45" customHeight="1" x14ac:dyDescent="0.2">
      <c r="B8" s="208" t="s">
        <v>131</v>
      </c>
      <c r="C8" s="208"/>
      <c r="D8" s="88"/>
    </row>
    <row r="9" spans="2:21" ht="15" x14ac:dyDescent="0.2">
      <c r="C9" s="167"/>
      <c r="D9" s="88"/>
    </row>
    <row r="10" spans="2:21" ht="6" customHeight="1" thickBot="1" x14ac:dyDescent="0.25"/>
    <row r="11" spans="2:21" ht="15.75" customHeight="1" thickBot="1" x14ac:dyDescent="0.25">
      <c r="B11" s="214" t="s">
        <v>80</v>
      </c>
      <c r="C11" s="230" t="s">
        <v>144</v>
      </c>
      <c r="D11" s="222">
        <f>Personal!F13</f>
        <v>2021</v>
      </c>
      <c r="E11" s="223"/>
      <c r="F11" s="224"/>
      <c r="G11" s="222">
        <f>D11+1</f>
        <v>2022</v>
      </c>
      <c r="H11" s="223"/>
      <c r="I11" s="224"/>
      <c r="J11" s="222">
        <f>G11+1</f>
        <v>2023</v>
      </c>
      <c r="K11" s="223"/>
      <c r="L11" s="224"/>
      <c r="M11" s="222">
        <f>J11+1</f>
        <v>2024</v>
      </c>
      <c r="N11" s="223"/>
      <c r="O11" s="224"/>
      <c r="P11" s="222">
        <f>M11+1</f>
        <v>2025</v>
      </c>
      <c r="Q11" s="223"/>
      <c r="R11" s="224"/>
      <c r="S11" s="222">
        <f>P11+1</f>
        <v>2026</v>
      </c>
      <c r="T11" s="223"/>
      <c r="U11" s="224"/>
    </row>
    <row r="12" spans="2:21" s="57" customFormat="1" ht="63" customHeight="1" thickBot="1" x14ac:dyDescent="0.25">
      <c r="B12" s="215" t="s">
        <v>1</v>
      </c>
      <c r="C12" s="231"/>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174"/>
      <c r="F13" s="172">
        <f>SUM(D13:E13)</f>
        <v>0</v>
      </c>
      <c r="G13" s="59"/>
      <c r="H13" s="174"/>
      <c r="I13" s="172">
        <f>SUM(G13:H13)</f>
        <v>0</v>
      </c>
      <c r="J13" s="59"/>
      <c r="K13" s="174"/>
      <c r="L13" s="172">
        <f>SUM(J13:K13)</f>
        <v>0</v>
      </c>
      <c r="M13" s="59"/>
      <c r="N13" s="174"/>
      <c r="O13" s="172">
        <f>SUM(M13:N13)</f>
        <v>0</v>
      </c>
      <c r="P13" s="59"/>
      <c r="Q13" s="174"/>
      <c r="R13" s="172">
        <f>SUM(P13:Q13)</f>
        <v>0</v>
      </c>
      <c r="S13" s="59"/>
      <c r="T13" s="174"/>
      <c r="U13" s="172">
        <f>SUM(S13:T13)</f>
        <v>0</v>
      </c>
    </row>
    <row r="14" spans="2:21" ht="15.75" customHeight="1" x14ac:dyDescent="0.2">
      <c r="B14" s="130">
        <f>B13+1</f>
        <v>2</v>
      </c>
      <c r="C14" s="61"/>
      <c r="D14" s="59"/>
      <c r="E14" s="174"/>
      <c r="F14" s="172">
        <f t="shared" ref="F14:F32" si="0">SUM(D14:E14)</f>
        <v>0</v>
      </c>
      <c r="G14" s="59"/>
      <c r="H14" s="174"/>
      <c r="I14" s="172">
        <f t="shared" ref="I14:I32" si="1">SUM(G14:H14)</f>
        <v>0</v>
      </c>
      <c r="J14" s="59"/>
      <c r="K14" s="174"/>
      <c r="L14" s="172">
        <f t="shared" ref="L14:L32" si="2">SUM(J14:K14)</f>
        <v>0</v>
      </c>
      <c r="M14" s="59"/>
      <c r="N14" s="174"/>
      <c r="O14" s="172">
        <f t="shared" ref="O14:O32" si="3">SUM(M14:N14)</f>
        <v>0</v>
      </c>
      <c r="P14" s="59"/>
      <c r="Q14" s="174"/>
      <c r="R14" s="172">
        <f t="shared" ref="R14:R32" si="4">SUM(P14:Q14)</f>
        <v>0</v>
      </c>
      <c r="S14" s="59"/>
      <c r="T14" s="174"/>
      <c r="U14" s="172">
        <f t="shared" ref="U14:U32" si="5">SUM(S14:T14)</f>
        <v>0</v>
      </c>
    </row>
    <row r="15" spans="2:21" ht="15.75" customHeight="1" x14ac:dyDescent="0.2">
      <c r="B15" s="130">
        <f t="shared" ref="B15:B31" si="6">B14+1</f>
        <v>3</v>
      </c>
      <c r="C15" s="61"/>
      <c r="D15" s="59"/>
      <c r="E15" s="174"/>
      <c r="F15" s="172">
        <f t="shared" si="0"/>
        <v>0</v>
      </c>
      <c r="G15" s="59"/>
      <c r="H15" s="174"/>
      <c r="I15" s="172">
        <f t="shared" si="1"/>
        <v>0</v>
      </c>
      <c r="J15" s="59"/>
      <c r="K15" s="174"/>
      <c r="L15" s="172">
        <f t="shared" si="2"/>
        <v>0</v>
      </c>
      <c r="M15" s="59"/>
      <c r="N15" s="174"/>
      <c r="O15" s="172">
        <f t="shared" si="3"/>
        <v>0</v>
      </c>
      <c r="P15" s="59"/>
      <c r="Q15" s="174"/>
      <c r="R15" s="172">
        <f t="shared" si="4"/>
        <v>0</v>
      </c>
      <c r="S15" s="59"/>
      <c r="T15" s="174"/>
      <c r="U15" s="172">
        <f t="shared" si="5"/>
        <v>0</v>
      </c>
    </row>
    <row r="16" spans="2:21" ht="15.75" customHeight="1" x14ac:dyDescent="0.2">
      <c r="B16" s="130">
        <f t="shared" si="6"/>
        <v>4</v>
      </c>
      <c r="C16" s="61"/>
      <c r="D16" s="59"/>
      <c r="E16" s="174"/>
      <c r="F16" s="172">
        <f t="shared" si="0"/>
        <v>0</v>
      </c>
      <c r="G16" s="59"/>
      <c r="H16" s="174"/>
      <c r="I16" s="172">
        <f t="shared" si="1"/>
        <v>0</v>
      </c>
      <c r="J16" s="59"/>
      <c r="K16" s="174"/>
      <c r="L16" s="172">
        <f t="shared" si="2"/>
        <v>0</v>
      </c>
      <c r="M16" s="59"/>
      <c r="N16" s="174"/>
      <c r="O16" s="172">
        <f t="shared" si="3"/>
        <v>0</v>
      </c>
      <c r="P16" s="59"/>
      <c r="Q16" s="174"/>
      <c r="R16" s="172">
        <f t="shared" si="4"/>
        <v>0</v>
      </c>
      <c r="S16" s="59"/>
      <c r="T16" s="174"/>
      <c r="U16" s="172">
        <f t="shared" si="5"/>
        <v>0</v>
      </c>
    </row>
    <row r="17" spans="2:21" ht="15.75" customHeight="1" x14ac:dyDescent="0.2">
      <c r="B17" s="130">
        <f t="shared" si="6"/>
        <v>5</v>
      </c>
      <c r="C17" s="61"/>
      <c r="D17" s="59"/>
      <c r="E17" s="174"/>
      <c r="F17" s="172">
        <f t="shared" si="0"/>
        <v>0</v>
      </c>
      <c r="G17" s="59"/>
      <c r="H17" s="174"/>
      <c r="I17" s="172">
        <f t="shared" si="1"/>
        <v>0</v>
      </c>
      <c r="J17" s="59"/>
      <c r="K17" s="174"/>
      <c r="L17" s="172">
        <f t="shared" si="2"/>
        <v>0</v>
      </c>
      <c r="M17" s="59"/>
      <c r="N17" s="174"/>
      <c r="O17" s="172">
        <f t="shared" si="3"/>
        <v>0</v>
      </c>
      <c r="P17" s="59"/>
      <c r="Q17" s="174"/>
      <c r="R17" s="172">
        <f t="shared" si="4"/>
        <v>0</v>
      </c>
      <c r="S17" s="59"/>
      <c r="T17" s="174"/>
      <c r="U17" s="172">
        <f t="shared" si="5"/>
        <v>0</v>
      </c>
    </row>
    <row r="18" spans="2:21" ht="15.75" customHeight="1" x14ac:dyDescent="0.2">
      <c r="B18" s="130">
        <f t="shared" si="6"/>
        <v>6</v>
      </c>
      <c r="C18" s="61"/>
      <c r="D18" s="59"/>
      <c r="E18" s="174"/>
      <c r="F18" s="172">
        <f t="shared" si="0"/>
        <v>0</v>
      </c>
      <c r="G18" s="59"/>
      <c r="H18" s="174"/>
      <c r="I18" s="172">
        <f t="shared" si="1"/>
        <v>0</v>
      </c>
      <c r="J18" s="59"/>
      <c r="K18" s="174"/>
      <c r="L18" s="172">
        <f t="shared" si="2"/>
        <v>0</v>
      </c>
      <c r="M18" s="59"/>
      <c r="N18" s="174"/>
      <c r="O18" s="172">
        <f t="shared" si="3"/>
        <v>0</v>
      </c>
      <c r="P18" s="59"/>
      <c r="Q18" s="174"/>
      <c r="R18" s="172">
        <f t="shared" si="4"/>
        <v>0</v>
      </c>
      <c r="S18" s="59"/>
      <c r="T18" s="174"/>
      <c r="U18" s="172">
        <f t="shared" si="5"/>
        <v>0</v>
      </c>
    </row>
    <row r="19" spans="2:21" ht="15.75" customHeight="1" x14ac:dyDescent="0.2">
      <c r="B19" s="130">
        <f t="shared" si="6"/>
        <v>7</v>
      </c>
      <c r="C19" s="61"/>
      <c r="D19" s="59"/>
      <c r="E19" s="174"/>
      <c r="F19" s="172">
        <f t="shared" si="0"/>
        <v>0</v>
      </c>
      <c r="G19" s="59"/>
      <c r="H19" s="174"/>
      <c r="I19" s="172">
        <f t="shared" si="1"/>
        <v>0</v>
      </c>
      <c r="J19" s="59"/>
      <c r="K19" s="174"/>
      <c r="L19" s="172">
        <f t="shared" si="2"/>
        <v>0</v>
      </c>
      <c r="M19" s="59"/>
      <c r="N19" s="174"/>
      <c r="O19" s="172">
        <f t="shared" si="3"/>
        <v>0</v>
      </c>
      <c r="P19" s="59"/>
      <c r="Q19" s="174"/>
      <c r="R19" s="172">
        <f t="shared" si="4"/>
        <v>0</v>
      </c>
      <c r="S19" s="59"/>
      <c r="T19" s="174"/>
      <c r="U19" s="172">
        <f t="shared" si="5"/>
        <v>0</v>
      </c>
    </row>
    <row r="20" spans="2:21" ht="15.75" customHeight="1" x14ac:dyDescent="0.2">
      <c r="B20" s="130">
        <f t="shared" si="6"/>
        <v>8</v>
      </c>
      <c r="C20" s="61"/>
      <c r="D20" s="59"/>
      <c r="E20" s="174"/>
      <c r="F20" s="172">
        <f t="shared" si="0"/>
        <v>0</v>
      </c>
      <c r="G20" s="59"/>
      <c r="H20" s="174"/>
      <c r="I20" s="172">
        <f t="shared" si="1"/>
        <v>0</v>
      </c>
      <c r="J20" s="59"/>
      <c r="K20" s="174"/>
      <c r="L20" s="172">
        <f t="shared" si="2"/>
        <v>0</v>
      </c>
      <c r="M20" s="59"/>
      <c r="N20" s="174"/>
      <c r="O20" s="172">
        <f t="shared" si="3"/>
        <v>0</v>
      </c>
      <c r="P20" s="59"/>
      <c r="Q20" s="174"/>
      <c r="R20" s="172">
        <f t="shared" si="4"/>
        <v>0</v>
      </c>
      <c r="S20" s="59"/>
      <c r="T20" s="174"/>
      <c r="U20" s="172">
        <f t="shared" si="5"/>
        <v>0</v>
      </c>
    </row>
    <row r="21" spans="2:21" ht="15.75" customHeight="1" x14ac:dyDescent="0.2">
      <c r="B21" s="130">
        <f t="shared" si="6"/>
        <v>9</v>
      </c>
      <c r="C21" s="61"/>
      <c r="D21" s="59"/>
      <c r="E21" s="174"/>
      <c r="F21" s="172">
        <f t="shared" si="0"/>
        <v>0</v>
      </c>
      <c r="G21" s="59"/>
      <c r="H21" s="174"/>
      <c r="I21" s="172">
        <f t="shared" si="1"/>
        <v>0</v>
      </c>
      <c r="J21" s="59"/>
      <c r="K21" s="174"/>
      <c r="L21" s="172">
        <f t="shared" si="2"/>
        <v>0</v>
      </c>
      <c r="M21" s="59"/>
      <c r="N21" s="174"/>
      <c r="O21" s="172">
        <f t="shared" si="3"/>
        <v>0</v>
      </c>
      <c r="P21" s="59"/>
      <c r="Q21" s="174"/>
      <c r="R21" s="172">
        <f t="shared" si="4"/>
        <v>0</v>
      </c>
      <c r="S21" s="59"/>
      <c r="T21" s="174"/>
      <c r="U21" s="172">
        <f t="shared" si="5"/>
        <v>0</v>
      </c>
    </row>
    <row r="22" spans="2:21" ht="15.75" customHeight="1" x14ac:dyDescent="0.2">
      <c r="B22" s="130">
        <f t="shared" si="6"/>
        <v>10</v>
      </c>
      <c r="C22" s="61"/>
      <c r="D22" s="59"/>
      <c r="E22" s="174"/>
      <c r="F22" s="172">
        <f t="shared" si="0"/>
        <v>0</v>
      </c>
      <c r="G22" s="59"/>
      <c r="H22" s="174"/>
      <c r="I22" s="172">
        <f t="shared" si="1"/>
        <v>0</v>
      </c>
      <c r="J22" s="59"/>
      <c r="K22" s="174"/>
      <c r="L22" s="172">
        <f t="shared" si="2"/>
        <v>0</v>
      </c>
      <c r="M22" s="59"/>
      <c r="N22" s="174"/>
      <c r="O22" s="172">
        <f t="shared" si="3"/>
        <v>0</v>
      </c>
      <c r="P22" s="59"/>
      <c r="Q22" s="174"/>
      <c r="R22" s="172">
        <f t="shared" si="4"/>
        <v>0</v>
      </c>
      <c r="S22" s="59"/>
      <c r="T22" s="174"/>
      <c r="U22" s="172">
        <f t="shared" si="5"/>
        <v>0</v>
      </c>
    </row>
    <row r="23" spans="2:21" ht="15.75" customHeight="1" x14ac:dyDescent="0.2">
      <c r="B23" s="130">
        <f t="shared" si="6"/>
        <v>11</v>
      </c>
      <c r="C23" s="61"/>
      <c r="D23" s="59"/>
      <c r="E23" s="174"/>
      <c r="F23" s="172">
        <f t="shared" si="0"/>
        <v>0</v>
      </c>
      <c r="G23" s="59"/>
      <c r="H23" s="174"/>
      <c r="I23" s="172">
        <f t="shared" si="1"/>
        <v>0</v>
      </c>
      <c r="J23" s="59"/>
      <c r="K23" s="174"/>
      <c r="L23" s="172">
        <f t="shared" si="2"/>
        <v>0</v>
      </c>
      <c r="M23" s="59"/>
      <c r="N23" s="174"/>
      <c r="O23" s="172">
        <f t="shared" si="3"/>
        <v>0</v>
      </c>
      <c r="P23" s="59"/>
      <c r="Q23" s="174"/>
      <c r="R23" s="172">
        <f t="shared" si="4"/>
        <v>0</v>
      </c>
      <c r="S23" s="59"/>
      <c r="T23" s="174"/>
      <c r="U23" s="172">
        <f t="shared" si="5"/>
        <v>0</v>
      </c>
    </row>
    <row r="24" spans="2:21" ht="15.75" customHeight="1" x14ac:dyDescent="0.2">
      <c r="B24" s="130">
        <f t="shared" si="6"/>
        <v>12</v>
      </c>
      <c r="C24" s="61"/>
      <c r="D24" s="59"/>
      <c r="E24" s="174"/>
      <c r="F24" s="172">
        <f t="shared" si="0"/>
        <v>0</v>
      </c>
      <c r="G24" s="59"/>
      <c r="H24" s="174"/>
      <c r="I24" s="172">
        <f t="shared" si="1"/>
        <v>0</v>
      </c>
      <c r="J24" s="59"/>
      <c r="K24" s="174"/>
      <c r="L24" s="172">
        <f t="shared" si="2"/>
        <v>0</v>
      </c>
      <c r="M24" s="59"/>
      <c r="N24" s="174"/>
      <c r="O24" s="172">
        <f t="shared" si="3"/>
        <v>0</v>
      </c>
      <c r="P24" s="59"/>
      <c r="Q24" s="174"/>
      <c r="R24" s="172">
        <f t="shared" si="4"/>
        <v>0</v>
      </c>
      <c r="S24" s="59"/>
      <c r="T24" s="174"/>
      <c r="U24" s="172">
        <f t="shared" si="5"/>
        <v>0</v>
      </c>
    </row>
    <row r="25" spans="2:21" ht="15.75" customHeight="1" x14ac:dyDescent="0.2">
      <c r="B25" s="130">
        <f t="shared" si="6"/>
        <v>13</v>
      </c>
      <c r="C25" s="61"/>
      <c r="D25" s="59"/>
      <c r="E25" s="174"/>
      <c r="F25" s="172">
        <f t="shared" si="0"/>
        <v>0</v>
      </c>
      <c r="G25" s="59"/>
      <c r="H25" s="174"/>
      <c r="I25" s="172">
        <f t="shared" si="1"/>
        <v>0</v>
      </c>
      <c r="J25" s="59"/>
      <c r="K25" s="174"/>
      <c r="L25" s="172">
        <f t="shared" si="2"/>
        <v>0</v>
      </c>
      <c r="M25" s="59"/>
      <c r="N25" s="174"/>
      <c r="O25" s="172">
        <f t="shared" si="3"/>
        <v>0</v>
      </c>
      <c r="P25" s="59"/>
      <c r="Q25" s="174"/>
      <c r="R25" s="172">
        <f t="shared" si="4"/>
        <v>0</v>
      </c>
      <c r="S25" s="59"/>
      <c r="T25" s="174"/>
      <c r="U25" s="172">
        <f t="shared" si="5"/>
        <v>0</v>
      </c>
    </row>
    <row r="26" spans="2:21" ht="15.75" customHeight="1" x14ac:dyDescent="0.2">
      <c r="B26" s="130">
        <f t="shared" si="6"/>
        <v>14</v>
      </c>
      <c r="C26" s="61"/>
      <c r="D26" s="59"/>
      <c r="E26" s="174"/>
      <c r="F26" s="172">
        <f t="shared" si="0"/>
        <v>0</v>
      </c>
      <c r="G26" s="59"/>
      <c r="H26" s="174"/>
      <c r="I26" s="172">
        <f t="shared" si="1"/>
        <v>0</v>
      </c>
      <c r="J26" s="59"/>
      <c r="K26" s="174"/>
      <c r="L26" s="172">
        <f t="shared" si="2"/>
        <v>0</v>
      </c>
      <c r="M26" s="59"/>
      <c r="N26" s="174"/>
      <c r="O26" s="172">
        <f t="shared" si="3"/>
        <v>0</v>
      </c>
      <c r="P26" s="59"/>
      <c r="Q26" s="174"/>
      <c r="R26" s="172">
        <f t="shared" si="4"/>
        <v>0</v>
      </c>
      <c r="S26" s="59"/>
      <c r="T26" s="174"/>
      <c r="U26" s="172">
        <f t="shared" si="5"/>
        <v>0</v>
      </c>
    </row>
    <row r="27" spans="2:21" ht="15.75" customHeight="1" x14ac:dyDescent="0.2">
      <c r="B27" s="130">
        <f t="shared" si="6"/>
        <v>15</v>
      </c>
      <c r="C27" s="61"/>
      <c r="D27" s="59"/>
      <c r="E27" s="174"/>
      <c r="F27" s="172">
        <f t="shared" si="0"/>
        <v>0</v>
      </c>
      <c r="G27" s="59"/>
      <c r="H27" s="174"/>
      <c r="I27" s="172">
        <f t="shared" si="1"/>
        <v>0</v>
      </c>
      <c r="J27" s="59"/>
      <c r="K27" s="174"/>
      <c r="L27" s="172">
        <f t="shared" si="2"/>
        <v>0</v>
      </c>
      <c r="M27" s="59"/>
      <c r="N27" s="174"/>
      <c r="O27" s="172">
        <f t="shared" si="3"/>
        <v>0</v>
      </c>
      <c r="P27" s="59"/>
      <c r="Q27" s="174"/>
      <c r="R27" s="172">
        <f t="shared" si="4"/>
        <v>0</v>
      </c>
      <c r="S27" s="59"/>
      <c r="T27" s="174"/>
      <c r="U27" s="172">
        <f t="shared" si="5"/>
        <v>0</v>
      </c>
    </row>
    <row r="28" spans="2:21" ht="15.75" customHeight="1" x14ac:dyDescent="0.2">
      <c r="B28" s="130">
        <f t="shared" si="6"/>
        <v>16</v>
      </c>
      <c r="C28" s="61"/>
      <c r="D28" s="59"/>
      <c r="E28" s="174"/>
      <c r="F28" s="172">
        <f t="shared" si="0"/>
        <v>0</v>
      </c>
      <c r="G28" s="59"/>
      <c r="H28" s="174"/>
      <c r="I28" s="172">
        <f t="shared" si="1"/>
        <v>0</v>
      </c>
      <c r="J28" s="59"/>
      <c r="K28" s="174"/>
      <c r="L28" s="172">
        <f t="shared" si="2"/>
        <v>0</v>
      </c>
      <c r="M28" s="59"/>
      <c r="N28" s="174"/>
      <c r="O28" s="172">
        <f t="shared" si="3"/>
        <v>0</v>
      </c>
      <c r="P28" s="59"/>
      <c r="Q28" s="174"/>
      <c r="R28" s="172">
        <f t="shared" si="4"/>
        <v>0</v>
      </c>
      <c r="S28" s="59"/>
      <c r="T28" s="174"/>
      <c r="U28" s="172">
        <f t="shared" si="5"/>
        <v>0</v>
      </c>
    </row>
    <row r="29" spans="2:21" ht="15.75" customHeight="1" x14ac:dyDescent="0.2">
      <c r="B29" s="130">
        <f t="shared" si="6"/>
        <v>17</v>
      </c>
      <c r="C29" s="61"/>
      <c r="D29" s="59"/>
      <c r="E29" s="174"/>
      <c r="F29" s="172">
        <f t="shared" si="0"/>
        <v>0</v>
      </c>
      <c r="G29" s="59"/>
      <c r="H29" s="174"/>
      <c r="I29" s="172">
        <f t="shared" si="1"/>
        <v>0</v>
      </c>
      <c r="J29" s="59"/>
      <c r="K29" s="174"/>
      <c r="L29" s="172">
        <f t="shared" si="2"/>
        <v>0</v>
      </c>
      <c r="M29" s="59"/>
      <c r="N29" s="174"/>
      <c r="O29" s="172">
        <f t="shared" si="3"/>
        <v>0</v>
      </c>
      <c r="P29" s="59"/>
      <c r="Q29" s="174"/>
      <c r="R29" s="172">
        <f t="shared" si="4"/>
        <v>0</v>
      </c>
      <c r="S29" s="59"/>
      <c r="T29" s="174"/>
      <c r="U29" s="172">
        <f t="shared" si="5"/>
        <v>0</v>
      </c>
    </row>
    <row r="30" spans="2:21" ht="15.75" customHeight="1" x14ac:dyDescent="0.2">
      <c r="B30" s="136">
        <f t="shared" si="6"/>
        <v>18</v>
      </c>
      <c r="C30" s="61"/>
      <c r="D30" s="59"/>
      <c r="E30" s="174"/>
      <c r="F30" s="172">
        <f t="shared" si="0"/>
        <v>0</v>
      </c>
      <c r="G30" s="59"/>
      <c r="H30" s="174"/>
      <c r="I30" s="172">
        <f t="shared" si="1"/>
        <v>0</v>
      </c>
      <c r="J30" s="59"/>
      <c r="K30" s="174"/>
      <c r="L30" s="172">
        <f t="shared" si="2"/>
        <v>0</v>
      </c>
      <c r="M30" s="59"/>
      <c r="N30" s="174"/>
      <c r="O30" s="172">
        <f t="shared" si="3"/>
        <v>0</v>
      </c>
      <c r="P30" s="59"/>
      <c r="Q30" s="174"/>
      <c r="R30" s="172">
        <f t="shared" si="4"/>
        <v>0</v>
      </c>
      <c r="S30" s="59"/>
      <c r="T30" s="174"/>
      <c r="U30" s="172">
        <f t="shared" si="5"/>
        <v>0</v>
      </c>
    </row>
    <row r="31" spans="2:21" ht="15" customHeight="1" x14ac:dyDescent="0.2">
      <c r="B31" s="136">
        <f t="shared" si="6"/>
        <v>19</v>
      </c>
      <c r="C31" s="61"/>
      <c r="D31" s="59"/>
      <c r="E31" s="174"/>
      <c r="F31" s="172">
        <f t="shared" si="0"/>
        <v>0</v>
      </c>
      <c r="G31" s="59"/>
      <c r="H31" s="174"/>
      <c r="I31" s="172">
        <f t="shared" si="1"/>
        <v>0</v>
      </c>
      <c r="J31" s="59"/>
      <c r="K31" s="174"/>
      <c r="L31" s="172">
        <f t="shared" si="2"/>
        <v>0</v>
      </c>
      <c r="M31" s="59"/>
      <c r="N31" s="174"/>
      <c r="O31" s="172">
        <f t="shared" si="3"/>
        <v>0</v>
      </c>
      <c r="P31" s="59"/>
      <c r="Q31" s="174"/>
      <c r="R31" s="172">
        <f t="shared" si="4"/>
        <v>0</v>
      </c>
      <c r="S31" s="59"/>
      <c r="T31" s="174"/>
      <c r="U31" s="172">
        <f t="shared" si="5"/>
        <v>0</v>
      </c>
    </row>
    <row r="32" spans="2:21" ht="15.75" thickBot="1" x14ac:dyDescent="0.25">
      <c r="B32" s="137">
        <f>B31+1</f>
        <v>20</v>
      </c>
      <c r="C32" s="61"/>
      <c r="D32" s="59"/>
      <c r="E32" s="174"/>
      <c r="F32" s="172">
        <f t="shared" si="0"/>
        <v>0</v>
      </c>
      <c r="G32" s="59"/>
      <c r="H32" s="174"/>
      <c r="I32" s="172">
        <f t="shared" si="1"/>
        <v>0</v>
      </c>
      <c r="J32" s="59"/>
      <c r="K32" s="174"/>
      <c r="L32" s="172">
        <f t="shared" si="2"/>
        <v>0</v>
      </c>
      <c r="M32" s="59"/>
      <c r="N32" s="174"/>
      <c r="O32" s="172">
        <f t="shared" si="3"/>
        <v>0</v>
      </c>
      <c r="P32" s="59"/>
      <c r="Q32" s="174"/>
      <c r="R32" s="172">
        <f t="shared" si="4"/>
        <v>0</v>
      </c>
      <c r="S32" s="59"/>
      <c r="T32" s="174"/>
      <c r="U32" s="172">
        <f t="shared" si="5"/>
        <v>0</v>
      </c>
    </row>
    <row r="33" spans="1:21" ht="31.5" customHeight="1" thickBot="1" x14ac:dyDescent="0.25">
      <c r="C33" s="166" t="s">
        <v>2</v>
      </c>
      <c r="D33" s="54">
        <f>SUM(D13:D32)</f>
        <v>0</v>
      </c>
      <c r="E33" s="97"/>
      <c r="F33" s="56">
        <f>D33+E33</f>
        <v>0</v>
      </c>
      <c r="G33" s="54">
        <f>SUM(G13:G32)</f>
        <v>0</v>
      </c>
      <c r="H33" s="97"/>
      <c r="I33" s="56">
        <f>G33+H33</f>
        <v>0</v>
      </c>
      <c r="J33" s="54">
        <f>SUM(J13:J32)</f>
        <v>0</v>
      </c>
      <c r="K33" s="97"/>
      <c r="L33" s="56">
        <f>J33+K33</f>
        <v>0</v>
      </c>
      <c r="M33" s="54">
        <f>SUM(M13:M32)</f>
        <v>0</v>
      </c>
      <c r="N33" s="97"/>
      <c r="O33" s="56">
        <f>M33+N33</f>
        <v>0</v>
      </c>
      <c r="P33" s="54">
        <f>SUM(P13:P32)</f>
        <v>0</v>
      </c>
      <c r="Q33" s="97"/>
      <c r="R33" s="56">
        <f>P33+Q33</f>
        <v>0</v>
      </c>
      <c r="S33" s="54">
        <f>SUM(S13:S32)</f>
        <v>0</v>
      </c>
      <c r="T33" s="97"/>
      <c r="U33" s="56">
        <f>S33+T33</f>
        <v>0</v>
      </c>
    </row>
    <row r="34" spans="1:21" ht="6" customHeight="1" x14ac:dyDescent="0.2">
      <c r="A34" s="22"/>
      <c r="B34" s="22"/>
      <c r="C34" s="22"/>
      <c r="D34" s="22"/>
      <c r="E34" s="22"/>
      <c r="F34" s="22"/>
      <c r="G34" s="22"/>
      <c r="H34" s="22"/>
      <c r="I34" s="22"/>
      <c r="J34" s="22"/>
      <c r="K34" s="22"/>
      <c r="L34" s="22"/>
      <c r="M34" s="22"/>
      <c r="N34" s="22"/>
    </row>
  </sheetData>
  <sheetProtection insertRows="0"/>
  <protectedRanges>
    <protectedRange password="CC9E" sqref="A1:IV5 A9:IV10 A8 D8:IV8 A13:IV65536 F12:G12 I12:J12 L12:M12 O12:P12 U12:IV12 R12:S12 A7:IV7 A6 D6:IV6 A11:B12 D11:IV11 D12" name="Rango1"/>
    <protectedRange password="CC9E" sqref="B8:C8" name="Rango1_1"/>
    <protectedRange password="CC9E" sqref="E12" name="Rango1_1_1"/>
    <protectedRange password="CC9E" sqref="H12" name="Rango1_1_2"/>
    <protectedRange password="CC9E" sqref="K12" name="Rango1_1_3"/>
    <protectedRange password="CC9E" sqref="N12" name="Rango1_1_4"/>
    <protectedRange password="CC9E" sqref="T12 Q12" name="Rango1_1_5"/>
    <protectedRange password="CC9E" sqref="B6:C6" name="Rango1_3_1"/>
    <protectedRange password="CC9E" sqref="C11:C12" name="Rango1_2"/>
  </protectedRanges>
  <mergeCells count="11">
    <mergeCell ref="M11:O11"/>
    <mergeCell ref="P11:R11"/>
    <mergeCell ref="S11:U11"/>
    <mergeCell ref="D1:I1"/>
    <mergeCell ref="B11:B12"/>
    <mergeCell ref="C11:C12"/>
    <mergeCell ref="D11:F11"/>
    <mergeCell ref="G11:I11"/>
    <mergeCell ref="J11:L11"/>
    <mergeCell ref="B8:C8"/>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34"/>
  <sheetViews>
    <sheetView showGridLines="0" zoomScale="70" zoomScaleNormal="70" workbookViewId="0">
      <pane xSplit="3" ySplit="12" topLeftCell="D13"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9" style="16" customWidth="1"/>
    <col min="4" max="4" width="15.28515625" style="16" customWidth="1"/>
    <col min="5" max="5" width="14" style="16" customWidth="1"/>
    <col min="6" max="12" width="15.28515625" style="16" customWidth="1"/>
    <col min="13" max="13" width="14.85546875" style="16" customWidth="1"/>
    <col min="14" max="14" width="14.140625" style="16" customWidth="1"/>
    <col min="15" max="15" width="14.28515625" style="16" customWidth="1"/>
    <col min="16" max="16" width="14.42578125" style="16" customWidth="1"/>
    <col min="17" max="17" width="15.5703125" style="16" customWidth="1"/>
    <col min="18" max="18" width="14.140625" style="16" customWidth="1"/>
    <col min="19" max="19" width="13.5703125" style="16" customWidth="1"/>
    <col min="20" max="20" width="13.28515625" style="16" customWidth="1"/>
    <col min="21" max="21" width="14" style="16" customWidth="1"/>
    <col min="22" max="16384" width="11.42578125" style="16"/>
  </cols>
  <sheetData>
    <row r="1" spans="2:21" ht="70.5" customHeight="1" x14ac:dyDescent="0.2">
      <c r="D1" s="229"/>
      <c r="E1" s="229"/>
      <c r="F1" s="229"/>
      <c r="G1" s="229"/>
      <c r="H1" s="229"/>
      <c r="I1" s="229"/>
      <c r="J1" s="12"/>
      <c r="K1" s="12"/>
      <c r="L1" s="12"/>
    </row>
    <row r="2" spans="2:21" x14ac:dyDescent="0.2">
      <c r="B2" s="116"/>
    </row>
    <row r="4" spans="2:21" ht="15" x14ac:dyDescent="0.2">
      <c r="B4" s="93" t="s">
        <v>81</v>
      </c>
    </row>
    <row r="5" spans="2:21" ht="15" x14ac:dyDescent="0.2">
      <c r="B5" s="93"/>
    </row>
    <row r="6" spans="2:21" ht="44.45" customHeight="1" x14ac:dyDescent="0.2">
      <c r="B6" s="208" t="s">
        <v>152</v>
      </c>
      <c r="C6" s="208"/>
    </row>
    <row r="8" spans="2:21" ht="27.6" customHeight="1" x14ac:dyDescent="0.2">
      <c r="B8" s="208" t="s">
        <v>153</v>
      </c>
      <c r="C8" s="208"/>
      <c r="D8" s="88"/>
    </row>
    <row r="9" spans="2:21" ht="15" x14ac:dyDescent="0.2">
      <c r="C9" s="167"/>
      <c r="D9" s="88"/>
    </row>
    <row r="10" spans="2:21" ht="6" customHeight="1" thickBot="1" x14ac:dyDescent="0.25"/>
    <row r="11" spans="2:21" ht="15.75" customHeight="1" thickBot="1" x14ac:dyDescent="0.25">
      <c r="B11" s="214" t="s">
        <v>10</v>
      </c>
      <c r="C11" s="214" t="s">
        <v>147</v>
      </c>
      <c r="D11" s="222">
        <f>Personal!F13</f>
        <v>2021</v>
      </c>
      <c r="E11" s="223"/>
      <c r="F11" s="224"/>
      <c r="G11" s="222">
        <f>D11+1</f>
        <v>2022</v>
      </c>
      <c r="H11" s="223"/>
      <c r="I11" s="224"/>
      <c r="J11" s="222">
        <f>G11+1</f>
        <v>2023</v>
      </c>
      <c r="K11" s="223"/>
      <c r="L11" s="224"/>
      <c r="M11" s="222">
        <f>J11+1</f>
        <v>2024</v>
      </c>
      <c r="N11" s="223"/>
      <c r="O11" s="224"/>
      <c r="P11" s="222">
        <f>M11+1</f>
        <v>2025</v>
      </c>
      <c r="Q11" s="223"/>
      <c r="R11" s="224"/>
      <c r="S11" s="222">
        <f>P11+1</f>
        <v>2026</v>
      </c>
      <c r="T11" s="223"/>
      <c r="U11" s="224"/>
    </row>
    <row r="12" spans="2:21" s="57" customFormat="1" ht="67.900000000000006" customHeight="1" thickBot="1" x14ac:dyDescent="0.25">
      <c r="B12" s="215"/>
      <c r="C12" s="215"/>
      <c r="D12" s="138" t="s">
        <v>6</v>
      </c>
      <c r="E12" s="139" t="s">
        <v>139</v>
      </c>
      <c r="F12" s="140" t="s">
        <v>4</v>
      </c>
      <c r="G12" s="138" t="s">
        <v>6</v>
      </c>
      <c r="H12" s="139" t="s">
        <v>139</v>
      </c>
      <c r="I12" s="140" t="s">
        <v>4</v>
      </c>
      <c r="J12" s="138" t="s">
        <v>6</v>
      </c>
      <c r="K12" s="139" t="s">
        <v>139</v>
      </c>
      <c r="L12" s="140" t="s">
        <v>4</v>
      </c>
      <c r="M12" s="138" t="s">
        <v>6</v>
      </c>
      <c r="N12" s="139" t="s">
        <v>139</v>
      </c>
      <c r="O12" s="140" t="s">
        <v>4</v>
      </c>
      <c r="P12" s="138" t="s">
        <v>6</v>
      </c>
      <c r="Q12" s="139" t="s">
        <v>139</v>
      </c>
      <c r="R12" s="140" t="s">
        <v>4</v>
      </c>
      <c r="S12" s="138" t="s">
        <v>6</v>
      </c>
      <c r="T12" s="139" t="s">
        <v>139</v>
      </c>
      <c r="U12" s="140" t="s">
        <v>4</v>
      </c>
    </row>
    <row r="13" spans="2:21" ht="15.75" customHeight="1" x14ac:dyDescent="0.2">
      <c r="B13" s="129">
        <v>1</v>
      </c>
      <c r="C13" s="58"/>
      <c r="D13" s="59"/>
      <c r="E13" s="60"/>
      <c r="F13" s="172">
        <f>SUM(D13:E13)</f>
        <v>0</v>
      </c>
      <c r="G13" s="59"/>
      <c r="H13" s="60"/>
      <c r="I13" s="172">
        <f>SUM(G13:H13)</f>
        <v>0</v>
      </c>
      <c r="J13" s="59"/>
      <c r="K13" s="60"/>
      <c r="L13" s="172">
        <f>SUM(J13:K13)</f>
        <v>0</v>
      </c>
      <c r="M13" s="59"/>
      <c r="N13" s="60"/>
      <c r="O13" s="172">
        <f>SUM(M13:N13)</f>
        <v>0</v>
      </c>
      <c r="P13" s="59"/>
      <c r="Q13" s="60"/>
      <c r="R13" s="172">
        <f>SUM(P13:Q13)</f>
        <v>0</v>
      </c>
      <c r="S13" s="59"/>
      <c r="T13" s="60"/>
      <c r="U13" s="172">
        <f>SUM(S13:T13)</f>
        <v>0</v>
      </c>
    </row>
    <row r="14" spans="2:21" ht="15.75" customHeight="1" x14ac:dyDescent="0.2">
      <c r="B14" s="130">
        <f>B13+1</f>
        <v>2</v>
      </c>
      <c r="C14" s="61"/>
      <c r="D14" s="59"/>
      <c r="E14" s="60"/>
      <c r="F14" s="172">
        <f t="shared" ref="F14:F32" si="0">SUM(D14:E14)</f>
        <v>0</v>
      </c>
      <c r="G14" s="59"/>
      <c r="H14" s="60"/>
      <c r="I14" s="172">
        <f t="shared" ref="I14:I32" si="1">SUM(G14:H14)</f>
        <v>0</v>
      </c>
      <c r="J14" s="59"/>
      <c r="K14" s="60"/>
      <c r="L14" s="172">
        <f t="shared" ref="L14:L32" si="2">SUM(J14:K14)</f>
        <v>0</v>
      </c>
      <c r="M14" s="59"/>
      <c r="N14" s="60"/>
      <c r="O14" s="172">
        <f t="shared" ref="O14:O32" si="3">SUM(M14:N14)</f>
        <v>0</v>
      </c>
      <c r="P14" s="59"/>
      <c r="Q14" s="60"/>
      <c r="R14" s="172">
        <f t="shared" ref="R14:R32" si="4">SUM(P14:Q14)</f>
        <v>0</v>
      </c>
      <c r="S14" s="59"/>
      <c r="T14" s="60"/>
      <c r="U14" s="172">
        <f t="shared" ref="U14:U32" si="5">SUM(S14:T14)</f>
        <v>0</v>
      </c>
    </row>
    <row r="15" spans="2:21" ht="15.75" customHeight="1" x14ac:dyDescent="0.2">
      <c r="B15" s="130">
        <f t="shared" ref="B15:B31" si="6">B14+1</f>
        <v>3</v>
      </c>
      <c r="C15" s="61"/>
      <c r="D15" s="59"/>
      <c r="E15" s="60"/>
      <c r="F15" s="172">
        <f t="shared" si="0"/>
        <v>0</v>
      </c>
      <c r="G15" s="59"/>
      <c r="H15" s="60"/>
      <c r="I15" s="172">
        <f t="shared" si="1"/>
        <v>0</v>
      </c>
      <c r="J15" s="59"/>
      <c r="K15" s="60"/>
      <c r="L15" s="172">
        <f t="shared" si="2"/>
        <v>0</v>
      </c>
      <c r="M15" s="59"/>
      <c r="N15" s="60"/>
      <c r="O15" s="172">
        <f t="shared" si="3"/>
        <v>0</v>
      </c>
      <c r="P15" s="59"/>
      <c r="Q15" s="60"/>
      <c r="R15" s="172">
        <f t="shared" si="4"/>
        <v>0</v>
      </c>
      <c r="S15" s="59"/>
      <c r="T15" s="60"/>
      <c r="U15" s="172">
        <f t="shared" si="5"/>
        <v>0</v>
      </c>
    </row>
    <row r="16" spans="2:21" ht="15.75" customHeight="1" x14ac:dyDescent="0.2">
      <c r="B16" s="130">
        <f t="shared" si="6"/>
        <v>4</v>
      </c>
      <c r="C16" s="61"/>
      <c r="D16" s="59"/>
      <c r="E16" s="60"/>
      <c r="F16" s="172">
        <f t="shared" si="0"/>
        <v>0</v>
      </c>
      <c r="G16" s="59"/>
      <c r="H16" s="60"/>
      <c r="I16" s="172">
        <f t="shared" si="1"/>
        <v>0</v>
      </c>
      <c r="J16" s="59"/>
      <c r="K16" s="60"/>
      <c r="L16" s="172">
        <f t="shared" si="2"/>
        <v>0</v>
      </c>
      <c r="M16" s="59"/>
      <c r="N16" s="60"/>
      <c r="O16" s="172">
        <f t="shared" si="3"/>
        <v>0</v>
      </c>
      <c r="P16" s="59"/>
      <c r="Q16" s="60"/>
      <c r="R16" s="172">
        <f t="shared" si="4"/>
        <v>0</v>
      </c>
      <c r="S16" s="59"/>
      <c r="T16" s="60"/>
      <c r="U16" s="172">
        <f t="shared" si="5"/>
        <v>0</v>
      </c>
    </row>
    <row r="17" spans="2:21" ht="15.75" customHeight="1" x14ac:dyDescent="0.2">
      <c r="B17" s="130">
        <f t="shared" si="6"/>
        <v>5</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6</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7</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8</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9</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10</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11</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12</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13</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14</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15</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16</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17</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6">
        <f t="shared" si="6"/>
        <v>18</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 customHeight="1" x14ac:dyDescent="0.2">
      <c r="B31" s="136">
        <f t="shared" si="6"/>
        <v>19</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thickBot="1" x14ac:dyDescent="0.25">
      <c r="B32" s="137">
        <f>B31+1</f>
        <v>20</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31.5" customHeight="1" thickBot="1" x14ac:dyDescent="0.25">
      <c r="C33" s="166" t="s">
        <v>2</v>
      </c>
      <c r="D33" s="54">
        <f>SUM(D13:D32)</f>
        <v>0</v>
      </c>
      <c r="E33" s="55">
        <f>SUM(E13:E32)</f>
        <v>0</v>
      </c>
      <c r="F33" s="56">
        <f>D33+E33</f>
        <v>0</v>
      </c>
      <c r="G33" s="54">
        <f>SUM(G13:G32)</f>
        <v>0</v>
      </c>
      <c r="H33" s="55">
        <f>SUM(H13:H32)</f>
        <v>0</v>
      </c>
      <c r="I33" s="56">
        <f>G33+H33</f>
        <v>0</v>
      </c>
      <c r="J33" s="54">
        <f>SUM(J13:J32)</f>
        <v>0</v>
      </c>
      <c r="K33" s="55">
        <f>SUM(K13:K32)</f>
        <v>0</v>
      </c>
      <c r="L33" s="56">
        <f>J33+K33</f>
        <v>0</v>
      </c>
      <c r="M33" s="54">
        <f>SUM(M13:M32)</f>
        <v>0</v>
      </c>
      <c r="N33" s="55">
        <f>SUM(N13:N32)</f>
        <v>0</v>
      </c>
      <c r="O33" s="56">
        <f>M33+N33</f>
        <v>0</v>
      </c>
      <c r="P33" s="54">
        <f>SUM(P13:P32)</f>
        <v>0</v>
      </c>
      <c r="Q33" s="55">
        <f>SUM(Q13:Q32)</f>
        <v>0</v>
      </c>
      <c r="R33" s="56">
        <f>P33+Q33</f>
        <v>0</v>
      </c>
      <c r="S33" s="54">
        <f>SUM(S13:S32)</f>
        <v>0</v>
      </c>
      <c r="T33" s="55">
        <f>SUM(T13:T32)</f>
        <v>0</v>
      </c>
      <c r="U33" s="56">
        <f>S33+T33</f>
        <v>0</v>
      </c>
    </row>
    <row r="34" spans="1:21" ht="15.75" customHeight="1" x14ac:dyDescent="0.2">
      <c r="A34" s="22"/>
      <c r="B34" s="22"/>
      <c r="C34" s="22"/>
      <c r="D34" s="22"/>
      <c r="E34" s="22"/>
      <c r="F34" s="22"/>
      <c r="G34" s="22"/>
      <c r="H34" s="22"/>
      <c r="I34" s="22"/>
      <c r="J34" s="22"/>
      <c r="K34" s="22"/>
      <c r="L34" s="22"/>
      <c r="M34" s="22"/>
      <c r="N34" s="22"/>
    </row>
  </sheetData>
  <sheetProtection insertRows="0"/>
  <protectedRanges>
    <protectedRange password="CC9E" sqref="A8 C8:IV8 A9:IV11 A1:IV5 A13:IV65536 A12:D12 F12:G12 I12:J12 L12:M12 O12:P12 R12:S12 U12:IV12 A7:IV7 A6 D6:IV6" name="Rango1"/>
    <protectedRange password="CC9E" sqref="B8" name="Rango1_1"/>
    <protectedRange password="CC9E" sqref="E12" name="Rango1_1_4"/>
    <protectedRange password="CC9E" sqref="H12" name="Rango1_1_4_1"/>
    <protectedRange password="CC9E" sqref="K12" name="Rango1_1_4_2"/>
    <protectedRange password="CC9E" sqref="N12" name="Rango1_1_4_3"/>
    <protectedRange password="CC9E" sqref="Q12" name="Rango1_1_4_4"/>
    <protectedRange password="CC9E" sqref="T12" name="Rango1_1_4_5"/>
    <protectedRange password="CC9E" sqref="B6:C6" name="Rango1_3_1"/>
  </protectedRanges>
  <mergeCells count="11">
    <mergeCell ref="S11:U11"/>
    <mergeCell ref="J11:L11"/>
    <mergeCell ref="C11:C12"/>
    <mergeCell ref="D1:I1"/>
    <mergeCell ref="B8:C8"/>
    <mergeCell ref="B11:B12"/>
    <mergeCell ref="D11:F11"/>
    <mergeCell ref="G11:I11"/>
    <mergeCell ref="M11:O11"/>
    <mergeCell ref="P11:R11"/>
    <mergeCell ref="B6:C6"/>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10 A13:B32 C33 D12 A33:B33 J12 A11:B12 D33:E33 D11:F11 H11:I11 F12:G12 I12 L12"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36"/>
  <sheetViews>
    <sheetView showGridLines="0" zoomScale="70" zoomScaleNormal="70" workbookViewId="0">
      <pane xSplit="3" ySplit="14" topLeftCell="D15" activePane="bottomRight" state="frozen"/>
      <selection activeCell="E44" sqref="E44"/>
      <selection pane="topRight" activeCell="E44" sqref="E44"/>
      <selection pane="bottomLeft" activeCell="E44" sqref="E44"/>
      <selection pane="bottomRight" activeCell="E44" sqref="E44"/>
    </sheetView>
  </sheetViews>
  <sheetFormatPr baseColWidth="10" defaultColWidth="11.42578125" defaultRowHeight="14.25" x14ac:dyDescent="0.2"/>
  <cols>
    <col min="1" max="1" width="1.7109375" style="16" customWidth="1"/>
    <col min="2" max="2" width="14.7109375" style="16" customWidth="1"/>
    <col min="3" max="3" width="90.7109375" style="16" customWidth="1"/>
    <col min="4" max="12" width="15.28515625" style="16" customWidth="1"/>
    <col min="13" max="13" width="13.7109375" style="16" customWidth="1"/>
    <col min="14" max="14" width="13.85546875" style="16" customWidth="1"/>
    <col min="15" max="15" width="13.42578125" style="16" customWidth="1"/>
    <col min="16" max="16" width="14.28515625" style="16" customWidth="1"/>
    <col min="17" max="17" width="14.85546875" style="16" customWidth="1"/>
    <col min="18" max="18" width="13.5703125" style="16" customWidth="1"/>
    <col min="19" max="19" width="13.28515625" style="16" customWidth="1"/>
    <col min="20" max="20" width="14.140625" style="16" customWidth="1"/>
    <col min="21" max="21" width="13.42578125" style="16" customWidth="1"/>
    <col min="22" max="16384" width="11.42578125" style="16"/>
  </cols>
  <sheetData>
    <row r="1" spans="2:21" ht="64.5" customHeight="1" x14ac:dyDescent="0.2">
      <c r="D1" s="229"/>
      <c r="E1" s="229"/>
      <c r="F1" s="229"/>
      <c r="G1" s="229"/>
      <c r="H1" s="229"/>
      <c r="I1" s="229"/>
      <c r="J1" s="12"/>
      <c r="K1" s="12"/>
      <c r="L1" s="12"/>
    </row>
    <row r="2" spans="2:21" x14ac:dyDescent="0.2">
      <c r="B2" s="116"/>
    </row>
    <row r="4" spans="2:21" ht="15" x14ac:dyDescent="0.2">
      <c r="B4" s="93" t="s">
        <v>9</v>
      </c>
    </row>
    <row r="5" spans="2:21" ht="15" x14ac:dyDescent="0.2">
      <c r="B5" s="93"/>
    </row>
    <row r="6" spans="2:21" ht="42" customHeight="1" x14ac:dyDescent="0.2">
      <c r="B6" s="208" t="s">
        <v>155</v>
      </c>
      <c r="C6" s="208"/>
    </row>
    <row r="8" spans="2:21" ht="40.15" customHeight="1" x14ac:dyDescent="0.2">
      <c r="B8" s="208" t="s">
        <v>156</v>
      </c>
      <c r="C8" s="208"/>
    </row>
    <row r="10" spans="2:21" ht="43.9" customHeight="1" x14ac:dyDescent="0.2">
      <c r="B10" s="208" t="s">
        <v>132</v>
      </c>
      <c r="C10" s="208"/>
    </row>
    <row r="11" spans="2:21" x14ac:dyDescent="0.2">
      <c r="B11" s="232"/>
      <c r="C11" s="232"/>
    </row>
    <row r="12" spans="2:21" ht="6" customHeight="1" thickBot="1" x14ac:dyDescent="0.25"/>
    <row r="13" spans="2:21" ht="15.75" customHeight="1" thickBot="1" x14ac:dyDescent="0.25">
      <c r="B13" s="214" t="s">
        <v>115</v>
      </c>
      <c r="C13" s="214" t="s">
        <v>154</v>
      </c>
      <c r="D13" s="222">
        <f>Personal!F13</f>
        <v>2021</v>
      </c>
      <c r="E13" s="223"/>
      <c r="F13" s="224"/>
      <c r="G13" s="222">
        <f>D13+1</f>
        <v>2022</v>
      </c>
      <c r="H13" s="223"/>
      <c r="I13" s="224"/>
      <c r="J13" s="222">
        <f>G13+1</f>
        <v>2023</v>
      </c>
      <c r="K13" s="223"/>
      <c r="L13" s="224"/>
      <c r="M13" s="222">
        <f>J13+1</f>
        <v>2024</v>
      </c>
      <c r="N13" s="223"/>
      <c r="O13" s="224"/>
      <c r="P13" s="222">
        <f>M13+1</f>
        <v>2025</v>
      </c>
      <c r="Q13" s="223"/>
      <c r="R13" s="224"/>
      <c r="S13" s="222">
        <f>P13+1</f>
        <v>2026</v>
      </c>
      <c r="T13" s="223"/>
      <c r="U13" s="224"/>
    </row>
    <row r="14" spans="2:21" s="57" customFormat="1" ht="67.150000000000006" customHeight="1" thickBot="1" x14ac:dyDescent="0.25">
      <c r="B14" s="215" t="s">
        <v>1</v>
      </c>
      <c r="C14" s="215"/>
      <c r="D14" s="138" t="s">
        <v>7</v>
      </c>
      <c r="E14" s="139" t="s">
        <v>139</v>
      </c>
      <c r="F14" s="140" t="s">
        <v>8</v>
      </c>
      <c r="G14" s="138" t="s">
        <v>7</v>
      </c>
      <c r="H14" s="139" t="s">
        <v>139</v>
      </c>
      <c r="I14" s="140" t="s">
        <v>8</v>
      </c>
      <c r="J14" s="138" t="s">
        <v>7</v>
      </c>
      <c r="K14" s="139" t="s">
        <v>139</v>
      </c>
      <c r="L14" s="140" t="s">
        <v>8</v>
      </c>
      <c r="M14" s="138" t="s">
        <v>7</v>
      </c>
      <c r="N14" s="139" t="s">
        <v>139</v>
      </c>
      <c r="O14" s="140" t="s">
        <v>8</v>
      </c>
      <c r="P14" s="138" t="s">
        <v>7</v>
      </c>
      <c r="Q14" s="139" t="s">
        <v>139</v>
      </c>
      <c r="R14" s="140" t="s">
        <v>8</v>
      </c>
      <c r="S14" s="138" t="s">
        <v>7</v>
      </c>
      <c r="T14" s="139" t="s">
        <v>139</v>
      </c>
      <c r="U14" s="140" t="s">
        <v>8</v>
      </c>
    </row>
    <row r="15" spans="2:21" ht="15.75" customHeight="1" x14ac:dyDescent="0.2">
      <c r="B15" s="129">
        <v>1</v>
      </c>
      <c r="C15" s="58"/>
      <c r="D15" s="59"/>
      <c r="E15" s="60"/>
      <c r="F15" s="172">
        <f>SUM(D15:E15)</f>
        <v>0</v>
      </c>
      <c r="G15" s="59"/>
      <c r="H15" s="60"/>
      <c r="I15" s="172">
        <f>SUM(G15:H15)</f>
        <v>0</v>
      </c>
      <c r="J15" s="59"/>
      <c r="K15" s="60"/>
      <c r="L15" s="172">
        <f>SUM(J15:K15)</f>
        <v>0</v>
      </c>
      <c r="M15" s="59"/>
      <c r="N15" s="60"/>
      <c r="O15" s="172">
        <f>SUM(M15:N15)</f>
        <v>0</v>
      </c>
      <c r="P15" s="59"/>
      <c r="Q15" s="60"/>
      <c r="R15" s="172">
        <f>SUM(P15:Q15)</f>
        <v>0</v>
      </c>
      <c r="S15" s="59"/>
      <c r="T15" s="60"/>
      <c r="U15" s="172">
        <f>SUM(S15:T15)</f>
        <v>0</v>
      </c>
    </row>
    <row r="16" spans="2:21" ht="15.75" customHeight="1" x14ac:dyDescent="0.2">
      <c r="B16" s="130">
        <f>B15+1</f>
        <v>2</v>
      </c>
      <c r="C16" s="61"/>
      <c r="D16" s="59"/>
      <c r="E16" s="60"/>
      <c r="F16" s="172">
        <f t="shared" ref="F16:F34" si="0">SUM(D16:E16)</f>
        <v>0</v>
      </c>
      <c r="G16" s="59"/>
      <c r="H16" s="60"/>
      <c r="I16" s="172">
        <f t="shared" ref="I16:I34" si="1">SUM(G16:H16)</f>
        <v>0</v>
      </c>
      <c r="J16" s="59"/>
      <c r="K16" s="60"/>
      <c r="L16" s="172">
        <f t="shared" ref="L16:L34" si="2">SUM(J16:K16)</f>
        <v>0</v>
      </c>
      <c r="M16" s="59"/>
      <c r="N16" s="60"/>
      <c r="O16" s="172">
        <f t="shared" ref="O16:O34" si="3">SUM(M16:N16)</f>
        <v>0</v>
      </c>
      <c r="P16" s="59"/>
      <c r="Q16" s="60"/>
      <c r="R16" s="172">
        <f t="shared" ref="R16:R34" si="4">SUM(P16:Q16)</f>
        <v>0</v>
      </c>
      <c r="S16" s="59"/>
      <c r="T16" s="60"/>
      <c r="U16" s="172">
        <f t="shared" ref="U16:U34" si="5">SUM(S16:T16)</f>
        <v>0</v>
      </c>
    </row>
    <row r="17" spans="2:21" ht="15.75" customHeight="1" x14ac:dyDescent="0.2">
      <c r="B17" s="130">
        <f t="shared" ref="B17:B33" si="6">B16+1</f>
        <v>3</v>
      </c>
      <c r="C17" s="61"/>
      <c r="D17" s="59"/>
      <c r="E17" s="60"/>
      <c r="F17" s="172">
        <f t="shared" si="0"/>
        <v>0</v>
      </c>
      <c r="G17" s="59"/>
      <c r="H17" s="60"/>
      <c r="I17" s="172">
        <f t="shared" si="1"/>
        <v>0</v>
      </c>
      <c r="J17" s="59"/>
      <c r="K17" s="60"/>
      <c r="L17" s="172">
        <f t="shared" si="2"/>
        <v>0</v>
      </c>
      <c r="M17" s="59"/>
      <c r="N17" s="60"/>
      <c r="O17" s="172">
        <f t="shared" si="3"/>
        <v>0</v>
      </c>
      <c r="P17" s="59"/>
      <c r="Q17" s="60"/>
      <c r="R17" s="172">
        <f t="shared" si="4"/>
        <v>0</v>
      </c>
      <c r="S17" s="59"/>
      <c r="T17" s="60"/>
      <c r="U17" s="172">
        <f t="shared" si="5"/>
        <v>0</v>
      </c>
    </row>
    <row r="18" spans="2:21" ht="15.75" customHeight="1" x14ac:dyDescent="0.2">
      <c r="B18" s="130">
        <f t="shared" si="6"/>
        <v>4</v>
      </c>
      <c r="C18" s="61"/>
      <c r="D18" s="59"/>
      <c r="E18" s="60"/>
      <c r="F18" s="172">
        <f t="shared" si="0"/>
        <v>0</v>
      </c>
      <c r="G18" s="59"/>
      <c r="H18" s="60"/>
      <c r="I18" s="172">
        <f t="shared" si="1"/>
        <v>0</v>
      </c>
      <c r="J18" s="59"/>
      <c r="K18" s="60"/>
      <c r="L18" s="172">
        <f t="shared" si="2"/>
        <v>0</v>
      </c>
      <c r="M18" s="59"/>
      <c r="N18" s="60"/>
      <c r="O18" s="172">
        <f t="shared" si="3"/>
        <v>0</v>
      </c>
      <c r="P18" s="59"/>
      <c r="Q18" s="60"/>
      <c r="R18" s="172">
        <f t="shared" si="4"/>
        <v>0</v>
      </c>
      <c r="S18" s="59"/>
      <c r="T18" s="60"/>
      <c r="U18" s="172">
        <f t="shared" si="5"/>
        <v>0</v>
      </c>
    </row>
    <row r="19" spans="2:21" ht="15.75" customHeight="1" x14ac:dyDescent="0.2">
      <c r="B19" s="130">
        <f t="shared" si="6"/>
        <v>5</v>
      </c>
      <c r="C19" s="61"/>
      <c r="D19" s="59"/>
      <c r="E19" s="60"/>
      <c r="F19" s="172">
        <f t="shared" si="0"/>
        <v>0</v>
      </c>
      <c r="G19" s="59"/>
      <c r="H19" s="60"/>
      <c r="I19" s="172">
        <f t="shared" si="1"/>
        <v>0</v>
      </c>
      <c r="J19" s="59"/>
      <c r="K19" s="60"/>
      <c r="L19" s="172">
        <f t="shared" si="2"/>
        <v>0</v>
      </c>
      <c r="M19" s="59"/>
      <c r="N19" s="60"/>
      <c r="O19" s="172">
        <f t="shared" si="3"/>
        <v>0</v>
      </c>
      <c r="P19" s="59"/>
      <c r="Q19" s="60"/>
      <c r="R19" s="172">
        <f t="shared" si="4"/>
        <v>0</v>
      </c>
      <c r="S19" s="59"/>
      <c r="T19" s="60"/>
      <c r="U19" s="172">
        <f t="shared" si="5"/>
        <v>0</v>
      </c>
    </row>
    <row r="20" spans="2:21" ht="15.75" customHeight="1" x14ac:dyDescent="0.2">
      <c r="B20" s="130">
        <f t="shared" si="6"/>
        <v>6</v>
      </c>
      <c r="C20" s="61"/>
      <c r="D20" s="59"/>
      <c r="E20" s="60"/>
      <c r="F20" s="172">
        <f t="shared" si="0"/>
        <v>0</v>
      </c>
      <c r="G20" s="59"/>
      <c r="H20" s="60"/>
      <c r="I20" s="172">
        <f t="shared" si="1"/>
        <v>0</v>
      </c>
      <c r="J20" s="59"/>
      <c r="K20" s="60"/>
      <c r="L20" s="172">
        <f t="shared" si="2"/>
        <v>0</v>
      </c>
      <c r="M20" s="59"/>
      <c r="N20" s="60"/>
      <c r="O20" s="172">
        <f t="shared" si="3"/>
        <v>0</v>
      </c>
      <c r="P20" s="59"/>
      <c r="Q20" s="60"/>
      <c r="R20" s="172">
        <f t="shared" si="4"/>
        <v>0</v>
      </c>
      <c r="S20" s="59"/>
      <c r="T20" s="60"/>
      <c r="U20" s="172">
        <f t="shared" si="5"/>
        <v>0</v>
      </c>
    </row>
    <row r="21" spans="2:21" ht="15.75" customHeight="1" x14ac:dyDescent="0.2">
      <c r="B21" s="130">
        <f t="shared" si="6"/>
        <v>7</v>
      </c>
      <c r="C21" s="61"/>
      <c r="D21" s="59"/>
      <c r="E21" s="60"/>
      <c r="F21" s="172">
        <f t="shared" si="0"/>
        <v>0</v>
      </c>
      <c r="G21" s="59"/>
      <c r="H21" s="60"/>
      <c r="I21" s="172">
        <f t="shared" si="1"/>
        <v>0</v>
      </c>
      <c r="J21" s="59"/>
      <c r="K21" s="60"/>
      <c r="L21" s="172">
        <f t="shared" si="2"/>
        <v>0</v>
      </c>
      <c r="M21" s="59"/>
      <c r="N21" s="60"/>
      <c r="O21" s="172">
        <f t="shared" si="3"/>
        <v>0</v>
      </c>
      <c r="P21" s="59"/>
      <c r="Q21" s="60"/>
      <c r="R21" s="172">
        <f t="shared" si="4"/>
        <v>0</v>
      </c>
      <c r="S21" s="59"/>
      <c r="T21" s="60"/>
      <c r="U21" s="172">
        <f t="shared" si="5"/>
        <v>0</v>
      </c>
    </row>
    <row r="22" spans="2:21" ht="15.75" customHeight="1" x14ac:dyDescent="0.2">
      <c r="B22" s="130">
        <f t="shared" si="6"/>
        <v>8</v>
      </c>
      <c r="C22" s="61"/>
      <c r="D22" s="59"/>
      <c r="E22" s="60"/>
      <c r="F22" s="172">
        <f t="shared" si="0"/>
        <v>0</v>
      </c>
      <c r="G22" s="59"/>
      <c r="H22" s="60"/>
      <c r="I22" s="172">
        <f t="shared" si="1"/>
        <v>0</v>
      </c>
      <c r="J22" s="59"/>
      <c r="K22" s="60"/>
      <c r="L22" s="172">
        <f t="shared" si="2"/>
        <v>0</v>
      </c>
      <c r="M22" s="59"/>
      <c r="N22" s="60"/>
      <c r="O22" s="172">
        <f t="shared" si="3"/>
        <v>0</v>
      </c>
      <c r="P22" s="59"/>
      <c r="Q22" s="60"/>
      <c r="R22" s="172">
        <f t="shared" si="4"/>
        <v>0</v>
      </c>
      <c r="S22" s="59"/>
      <c r="T22" s="60"/>
      <c r="U22" s="172">
        <f t="shared" si="5"/>
        <v>0</v>
      </c>
    </row>
    <row r="23" spans="2:21" ht="15.75" customHeight="1" x14ac:dyDescent="0.2">
      <c r="B23" s="130">
        <f t="shared" si="6"/>
        <v>9</v>
      </c>
      <c r="C23" s="61"/>
      <c r="D23" s="59"/>
      <c r="E23" s="60"/>
      <c r="F23" s="172">
        <f t="shared" si="0"/>
        <v>0</v>
      </c>
      <c r="G23" s="59"/>
      <c r="H23" s="60"/>
      <c r="I23" s="172">
        <f t="shared" si="1"/>
        <v>0</v>
      </c>
      <c r="J23" s="59"/>
      <c r="K23" s="60"/>
      <c r="L23" s="172">
        <f t="shared" si="2"/>
        <v>0</v>
      </c>
      <c r="M23" s="59"/>
      <c r="N23" s="60"/>
      <c r="O23" s="172">
        <f t="shared" si="3"/>
        <v>0</v>
      </c>
      <c r="P23" s="59"/>
      <c r="Q23" s="60"/>
      <c r="R23" s="172">
        <f t="shared" si="4"/>
        <v>0</v>
      </c>
      <c r="S23" s="59"/>
      <c r="T23" s="60"/>
      <c r="U23" s="172">
        <f t="shared" si="5"/>
        <v>0</v>
      </c>
    </row>
    <row r="24" spans="2:21" ht="15.75" customHeight="1" x14ac:dyDescent="0.2">
      <c r="B24" s="130">
        <f t="shared" si="6"/>
        <v>10</v>
      </c>
      <c r="C24" s="61"/>
      <c r="D24" s="59"/>
      <c r="E24" s="60"/>
      <c r="F24" s="172">
        <f t="shared" si="0"/>
        <v>0</v>
      </c>
      <c r="G24" s="59"/>
      <c r="H24" s="60"/>
      <c r="I24" s="172">
        <f t="shared" si="1"/>
        <v>0</v>
      </c>
      <c r="J24" s="59"/>
      <c r="K24" s="60"/>
      <c r="L24" s="172">
        <f t="shared" si="2"/>
        <v>0</v>
      </c>
      <c r="M24" s="59"/>
      <c r="N24" s="60"/>
      <c r="O24" s="172">
        <f t="shared" si="3"/>
        <v>0</v>
      </c>
      <c r="P24" s="59"/>
      <c r="Q24" s="60"/>
      <c r="R24" s="172">
        <f t="shared" si="4"/>
        <v>0</v>
      </c>
      <c r="S24" s="59"/>
      <c r="T24" s="60"/>
      <c r="U24" s="172">
        <f t="shared" si="5"/>
        <v>0</v>
      </c>
    </row>
    <row r="25" spans="2:21" ht="15.75" customHeight="1" x14ac:dyDescent="0.2">
      <c r="B25" s="130">
        <f t="shared" si="6"/>
        <v>11</v>
      </c>
      <c r="C25" s="61"/>
      <c r="D25" s="59"/>
      <c r="E25" s="60"/>
      <c r="F25" s="172">
        <f t="shared" si="0"/>
        <v>0</v>
      </c>
      <c r="G25" s="59"/>
      <c r="H25" s="60"/>
      <c r="I25" s="172">
        <f t="shared" si="1"/>
        <v>0</v>
      </c>
      <c r="J25" s="59"/>
      <c r="K25" s="60"/>
      <c r="L25" s="172">
        <f t="shared" si="2"/>
        <v>0</v>
      </c>
      <c r="M25" s="59"/>
      <c r="N25" s="60"/>
      <c r="O25" s="172">
        <f t="shared" si="3"/>
        <v>0</v>
      </c>
      <c r="P25" s="59"/>
      <c r="Q25" s="60"/>
      <c r="R25" s="172">
        <f t="shared" si="4"/>
        <v>0</v>
      </c>
      <c r="S25" s="59"/>
      <c r="T25" s="60"/>
      <c r="U25" s="172">
        <f t="shared" si="5"/>
        <v>0</v>
      </c>
    </row>
    <row r="26" spans="2:21" ht="15.75" customHeight="1" x14ac:dyDescent="0.2">
      <c r="B26" s="130">
        <f t="shared" si="6"/>
        <v>12</v>
      </c>
      <c r="C26" s="61"/>
      <c r="D26" s="59"/>
      <c r="E26" s="60"/>
      <c r="F26" s="172">
        <f t="shared" si="0"/>
        <v>0</v>
      </c>
      <c r="G26" s="59"/>
      <c r="H26" s="60"/>
      <c r="I26" s="172">
        <f t="shared" si="1"/>
        <v>0</v>
      </c>
      <c r="J26" s="59"/>
      <c r="K26" s="60"/>
      <c r="L26" s="172">
        <f t="shared" si="2"/>
        <v>0</v>
      </c>
      <c r="M26" s="59"/>
      <c r="N26" s="60"/>
      <c r="O26" s="172">
        <f t="shared" si="3"/>
        <v>0</v>
      </c>
      <c r="P26" s="59"/>
      <c r="Q26" s="60"/>
      <c r="R26" s="172">
        <f t="shared" si="4"/>
        <v>0</v>
      </c>
      <c r="S26" s="59"/>
      <c r="T26" s="60"/>
      <c r="U26" s="172">
        <f t="shared" si="5"/>
        <v>0</v>
      </c>
    </row>
    <row r="27" spans="2:21" ht="15.75" customHeight="1" x14ac:dyDescent="0.2">
      <c r="B27" s="130">
        <f t="shared" si="6"/>
        <v>13</v>
      </c>
      <c r="C27" s="61"/>
      <c r="D27" s="59"/>
      <c r="E27" s="60"/>
      <c r="F27" s="172">
        <f t="shared" si="0"/>
        <v>0</v>
      </c>
      <c r="G27" s="59"/>
      <c r="H27" s="60"/>
      <c r="I27" s="172">
        <f t="shared" si="1"/>
        <v>0</v>
      </c>
      <c r="J27" s="59"/>
      <c r="K27" s="60"/>
      <c r="L27" s="172">
        <f t="shared" si="2"/>
        <v>0</v>
      </c>
      <c r="M27" s="59"/>
      <c r="N27" s="60"/>
      <c r="O27" s="172">
        <f t="shared" si="3"/>
        <v>0</v>
      </c>
      <c r="P27" s="59"/>
      <c r="Q27" s="60"/>
      <c r="R27" s="172">
        <f t="shared" si="4"/>
        <v>0</v>
      </c>
      <c r="S27" s="59"/>
      <c r="T27" s="60"/>
      <c r="U27" s="172">
        <f t="shared" si="5"/>
        <v>0</v>
      </c>
    </row>
    <row r="28" spans="2:21" ht="15.75" customHeight="1" x14ac:dyDescent="0.2">
      <c r="B28" s="130">
        <f t="shared" si="6"/>
        <v>14</v>
      </c>
      <c r="C28" s="61"/>
      <c r="D28" s="59"/>
      <c r="E28" s="60"/>
      <c r="F28" s="172">
        <f t="shared" si="0"/>
        <v>0</v>
      </c>
      <c r="G28" s="59"/>
      <c r="H28" s="60"/>
      <c r="I28" s="172">
        <f t="shared" si="1"/>
        <v>0</v>
      </c>
      <c r="J28" s="59"/>
      <c r="K28" s="60"/>
      <c r="L28" s="172">
        <f t="shared" si="2"/>
        <v>0</v>
      </c>
      <c r="M28" s="59"/>
      <c r="N28" s="60"/>
      <c r="O28" s="172">
        <f t="shared" si="3"/>
        <v>0</v>
      </c>
      <c r="P28" s="59"/>
      <c r="Q28" s="60"/>
      <c r="R28" s="172">
        <f t="shared" si="4"/>
        <v>0</v>
      </c>
      <c r="S28" s="59"/>
      <c r="T28" s="60"/>
      <c r="U28" s="172">
        <f t="shared" si="5"/>
        <v>0</v>
      </c>
    </row>
    <row r="29" spans="2:21" ht="15.75" customHeight="1" x14ac:dyDescent="0.2">
      <c r="B29" s="130">
        <f t="shared" si="6"/>
        <v>15</v>
      </c>
      <c r="C29" s="61"/>
      <c r="D29" s="59"/>
      <c r="E29" s="60"/>
      <c r="F29" s="172">
        <f t="shared" si="0"/>
        <v>0</v>
      </c>
      <c r="G29" s="59"/>
      <c r="H29" s="60"/>
      <c r="I29" s="172">
        <f t="shared" si="1"/>
        <v>0</v>
      </c>
      <c r="J29" s="59"/>
      <c r="K29" s="60"/>
      <c r="L29" s="172">
        <f t="shared" si="2"/>
        <v>0</v>
      </c>
      <c r="M29" s="59"/>
      <c r="N29" s="60"/>
      <c r="O29" s="172">
        <f t="shared" si="3"/>
        <v>0</v>
      </c>
      <c r="P29" s="59"/>
      <c r="Q29" s="60"/>
      <c r="R29" s="172">
        <f t="shared" si="4"/>
        <v>0</v>
      </c>
      <c r="S29" s="59"/>
      <c r="T29" s="60"/>
      <c r="U29" s="172">
        <f t="shared" si="5"/>
        <v>0</v>
      </c>
    </row>
    <row r="30" spans="2:21" ht="15.75" customHeight="1" x14ac:dyDescent="0.2">
      <c r="B30" s="130">
        <f t="shared" si="6"/>
        <v>16</v>
      </c>
      <c r="C30" s="61"/>
      <c r="D30" s="59"/>
      <c r="E30" s="60"/>
      <c r="F30" s="172">
        <f t="shared" si="0"/>
        <v>0</v>
      </c>
      <c r="G30" s="59"/>
      <c r="H30" s="60"/>
      <c r="I30" s="172">
        <f t="shared" si="1"/>
        <v>0</v>
      </c>
      <c r="J30" s="59"/>
      <c r="K30" s="60"/>
      <c r="L30" s="172">
        <f t="shared" si="2"/>
        <v>0</v>
      </c>
      <c r="M30" s="59"/>
      <c r="N30" s="60"/>
      <c r="O30" s="172">
        <f t="shared" si="3"/>
        <v>0</v>
      </c>
      <c r="P30" s="59"/>
      <c r="Q30" s="60"/>
      <c r="R30" s="172">
        <f t="shared" si="4"/>
        <v>0</v>
      </c>
      <c r="S30" s="59"/>
      <c r="T30" s="60"/>
      <c r="U30" s="172">
        <f t="shared" si="5"/>
        <v>0</v>
      </c>
    </row>
    <row r="31" spans="2:21" ht="15.75" customHeight="1" x14ac:dyDescent="0.2">
      <c r="B31" s="130">
        <f t="shared" si="6"/>
        <v>17</v>
      </c>
      <c r="C31" s="61"/>
      <c r="D31" s="59"/>
      <c r="E31" s="60"/>
      <c r="F31" s="172">
        <f t="shared" si="0"/>
        <v>0</v>
      </c>
      <c r="G31" s="59"/>
      <c r="H31" s="60"/>
      <c r="I31" s="172">
        <f t="shared" si="1"/>
        <v>0</v>
      </c>
      <c r="J31" s="59"/>
      <c r="K31" s="60"/>
      <c r="L31" s="172">
        <f t="shared" si="2"/>
        <v>0</v>
      </c>
      <c r="M31" s="59"/>
      <c r="N31" s="60"/>
      <c r="O31" s="172">
        <f t="shared" si="3"/>
        <v>0</v>
      </c>
      <c r="P31" s="59"/>
      <c r="Q31" s="60"/>
      <c r="R31" s="172">
        <f t="shared" si="4"/>
        <v>0</v>
      </c>
      <c r="S31" s="59"/>
      <c r="T31" s="60"/>
      <c r="U31" s="172">
        <f t="shared" si="5"/>
        <v>0</v>
      </c>
    </row>
    <row r="32" spans="2:21" ht="15.75" customHeight="1" x14ac:dyDescent="0.2">
      <c r="B32" s="136">
        <f t="shared" si="6"/>
        <v>18</v>
      </c>
      <c r="C32" s="61"/>
      <c r="D32" s="59"/>
      <c r="E32" s="60"/>
      <c r="F32" s="172">
        <f t="shared" si="0"/>
        <v>0</v>
      </c>
      <c r="G32" s="59"/>
      <c r="H32" s="60"/>
      <c r="I32" s="172">
        <f t="shared" si="1"/>
        <v>0</v>
      </c>
      <c r="J32" s="59"/>
      <c r="K32" s="60"/>
      <c r="L32" s="172">
        <f t="shared" si="2"/>
        <v>0</v>
      </c>
      <c r="M32" s="59"/>
      <c r="N32" s="60"/>
      <c r="O32" s="172">
        <f t="shared" si="3"/>
        <v>0</v>
      </c>
      <c r="P32" s="59"/>
      <c r="Q32" s="60"/>
      <c r="R32" s="172">
        <f t="shared" si="4"/>
        <v>0</v>
      </c>
      <c r="S32" s="59"/>
      <c r="T32" s="60"/>
      <c r="U32" s="172">
        <f t="shared" si="5"/>
        <v>0</v>
      </c>
    </row>
    <row r="33" spans="1:21" ht="15" customHeight="1" x14ac:dyDescent="0.2">
      <c r="B33" s="136">
        <f t="shared" si="6"/>
        <v>19</v>
      </c>
      <c r="C33" s="61"/>
      <c r="D33" s="59"/>
      <c r="E33" s="60"/>
      <c r="F33" s="172">
        <f t="shared" si="0"/>
        <v>0</v>
      </c>
      <c r="G33" s="59"/>
      <c r="H33" s="60"/>
      <c r="I33" s="172">
        <f t="shared" si="1"/>
        <v>0</v>
      </c>
      <c r="J33" s="59"/>
      <c r="K33" s="60"/>
      <c r="L33" s="172">
        <f t="shared" si="2"/>
        <v>0</v>
      </c>
      <c r="M33" s="59"/>
      <c r="N33" s="60"/>
      <c r="O33" s="172">
        <f t="shared" si="3"/>
        <v>0</v>
      </c>
      <c r="P33" s="59"/>
      <c r="Q33" s="60"/>
      <c r="R33" s="172">
        <f t="shared" si="4"/>
        <v>0</v>
      </c>
      <c r="S33" s="59"/>
      <c r="T33" s="60"/>
      <c r="U33" s="172">
        <f t="shared" si="5"/>
        <v>0</v>
      </c>
    </row>
    <row r="34" spans="1:21" ht="15.75" thickBot="1" x14ac:dyDescent="0.25">
      <c r="B34" s="137">
        <f>B33+1</f>
        <v>20</v>
      </c>
      <c r="C34" s="61"/>
      <c r="D34" s="59"/>
      <c r="E34" s="60"/>
      <c r="F34" s="172">
        <f t="shared" si="0"/>
        <v>0</v>
      </c>
      <c r="G34" s="59"/>
      <c r="H34" s="60"/>
      <c r="I34" s="172">
        <f t="shared" si="1"/>
        <v>0</v>
      </c>
      <c r="J34" s="59"/>
      <c r="K34" s="60"/>
      <c r="L34" s="172">
        <f t="shared" si="2"/>
        <v>0</v>
      </c>
      <c r="M34" s="59"/>
      <c r="N34" s="60"/>
      <c r="O34" s="172">
        <f t="shared" si="3"/>
        <v>0</v>
      </c>
      <c r="P34" s="59"/>
      <c r="Q34" s="60"/>
      <c r="R34" s="172">
        <f t="shared" si="4"/>
        <v>0</v>
      </c>
      <c r="S34" s="59"/>
      <c r="T34" s="60"/>
      <c r="U34" s="172">
        <f t="shared" si="5"/>
        <v>0</v>
      </c>
    </row>
    <row r="35" spans="1:21" ht="31.5" customHeight="1" thickBot="1" x14ac:dyDescent="0.25">
      <c r="C35" s="166" t="s">
        <v>2</v>
      </c>
      <c r="D35" s="54">
        <f>SUM(D15:D34)</f>
        <v>0</v>
      </c>
      <c r="E35" s="55">
        <f>SUM(E15:E34)</f>
        <v>0</v>
      </c>
      <c r="F35" s="56">
        <f>D35+E35</f>
        <v>0</v>
      </c>
      <c r="G35" s="54">
        <f>SUM(G15:G34)</f>
        <v>0</v>
      </c>
      <c r="H35" s="55">
        <f>SUM(H15:H34)</f>
        <v>0</v>
      </c>
      <c r="I35" s="56">
        <f>G35+H35</f>
        <v>0</v>
      </c>
      <c r="J35" s="54">
        <f>SUM(J15:J34)</f>
        <v>0</v>
      </c>
      <c r="K35" s="55">
        <f>SUM(K15:K34)</f>
        <v>0</v>
      </c>
      <c r="L35" s="56">
        <f>J35+K35</f>
        <v>0</v>
      </c>
      <c r="M35" s="54">
        <f>SUM(M15:M34)</f>
        <v>0</v>
      </c>
      <c r="N35" s="55">
        <f>SUM(N15:N34)</f>
        <v>0</v>
      </c>
      <c r="O35" s="56">
        <f>M35+N35</f>
        <v>0</v>
      </c>
      <c r="P35" s="54">
        <f>SUM(P15:P34)</f>
        <v>0</v>
      </c>
      <c r="Q35" s="55">
        <f>SUM(Q15:Q34)</f>
        <v>0</v>
      </c>
      <c r="R35" s="56">
        <f>P35+Q35</f>
        <v>0</v>
      </c>
      <c r="S35" s="54">
        <f>SUM(S15:S34)</f>
        <v>0</v>
      </c>
      <c r="T35" s="55">
        <f>SUM(T15:T34)</f>
        <v>0</v>
      </c>
      <c r="U35" s="56">
        <f>S35+T35</f>
        <v>0</v>
      </c>
    </row>
    <row r="36" spans="1:21" ht="6" customHeight="1" x14ac:dyDescent="0.2">
      <c r="A36" s="22"/>
      <c r="B36" s="22"/>
      <c r="C36" s="22"/>
      <c r="D36" s="22"/>
      <c r="E36" s="22"/>
      <c r="F36" s="22"/>
      <c r="G36" s="22"/>
      <c r="H36" s="22"/>
      <c r="I36" s="22"/>
      <c r="J36" s="22"/>
      <c r="K36" s="22"/>
      <c r="L36" s="22"/>
      <c r="M36" s="22"/>
      <c r="N36" s="22"/>
    </row>
  </sheetData>
  <sheetProtection insertRows="0"/>
  <protectedRanges>
    <protectedRange password="CC9E" sqref="A10 C10:IV10 A11:IV13 A1:IV5 A15:IV65538 A14:D14 F14:G14 I14:J14 L14:M14 O14:P14 R14:S14 U14:IV14 A7:IV7 A6 D6:IV6 A9:IV9 A8 D8:IV8" name="Rango1"/>
    <protectedRange password="CC9E" sqref="B10" name="Rango1_1_1"/>
    <protectedRange password="CC9E" sqref="E14" name="Rango1_1_4"/>
    <protectedRange password="CC9E" sqref="H14" name="Rango1_1_4_1"/>
    <protectedRange password="CC9E" sqref="K14" name="Rango1_1_4_2"/>
    <protectedRange password="CC9E" sqref="N14" name="Rango1_1_4_4"/>
    <protectedRange password="CC9E" sqref="Q14" name="Rango1_1_4_5"/>
    <protectedRange password="CC9E" sqref="T14" name="Rango1_1_4_6"/>
    <protectedRange password="CC9E" sqref="B6:C6 B8:C8" name="Rango1_3_1"/>
  </protectedRanges>
  <mergeCells count="13">
    <mergeCell ref="M13:O13"/>
    <mergeCell ref="P13:R13"/>
    <mergeCell ref="B11:C11"/>
    <mergeCell ref="S13:U13"/>
    <mergeCell ref="D1:I1"/>
    <mergeCell ref="J13:L13"/>
    <mergeCell ref="B13:B14"/>
    <mergeCell ref="C13:C14"/>
    <mergeCell ref="D13:F13"/>
    <mergeCell ref="G13:I13"/>
    <mergeCell ref="B10:C10"/>
    <mergeCell ref="B6:C6"/>
    <mergeCell ref="B8:C8"/>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5 J14 C35 B15:B34 D13:F13 B14 D14 D35:E35 H13:I13 F14:G14 I14 L14"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I18"/>
  <sheetViews>
    <sheetView showGridLines="0" zoomScale="90" zoomScaleNormal="90" workbookViewId="0">
      <selection activeCell="E44" sqref="E44"/>
    </sheetView>
  </sheetViews>
  <sheetFormatPr baseColWidth="10" defaultColWidth="11.42578125" defaultRowHeight="12.75" x14ac:dyDescent="0.2"/>
  <cols>
    <col min="1" max="1" width="1.42578125" style="1" customWidth="1"/>
    <col min="2" max="2" width="14.7109375" style="1" customWidth="1"/>
    <col min="3" max="3" width="38.42578125" style="1" customWidth="1"/>
    <col min="4" max="4" width="19.85546875" style="1" customWidth="1"/>
    <col min="5" max="5" width="20.140625" style="1" customWidth="1"/>
    <col min="6" max="6" width="19.7109375" style="1" customWidth="1"/>
    <col min="7" max="7" width="20.7109375" style="1" customWidth="1"/>
    <col min="8" max="8" width="20.42578125" style="1" customWidth="1"/>
    <col min="9" max="9" width="22" style="1" customWidth="1"/>
    <col min="10" max="16384" width="11.42578125" style="1"/>
  </cols>
  <sheetData>
    <row r="1" spans="1:9" ht="49.5" customHeight="1" x14ac:dyDescent="0.25">
      <c r="A1" s="13"/>
      <c r="D1" s="92"/>
      <c r="E1" s="92"/>
      <c r="F1" s="14"/>
    </row>
    <row r="2" spans="1:9" ht="18" customHeight="1" x14ac:dyDescent="0.25">
      <c r="A2" s="13"/>
      <c r="B2" s="117"/>
      <c r="D2" s="92"/>
      <c r="E2" s="92"/>
      <c r="F2" s="14"/>
    </row>
    <row r="3" spans="1:9" ht="18" customHeight="1" x14ac:dyDescent="0.25">
      <c r="A3" s="13"/>
      <c r="D3" s="92"/>
      <c r="E3" s="92"/>
      <c r="F3" s="14"/>
    </row>
    <row r="4" spans="1:9" ht="18" customHeight="1" x14ac:dyDescent="0.25">
      <c r="A4" s="13"/>
      <c r="B4" s="234" t="s">
        <v>85</v>
      </c>
      <c r="C4" s="234"/>
      <c r="D4" s="234"/>
      <c r="E4" s="234"/>
      <c r="F4" s="234"/>
      <c r="G4" s="234"/>
      <c r="H4" s="234"/>
      <c r="I4" s="234"/>
    </row>
    <row r="5" spans="1:9" ht="15.75" customHeight="1" x14ac:dyDescent="0.2">
      <c r="B5" s="2"/>
      <c r="C5" s="120"/>
      <c r="D5" s="92"/>
      <c r="E5" s="92"/>
    </row>
    <row r="6" spans="1:9" ht="4.5" customHeight="1" x14ac:dyDescent="0.2"/>
    <row r="7" spans="1:9" s="2" customFormat="1" ht="24" customHeight="1" x14ac:dyDescent="0.2">
      <c r="B7" s="236" t="s">
        <v>25</v>
      </c>
      <c r="C7" s="237"/>
      <c r="D7" s="237"/>
      <c r="E7" s="237"/>
      <c r="F7" s="237"/>
      <c r="G7" s="238"/>
      <c r="H7" s="238"/>
      <c r="I7" s="239"/>
    </row>
    <row r="8" spans="1:9" s="2" customFormat="1" ht="27.75" customHeight="1" x14ac:dyDescent="0.2">
      <c r="B8" s="233" t="s">
        <v>20</v>
      </c>
      <c r="C8" s="233"/>
      <c r="D8" s="143">
        <f>Personal!F13</f>
        <v>2021</v>
      </c>
      <c r="E8" s="143">
        <f>D8+1</f>
        <v>2022</v>
      </c>
      <c r="F8" s="143">
        <f>E8+1</f>
        <v>2023</v>
      </c>
      <c r="G8" s="143">
        <f>F8+1</f>
        <v>2024</v>
      </c>
      <c r="H8" s="143">
        <f>G8+1</f>
        <v>2025</v>
      </c>
      <c r="I8" s="143">
        <f>H8+1</f>
        <v>2026</v>
      </c>
    </row>
    <row r="9" spans="1:9" s="2" customFormat="1" ht="28.5" customHeight="1" x14ac:dyDescent="0.2">
      <c r="B9" s="235" t="s">
        <v>88</v>
      </c>
      <c r="C9" s="235"/>
      <c r="D9" s="3">
        <f>Personal!G35</f>
        <v>0</v>
      </c>
      <c r="E9" s="3">
        <f>Personal!L35</f>
        <v>0</v>
      </c>
      <c r="F9" s="3">
        <f>Personal!Q35</f>
        <v>0</v>
      </c>
      <c r="G9" s="3">
        <f>Personal!V35</f>
        <v>0</v>
      </c>
      <c r="H9" s="3">
        <f>Personal!AA35</f>
        <v>0</v>
      </c>
      <c r="I9" s="3">
        <f>Personal!AF35</f>
        <v>0</v>
      </c>
    </row>
    <row r="10" spans="1:9" s="2" customFormat="1" ht="28.5" customHeight="1" x14ac:dyDescent="0.2">
      <c r="B10" s="235" t="s">
        <v>21</v>
      </c>
      <c r="C10" s="235"/>
      <c r="D10" s="3">
        <f>Personal!G36</f>
        <v>0</v>
      </c>
      <c r="E10" s="3">
        <f>Personal!L36</f>
        <v>0</v>
      </c>
      <c r="F10" s="3">
        <f>Personal!Q36</f>
        <v>0</v>
      </c>
      <c r="G10" s="3">
        <f>Personal!V36</f>
        <v>0</v>
      </c>
      <c r="H10" s="3">
        <f>Personal!AA36</f>
        <v>0</v>
      </c>
      <c r="I10" s="3">
        <f>Personal!AF36</f>
        <v>0</v>
      </c>
    </row>
    <row r="11" spans="1:9" s="2" customFormat="1" ht="28.5" customHeight="1" x14ac:dyDescent="0.2">
      <c r="B11" s="235" t="s">
        <v>90</v>
      </c>
      <c r="C11" s="235"/>
      <c r="D11" s="3">
        <f>'El._inmovilizado (AMORTIZACIÓN)'!D33</f>
        <v>0</v>
      </c>
      <c r="E11" s="3">
        <f>'El._inmovilizado (AMORTIZACIÓN)'!G33</f>
        <v>0</v>
      </c>
      <c r="F11" s="3">
        <f>'El._inmovilizado (AMORTIZACIÓN)'!J33</f>
        <v>0</v>
      </c>
      <c r="G11" s="3">
        <f>'El._inmovilizado (AMORTIZACIÓN)'!M33</f>
        <v>0</v>
      </c>
      <c r="H11" s="3">
        <f>'El._inmovilizado (AMORTIZACIÓN)'!P33</f>
        <v>0</v>
      </c>
      <c r="I11" s="3">
        <f>'El._inmovilizado (AMORTIZACIÓN)'!S33</f>
        <v>0</v>
      </c>
    </row>
    <row r="12" spans="1:9" s="2" customFormat="1" ht="28.5" customHeight="1" x14ac:dyDescent="0.2">
      <c r="B12" s="235" t="s">
        <v>22</v>
      </c>
      <c r="C12" s="235"/>
      <c r="D12" s="3">
        <f>Fungibles!D33</f>
        <v>0</v>
      </c>
      <c r="E12" s="3">
        <f>Fungibles!G33</f>
        <v>0</v>
      </c>
      <c r="F12" s="3">
        <f>Fungibles!J33</f>
        <v>0</v>
      </c>
      <c r="G12" s="3">
        <f>Fungibles!M33</f>
        <v>0</v>
      </c>
      <c r="H12" s="3">
        <f>Fungibles!P33</f>
        <v>0</v>
      </c>
      <c r="I12" s="3">
        <f>Fungibles!S33</f>
        <v>0</v>
      </c>
    </row>
    <row r="13" spans="1:9" s="2" customFormat="1" ht="28.5" customHeight="1" x14ac:dyDescent="0.2">
      <c r="B13" s="235" t="s">
        <v>126</v>
      </c>
      <c r="C13" s="235"/>
      <c r="D13" s="3">
        <f>'C.Externas (OPIS)'!F39</f>
        <v>0</v>
      </c>
      <c r="E13" s="3">
        <f>'C.Externas (OPIS)'!I39</f>
        <v>0</v>
      </c>
      <c r="F13" s="3">
        <f>'C.Externas (OPIS)'!L39</f>
        <v>0</v>
      </c>
      <c r="G13" s="3">
        <f>'C.Externas (OPIS)'!O39</f>
        <v>0</v>
      </c>
      <c r="H13" s="3">
        <f>'C.Externas (OPIS)'!R39</f>
        <v>0</v>
      </c>
      <c r="I13" s="3">
        <f>'C.Externas (OPIS)'!U39</f>
        <v>0</v>
      </c>
    </row>
    <row r="14" spans="1:9" s="2" customFormat="1" ht="28.5" customHeight="1" x14ac:dyDescent="0.2">
      <c r="B14" s="235" t="s">
        <v>23</v>
      </c>
      <c r="C14" s="235"/>
      <c r="D14" s="3">
        <f>'C.Externas (Otros)'!E34</f>
        <v>0</v>
      </c>
      <c r="E14" s="3">
        <f>'C.Externas (Otros)'!H34</f>
        <v>0</v>
      </c>
      <c r="F14" s="3">
        <f>'C.Externas (Otros)'!K34</f>
        <v>0</v>
      </c>
      <c r="G14" s="3">
        <f>'C.Externas (Otros)'!N34</f>
        <v>0</v>
      </c>
      <c r="H14" s="3">
        <f>'C.Externas (Otros)'!Q34</f>
        <v>0</v>
      </c>
      <c r="I14" s="3">
        <f>'C.Externas (Otros)'!T34</f>
        <v>0</v>
      </c>
    </row>
    <row r="15" spans="1:9" s="2" customFormat="1" ht="42" customHeight="1" x14ac:dyDescent="0.2">
      <c r="B15" s="235" t="s">
        <v>28</v>
      </c>
      <c r="C15" s="235"/>
      <c r="D15" s="3">
        <f>'Otros Gastos'!D35</f>
        <v>0</v>
      </c>
      <c r="E15" s="3">
        <f>'Otros Gastos'!G35</f>
        <v>0</v>
      </c>
      <c r="F15" s="3">
        <f>'Otros Gastos'!J35</f>
        <v>0</v>
      </c>
      <c r="G15" s="3">
        <f>'Otros Gastos'!M35</f>
        <v>0</v>
      </c>
      <c r="H15" s="3">
        <f>'Otros Gastos'!P35</f>
        <v>0</v>
      </c>
      <c r="I15" s="3">
        <f>'Otros Gastos'!S35</f>
        <v>0</v>
      </c>
    </row>
    <row r="16" spans="1:9" s="2" customFormat="1" ht="30" customHeight="1" x14ac:dyDescent="0.2">
      <c r="B16" s="233" t="s">
        <v>24</v>
      </c>
      <c r="C16" s="233"/>
      <c r="D16" s="144">
        <f t="shared" ref="D16:I16" si="0">SUM(D9:D15)</f>
        <v>0</v>
      </c>
      <c r="E16" s="144">
        <f t="shared" si="0"/>
        <v>0</v>
      </c>
      <c r="F16" s="144">
        <f t="shared" si="0"/>
        <v>0</v>
      </c>
      <c r="G16" s="144">
        <f t="shared" si="0"/>
        <v>0</v>
      </c>
      <c r="H16" s="144">
        <f t="shared" si="0"/>
        <v>0</v>
      </c>
      <c r="I16" s="144">
        <f t="shared" si="0"/>
        <v>0</v>
      </c>
    </row>
    <row r="17" spans="2:9" ht="6" customHeight="1" x14ac:dyDescent="0.2"/>
    <row r="18" spans="2:9" s="2" customFormat="1" ht="30" customHeight="1" x14ac:dyDescent="0.2">
      <c r="B18" s="233" t="s">
        <v>84</v>
      </c>
      <c r="C18" s="233"/>
      <c r="D18" s="144">
        <f>'El._inmovilizado (INVERSIÓN)'!D33</f>
        <v>0</v>
      </c>
      <c r="E18" s="144">
        <f>'El._inmovilizado (INVERSIÓN)'!G33</f>
        <v>0</v>
      </c>
      <c r="F18" s="144">
        <f>'El._inmovilizado (INVERSIÓN)'!J33</f>
        <v>0</v>
      </c>
      <c r="G18" s="144">
        <f>'El._inmovilizado (INVERSIÓN)'!M33</f>
        <v>0</v>
      </c>
      <c r="H18" s="144">
        <f>'El._inmovilizado (INVERSIÓN)'!P33</f>
        <v>0</v>
      </c>
      <c r="I18" s="144">
        <f>'El._inmovilizado (INVERSIÓN)'!S33</f>
        <v>0</v>
      </c>
    </row>
  </sheetData>
  <sheetProtection algorithmName="SHA-512" hashValue="m5G6fuFT4ZM/J/Ey+9k8Uh6pEJ2CdsPaUhKSQr4HsspVuNaebbV7MidSwV/NXzhIUXs++UqkZs6T00RDTK35dA==" saltValue="QmvwqDqfvCBjvOufa3KTsA=="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7"/>
  <sheetViews>
    <sheetView showGridLines="0" zoomScale="90" zoomScaleNormal="90" workbookViewId="0">
      <selection activeCell="C1" sqref="C1"/>
    </sheetView>
  </sheetViews>
  <sheetFormatPr baseColWidth="10" defaultColWidth="11.42578125" defaultRowHeight="12.75" x14ac:dyDescent="0.2"/>
  <cols>
    <col min="1" max="1" width="3.7109375" style="1" customWidth="1"/>
    <col min="2" max="2" width="14.7109375" style="1" customWidth="1"/>
    <col min="3" max="3" width="37.140625" style="1" customWidth="1"/>
    <col min="4" max="4" width="21.140625" style="1" customWidth="1"/>
    <col min="5" max="5" width="23.140625" style="1" customWidth="1"/>
    <col min="6" max="6" width="22.5703125" style="1" customWidth="1"/>
    <col min="7" max="7" width="21.5703125" style="1" customWidth="1"/>
    <col min="8" max="8" width="21.140625" style="1" customWidth="1"/>
    <col min="9" max="9" width="23" style="1" customWidth="1"/>
    <col min="10" max="16384" width="11.42578125" style="1"/>
  </cols>
  <sheetData>
    <row r="1" spans="1:9" ht="49.5" customHeight="1" x14ac:dyDescent="0.25">
      <c r="A1" s="13"/>
      <c r="D1" s="240"/>
      <c r="E1" s="240"/>
      <c r="F1" s="14"/>
    </row>
    <row r="2" spans="1:9" ht="16.5" customHeight="1" x14ac:dyDescent="0.25">
      <c r="A2" s="13"/>
      <c r="B2" s="117"/>
      <c r="D2" s="89"/>
      <c r="E2" s="89"/>
      <c r="F2" s="14"/>
    </row>
    <row r="3" spans="1:9" ht="16.5" customHeight="1" x14ac:dyDescent="0.25">
      <c r="A3" s="13"/>
      <c r="D3" s="89"/>
      <c r="E3" s="89"/>
      <c r="F3" s="14"/>
    </row>
    <row r="4" spans="1:9" ht="16.5" customHeight="1" x14ac:dyDescent="0.25">
      <c r="A4" s="13"/>
      <c r="B4" s="234" t="s">
        <v>86</v>
      </c>
      <c r="C4" s="234"/>
      <c r="D4" s="234"/>
      <c r="E4" s="234"/>
      <c r="F4" s="234"/>
      <c r="G4" s="234"/>
      <c r="H4" s="234"/>
      <c r="I4" s="234"/>
    </row>
    <row r="5" spans="1:9" ht="15.75" customHeight="1" x14ac:dyDescent="0.2">
      <c r="B5" s="2"/>
      <c r="C5" s="121"/>
    </row>
    <row r="6" spans="1:9" ht="4.5" customHeight="1" x14ac:dyDescent="0.2"/>
    <row r="7" spans="1:9" s="2" customFormat="1" ht="24" customHeight="1" x14ac:dyDescent="0.2">
      <c r="B7" s="241" t="s">
        <v>26</v>
      </c>
      <c r="C7" s="241"/>
      <c r="D7" s="241"/>
      <c r="E7" s="241"/>
      <c r="F7" s="241"/>
      <c r="G7" s="242"/>
      <c r="H7" s="242"/>
      <c r="I7" s="242"/>
    </row>
    <row r="8" spans="1:9" s="2" customFormat="1" ht="27.75" customHeight="1" x14ac:dyDescent="0.2">
      <c r="B8" s="233" t="s">
        <v>20</v>
      </c>
      <c r="C8" s="233"/>
      <c r="D8" s="143">
        <f>Personal!F13</f>
        <v>2021</v>
      </c>
      <c r="E8" s="143">
        <f>D8+1</f>
        <v>2022</v>
      </c>
      <c r="F8" s="143">
        <f>E8+1</f>
        <v>2023</v>
      </c>
      <c r="G8" s="143">
        <f>F8+1</f>
        <v>2024</v>
      </c>
      <c r="H8" s="143">
        <f>G8+1</f>
        <v>2025</v>
      </c>
      <c r="I8" s="143">
        <f>H8+1</f>
        <v>2026</v>
      </c>
    </row>
    <row r="9" spans="1:9" s="2" customFormat="1" ht="28.5" customHeight="1" x14ac:dyDescent="0.2">
      <c r="B9" s="235" t="s">
        <v>88</v>
      </c>
      <c r="C9" s="235"/>
      <c r="D9" s="3">
        <f>Personal!I35</f>
        <v>95704.36</v>
      </c>
      <c r="E9" s="3">
        <f>Personal!N35</f>
        <v>254987.21000000002</v>
      </c>
      <c r="F9" s="3">
        <f>Personal!S35</f>
        <v>0</v>
      </c>
      <c r="G9" s="3">
        <f>Personal!X35</f>
        <v>0</v>
      </c>
      <c r="H9" s="3">
        <f>Personal!AC35</f>
        <v>0</v>
      </c>
      <c r="I9" s="3">
        <f>Personal!AH35</f>
        <v>0</v>
      </c>
    </row>
    <row r="10" spans="1:9" s="2" customFormat="1" ht="28.5" customHeight="1" x14ac:dyDescent="0.2">
      <c r="B10" s="235" t="s">
        <v>21</v>
      </c>
      <c r="C10" s="235"/>
      <c r="D10" s="4"/>
      <c r="E10" s="4"/>
      <c r="F10" s="4"/>
      <c r="G10" s="4"/>
      <c r="H10" s="4"/>
      <c r="I10" s="4"/>
    </row>
    <row r="11" spans="1:9" s="2" customFormat="1" ht="28.5" customHeight="1" x14ac:dyDescent="0.2">
      <c r="B11" s="235" t="s">
        <v>90</v>
      </c>
      <c r="C11" s="235"/>
      <c r="D11" s="3">
        <f>'El._inmovilizado (AMORTIZACIÓN)'!E33</f>
        <v>0</v>
      </c>
      <c r="E11" s="3">
        <f>'El._inmovilizado (AMORTIZACIÓN)'!H33</f>
        <v>0</v>
      </c>
      <c r="F11" s="3">
        <f>'El._inmovilizado (AMORTIZACIÓN)'!K33</f>
        <v>0</v>
      </c>
      <c r="G11" s="3">
        <f>'El._inmovilizado (AMORTIZACIÓN)'!N33</f>
        <v>0</v>
      </c>
      <c r="H11" s="3">
        <f>'El._inmovilizado (AMORTIZACIÓN)'!Q33</f>
        <v>0</v>
      </c>
      <c r="I11" s="3">
        <f>'El._inmovilizado (AMORTIZACIÓN)'!T33</f>
        <v>0</v>
      </c>
    </row>
    <row r="12" spans="1:9" s="2" customFormat="1" ht="28.5" customHeight="1" x14ac:dyDescent="0.2">
      <c r="B12" s="235" t="s">
        <v>22</v>
      </c>
      <c r="C12" s="235"/>
      <c r="D12" s="3">
        <f>Fungibles!E33</f>
        <v>0</v>
      </c>
      <c r="E12" s="3">
        <f>Fungibles!H33</f>
        <v>0</v>
      </c>
      <c r="F12" s="3">
        <f>Fungibles!K33</f>
        <v>0</v>
      </c>
      <c r="G12" s="3">
        <f>Fungibles!N33</f>
        <v>0</v>
      </c>
      <c r="H12" s="3">
        <f>Fungibles!Q33</f>
        <v>0</v>
      </c>
      <c r="I12" s="3">
        <f>Fungibles!T33</f>
        <v>0</v>
      </c>
    </row>
    <row r="13" spans="1:9" s="2" customFormat="1" ht="28.5" customHeight="1" x14ac:dyDescent="0.2">
      <c r="B13" s="235" t="s">
        <v>126</v>
      </c>
      <c r="C13" s="235"/>
      <c r="D13" s="3">
        <f>'C.Externas (OPIS)'!G39</f>
        <v>0</v>
      </c>
      <c r="E13" s="3">
        <f>'C.Externas (OPIS)'!J39</f>
        <v>0</v>
      </c>
      <c r="F13" s="3">
        <f>'C.Externas (OPIS)'!M39</f>
        <v>0</v>
      </c>
      <c r="G13" s="3">
        <f>'C.Externas (OPIS)'!P39</f>
        <v>0</v>
      </c>
      <c r="H13" s="3">
        <f>'C.Externas (OPIS)'!S39</f>
        <v>0</v>
      </c>
      <c r="I13" s="3">
        <f>'C.Externas (OPIS)'!V39</f>
        <v>0</v>
      </c>
    </row>
    <row r="14" spans="1:9" s="2" customFormat="1" ht="28.5" customHeight="1" x14ac:dyDescent="0.2">
      <c r="B14" s="235" t="s">
        <v>23</v>
      </c>
      <c r="C14" s="235"/>
      <c r="D14" s="3">
        <f>'C.Externas (Otros)'!F34</f>
        <v>256004.37</v>
      </c>
      <c r="E14" s="3">
        <f>'C.Externas (Otros)'!I34</f>
        <v>1292834.4029999999</v>
      </c>
      <c r="F14" s="3">
        <f>'C.Externas (Otros)'!L34</f>
        <v>0</v>
      </c>
      <c r="G14" s="3">
        <f>'C.Externas (Otros)'!O34</f>
        <v>0</v>
      </c>
      <c r="H14" s="3">
        <f>'C.Externas (Otros)'!R34</f>
        <v>0</v>
      </c>
      <c r="I14" s="3">
        <f>'C.Externas (Otros)'!U34</f>
        <v>0</v>
      </c>
    </row>
    <row r="15" spans="1:9" s="2" customFormat="1" ht="42" customHeight="1" x14ac:dyDescent="0.2">
      <c r="B15" s="235" t="s">
        <v>28</v>
      </c>
      <c r="C15" s="235"/>
      <c r="D15" s="3">
        <f>'Otros Gastos'!E35</f>
        <v>0</v>
      </c>
      <c r="E15" s="3">
        <f>'Otros Gastos'!H35</f>
        <v>0</v>
      </c>
      <c r="F15" s="3">
        <f>'Otros Gastos'!K35</f>
        <v>0</v>
      </c>
      <c r="G15" s="3">
        <f>'Otros Gastos'!N35</f>
        <v>0</v>
      </c>
      <c r="H15" s="3">
        <f>'Otros Gastos'!Q35</f>
        <v>0</v>
      </c>
      <c r="I15" s="3">
        <f>'Otros Gastos'!T35</f>
        <v>0</v>
      </c>
    </row>
    <row r="16" spans="1:9" s="2" customFormat="1" ht="30" customHeight="1" x14ac:dyDescent="0.2">
      <c r="B16" s="233" t="s">
        <v>24</v>
      </c>
      <c r="C16" s="233"/>
      <c r="D16" s="144">
        <f t="shared" ref="D16:I16" si="0">SUM(D9:D15)</f>
        <v>351708.73</v>
      </c>
      <c r="E16" s="144">
        <f t="shared" si="0"/>
        <v>1547821.6129999999</v>
      </c>
      <c r="F16" s="144">
        <f t="shared" si="0"/>
        <v>0</v>
      </c>
      <c r="G16" s="144">
        <f t="shared" si="0"/>
        <v>0</v>
      </c>
      <c r="H16" s="144">
        <f t="shared" si="0"/>
        <v>0</v>
      </c>
      <c r="I16" s="144">
        <f t="shared" si="0"/>
        <v>0</v>
      </c>
    </row>
    <row r="17" ht="6" customHeight="1" x14ac:dyDescent="0.2"/>
  </sheetData>
  <sheetProtection algorithmName="SHA-512" hashValue="XT/XRwpLKEUEUeR0byFFGT3528Gj/nuMItGkUrN7mDF0xkHBF0AO2XaG6l1CHdw2AWoeqRKCmxHtC6d08K752w==" saltValue="WxLtcYcw403trbTg6qhiQg=="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xr:uid="{00000000-0002-0000-0A00-00000000000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I19"/>
  <sheetViews>
    <sheetView showGridLines="0" zoomScale="90" zoomScaleNormal="90" workbookViewId="0">
      <selection activeCell="C1" sqref="C1"/>
    </sheetView>
  </sheetViews>
  <sheetFormatPr baseColWidth="10" defaultColWidth="11.42578125" defaultRowHeight="12.75" x14ac:dyDescent="0.2"/>
  <cols>
    <col min="1" max="1" width="3.7109375" style="1" customWidth="1"/>
    <col min="2" max="2" width="14.7109375" style="1" customWidth="1"/>
    <col min="3" max="3" width="36" style="1" customWidth="1"/>
    <col min="4" max="4" width="21.5703125" style="1" customWidth="1"/>
    <col min="5" max="5" width="22.28515625" style="1" customWidth="1"/>
    <col min="6" max="6" width="21.5703125" style="1" customWidth="1"/>
    <col min="7" max="7" width="20.7109375" style="1" customWidth="1"/>
    <col min="8" max="8" width="21.28515625" style="1" customWidth="1"/>
    <col min="9" max="9" width="21.140625" style="1" customWidth="1"/>
    <col min="10" max="16384" width="11.42578125" style="1"/>
  </cols>
  <sheetData>
    <row r="1" spans="1:9" ht="49.5" customHeight="1" x14ac:dyDescent="0.25">
      <c r="A1" s="13"/>
      <c r="D1" s="92"/>
      <c r="E1" s="92"/>
      <c r="F1" s="14"/>
    </row>
    <row r="2" spans="1:9" ht="17.25" customHeight="1" x14ac:dyDescent="0.25">
      <c r="A2" s="13"/>
      <c r="B2" s="117"/>
      <c r="D2" s="92"/>
      <c r="E2" s="92"/>
      <c r="F2" s="14"/>
    </row>
    <row r="3" spans="1:9" ht="17.25" customHeight="1" x14ac:dyDescent="0.25">
      <c r="A3" s="13"/>
      <c r="D3" s="92"/>
      <c r="E3" s="92"/>
      <c r="F3" s="14"/>
    </row>
    <row r="4" spans="1:9" ht="17.25" customHeight="1" x14ac:dyDescent="0.25">
      <c r="A4" s="13"/>
      <c r="B4" s="94" t="s">
        <v>83</v>
      </c>
      <c r="D4" s="92"/>
      <c r="E4" s="92"/>
      <c r="F4" s="14"/>
    </row>
    <row r="5" spans="1:9" ht="15.75" customHeight="1" x14ac:dyDescent="0.2">
      <c r="B5" s="2"/>
      <c r="C5" s="120"/>
      <c r="D5" s="92"/>
      <c r="E5" s="92"/>
    </row>
    <row r="6" spans="1:9" ht="4.5" customHeight="1" x14ac:dyDescent="0.2"/>
    <row r="7" spans="1:9" s="2" customFormat="1" ht="24" customHeight="1" x14ac:dyDescent="0.2">
      <c r="B7" s="241" t="s">
        <v>19</v>
      </c>
      <c r="C7" s="241"/>
      <c r="D7" s="241"/>
      <c r="E7" s="241"/>
      <c r="F7" s="241"/>
      <c r="G7" s="242"/>
      <c r="H7" s="242"/>
      <c r="I7" s="242"/>
    </row>
    <row r="8" spans="1:9" s="2" customFormat="1" ht="11.25" customHeight="1" x14ac:dyDescent="0.2">
      <c r="B8" s="90"/>
      <c r="C8" s="90"/>
      <c r="D8" s="90"/>
      <c r="E8" s="90"/>
      <c r="F8" s="90"/>
      <c r="G8" s="91"/>
      <c r="H8" s="91"/>
      <c r="I8" s="91"/>
    </row>
    <row r="9" spans="1:9" s="2" customFormat="1" ht="27.75" customHeight="1" x14ac:dyDescent="0.2">
      <c r="B9" s="233" t="s">
        <v>20</v>
      </c>
      <c r="C9" s="233"/>
      <c r="D9" s="143">
        <f>Personal!F13</f>
        <v>2021</v>
      </c>
      <c r="E9" s="143">
        <f>D9+1</f>
        <v>2022</v>
      </c>
      <c r="F9" s="143">
        <f>E9+1</f>
        <v>2023</v>
      </c>
      <c r="G9" s="143">
        <f>F9+1</f>
        <v>2024</v>
      </c>
      <c r="H9" s="143">
        <f>G9+1</f>
        <v>2025</v>
      </c>
      <c r="I9" s="143">
        <f>H9+1</f>
        <v>2026</v>
      </c>
    </row>
    <row r="10" spans="1:9" s="2" customFormat="1" ht="28.5" customHeight="1" x14ac:dyDescent="0.2">
      <c r="B10" s="235" t="s">
        <v>88</v>
      </c>
      <c r="C10" s="235"/>
      <c r="D10" s="3">
        <f>'I+D'!D9+iT!D9</f>
        <v>95704.36</v>
      </c>
      <c r="E10" s="3">
        <f>'I+D'!E9+iT!E9</f>
        <v>254987.21000000002</v>
      </c>
      <c r="F10" s="3">
        <f>'I+D'!F9+iT!F9</f>
        <v>0</v>
      </c>
      <c r="G10" s="3">
        <f>'I+D'!G9+iT!G9</f>
        <v>0</v>
      </c>
      <c r="H10" s="3">
        <f>'I+D'!H9+iT!H9</f>
        <v>0</v>
      </c>
      <c r="I10" s="3">
        <f>'I+D'!I9+iT!I9</f>
        <v>0</v>
      </c>
    </row>
    <row r="11" spans="1:9" s="2" customFormat="1" ht="28.5" customHeight="1" x14ac:dyDescent="0.2">
      <c r="B11" s="235" t="s">
        <v>21</v>
      </c>
      <c r="C11" s="235"/>
      <c r="D11" s="3">
        <f>'I+D'!D10+iT!D10</f>
        <v>0</v>
      </c>
      <c r="E11" s="3">
        <f>'I+D'!E10+iT!E10</f>
        <v>0</v>
      </c>
      <c r="F11" s="3">
        <f>'I+D'!F10+iT!F10</f>
        <v>0</v>
      </c>
      <c r="G11" s="3">
        <f>'I+D'!G10+iT!G10</f>
        <v>0</v>
      </c>
      <c r="H11" s="3">
        <f>'I+D'!H10+iT!H10</f>
        <v>0</v>
      </c>
      <c r="I11" s="3">
        <f>'I+D'!I10+iT!I10</f>
        <v>0</v>
      </c>
    </row>
    <row r="12" spans="1:9" s="2" customFormat="1" ht="28.5" customHeight="1" x14ac:dyDescent="0.2">
      <c r="B12" s="235" t="s">
        <v>90</v>
      </c>
      <c r="C12" s="235"/>
      <c r="D12" s="3">
        <f>'I+D'!D11+iT!D11</f>
        <v>0</v>
      </c>
      <c r="E12" s="3">
        <f>'I+D'!E11+iT!E11</f>
        <v>0</v>
      </c>
      <c r="F12" s="3">
        <f>'I+D'!F11+iT!F11</f>
        <v>0</v>
      </c>
      <c r="G12" s="3">
        <f>'I+D'!G11+iT!G11</f>
        <v>0</v>
      </c>
      <c r="H12" s="3">
        <f>'I+D'!H11+iT!H11</f>
        <v>0</v>
      </c>
      <c r="I12" s="3">
        <f>'I+D'!I11+iT!I11</f>
        <v>0</v>
      </c>
    </row>
    <row r="13" spans="1:9" s="2" customFormat="1" ht="28.5" customHeight="1" x14ac:dyDescent="0.2">
      <c r="B13" s="235" t="s">
        <v>22</v>
      </c>
      <c r="C13" s="235"/>
      <c r="D13" s="3">
        <f>'I+D'!D12+iT!D12</f>
        <v>0</v>
      </c>
      <c r="E13" s="3">
        <f>'I+D'!E12+iT!E12</f>
        <v>0</v>
      </c>
      <c r="F13" s="3">
        <f>'I+D'!F12+iT!F12</f>
        <v>0</v>
      </c>
      <c r="G13" s="3">
        <f>'I+D'!G12+iT!G12</f>
        <v>0</v>
      </c>
      <c r="H13" s="3">
        <f>'I+D'!H12+iT!H12</f>
        <v>0</v>
      </c>
      <c r="I13" s="3">
        <f>'I+D'!I12+iT!I12</f>
        <v>0</v>
      </c>
    </row>
    <row r="14" spans="1:9" s="2" customFormat="1" ht="28.5" customHeight="1" x14ac:dyDescent="0.2">
      <c r="B14" s="235" t="s">
        <v>126</v>
      </c>
      <c r="C14" s="235"/>
      <c r="D14" s="3">
        <f>'I+D'!D13+iT!D13</f>
        <v>0</v>
      </c>
      <c r="E14" s="3">
        <f>'I+D'!E13+iT!E13</f>
        <v>0</v>
      </c>
      <c r="F14" s="3">
        <f>'I+D'!F13+iT!F13</f>
        <v>0</v>
      </c>
      <c r="G14" s="3">
        <f>'I+D'!G13+iT!G13</f>
        <v>0</v>
      </c>
      <c r="H14" s="3">
        <f>'I+D'!H13+iT!H13</f>
        <v>0</v>
      </c>
      <c r="I14" s="3">
        <f>'I+D'!I13+iT!I13</f>
        <v>0</v>
      </c>
    </row>
    <row r="15" spans="1:9" s="2" customFormat="1" ht="28.5" customHeight="1" x14ac:dyDescent="0.2">
      <c r="B15" s="235" t="s">
        <v>23</v>
      </c>
      <c r="C15" s="235"/>
      <c r="D15" s="3">
        <f>'I+D'!D14+iT!D14</f>
        <v>256004.37</v>
      </c>
      <c r="E15" s="3">
        <f>'I+D'!E14+iT!E14</f>
        <v>1292834.4029999999</v>
      </c>
      <c r="F15" s="3">
        <f>'I+D'!F14+iT!F14</f>
        <v>0</v>
      </c>
      <c r="G15" s="3">
        <f>'I+D'!G14+iT!G14</f>
        <v>0</v>
      </c>
      <c r="H15" s="3">
        <f>'I+D'!H14+iT!H14</f>
        <v>0</v>
      </c>
      <c r="I15" s="3">
        <f>'I+D'!I14+iT!I14</f>
        <v>0</v>
      </c>
    </row>
    <row r="16" spans="1:9" s="2" customFormat="1" ht="42" customHeight="1" x14ac:dyDescent="0.2">
      <c r="B16" s="235" t="s">
        <v>28</v>
      </c>
      <c r="C16" s="235"/>
      <c r="D16" s="3">
        <f>'I+D'!D15+iT!D15</f>
        <v>0</v>
      </c>
      <c r="E16" s="3">
        <f>'I+D'!E15+iT!E15</f>
        <v>0</v>
      </c>
      <c r="F16" s="3">
        <f>'I+D'!F15+iT!F15</f>
        <v>0</v>
      </c>
      <c r="G16" s="3">
        <f>'I+D'!G15+iT!G15</f>
        <v>0</v>
      </c>
      <c r="H16" s="3">
        <f>'I+D'!H15+iT!H15</f>
        <v>0</v>
      </c>
      <c r="I16" s="3">
        <f>'I+D'!I15+iT!I15</f>
        <v>0</v>
      </c>
    </row>
    <row r="17" spans="2:9" s="2" customFormat="1" ht="30" customHeight="1" x14ac:dyDescent="0.2">
      <c r="B17" s="233" t="s">
        <v>24</v>
      </c>
      <c r="C17" s="233"/>
      <c r="D17" s="144">
        <f t="shared" ref="D17:I17" si="0">SUM(D10:D16)</f>
        <v>351708.73</v>
      </c>
      <c r="E17" s="144">
        <f t="shared" si="0"/>
        <v>1547821.6129999999</v>
      </c>
      <c r="F17" s="144">
        <f t="shared" si="0"/>
        <v>0</v>
      </c>
      <c r="G17" s="144">
        <f t="shared" si="0"/>
        <v>0</v>
      </c>
      <c r="H17" s="144">
        <f t="shared" si="0"/>
        <v>0</v>
      </c>
      <c r="I17" s="144">
        <f t="shared" si="0"/>
        <v>0</v>
      </c>
    </row>
    <row r="18" spans="2:9" ht="6" customHeight="1" x14ac:dyDescent="0.2"/>
    <row r="19" spans="2:9" s="2" customFormat="1" ht="30" customHeight="1" x14ac:dyDescent="0.2">
      <c r="B19" s="233" t="s">
        <v>84</v>
      </c>
      <c r="C19" s="233"/>
      <c r="D19" s="144">
        <f>'El._inmovilizado (INVERSIÓN)'!D33</f>
        <v>0</v>
      </c>
      <c r="E19" s="144">
        <f>'El._inmovilizado (INVERSIÓN)'!G33</f>
        <v>0</v>
      </c>
      <c r="F19" s="144">
        <f>'El._inmovilizado (INVERSIÓN)'!J33</f>
        <v>0</v>
      </c>
      <c r="G19" s="144">
        <f>'El._inmovilizado (INVERSIÓN)'!M33</f>
        <v>0</v>
      </c>
      <c r="H19" s="144">
        <f>'El._inmovilizado (INVERSIÓN)'!P33</f>
        <v>0</v>
      </c>
      <c r="I19" s="144">
        <f>'El._inmovilizado (INVERSIÓN)'!S33</f>
        <v>0</v>
      </c>
    </row>
  </sheetData>
  <sheetProtection algorithmName="SHA-512" hashValue="B0h2tij0VIuXMaKo+w0KdbfhG5FxoFIxoUt3xBCeSLin9/abrblYKRRW/DyidwvA2mmZJLZvOprwiS4SlAmkYg==" saltValue="2/AVxeYp0ZGhwgVAqIZjvw==" spinCount="100000" sheet="1" objects="1" scenarios="1"/>
  <mergeCells count="11">
    <mergeCell ref="B16:C16"/>
    <mergeCell ref="B17:C17"/>
    <mergeCell ref="B12:C12"/>
    <mergeCell ref="B19:C19"/>
    <mergeCell ref="B14:C14"/>
    <mergeCell ref="B13:C13"/>
    <mergeCell ref="B9:C9"/>
    <mergeCell ref="B10:C10"/>
    <mergeCell ref="B11:C11"/>
    <mergeCell ref="B7:I7"/>
    <mergeCell ref="B15:C15"/>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18"/>
  <sheetViews>
    <sheetView showGridLines="0" zoomScaleNormal="100" workbookViewId="0">
      <selection activeCell="B1" sqref="B1"/>
    </sheetView>
  </sheetViews>
  <sheetFormatPr baseColWidth="10" defaultColWidth="11.42578125" defaultRowHeight="15" x14ac:dyDescent="0.2"/>
  <cols>
    <col min="1" max="1" width="14.7109375" style="50" customWidth="1"/>
    <col min="2" max="2" width="43.5703125" style="50" customWidth="1"/>
    <col min="3" max="3" width="28.140625" style="50" customWidth="1"/>
    <col min="4" max="4" width="13.140625" style="50" customWidth="1"/>
    <col min="5" max="5" width="12.140625" style="50" customWidth="1"/>
    <col min="6" max="6" width="12.42578125" style="50" customWidth="1"/>
    <col min="7" max="7" width="12.28515625" style="50" customWidth="1"/>
    <col min="8" max="8" width="12.5703125" style="50" customWidth="1"/>
    <col min="9" max="9" width="12.7109375" style="50" customWidth="1"/>
    <col min="10" max="10" width="15.140625" style="50" customWidth="1"/>
    <col min="11" max="11" width="4.7109375" style="50" customWidth="1"/>
    <col min="12" max="16384" width="11.42578125" style="50"/>
  </cols>
  <sheetData>
    <row r="1" spans="1:10" ht="72" customHeight="1" x14ac:dyDescent="0.2">
      <c r="C1" s="243"/>
      <c r="D1" s="243"/>
      <c r="E1" s="243"/>
      <c r="F1" s="243"/>
      <c r="G1" s="243"/>
      <c r="H1" s="243"/>
      <c r="I1" s="12"/>
      <c r="J1" s="12"/>
    </row>
    <row r="2" spans="1:10" ht="15.75" customHeight="1" x14ac:dyDescent="0.2">
      <c r="C2" s="11"/>
      <c r="D2" s="11"/>
      <c r="E2" s="11"/>
      <c r="F2" s="11"/>
      <c r="G2" s="11"/>
      <c r="H2" s="11"/>
      <c r="I2" s="12"/>
      <c r="J2" s="12"/>
    </row>
    <row r="3" spans="1:10" ht="15.75" customHeight="1" x14ac:dyDescent="0.2">
      <c r="A3" s="93" t="s">
        <v>77</v>
      </c>
      <c r="C3" s="14"/>
      <c r="D3" s="14"/>
      <c r="E3" s="14"/>
      <c r="F3" s="14"/>
      <c r="G3" s="14"/>
      <c r="H3" s="14"/>
      <c r="I3" s="14"/>
      <c r="J3" s="14"/>
    </row>
    <row r="4" spans="1:10" s="95" customFormat="1" ht="15.75" customHeight="1" x14ac:dyDescent="0.2">
      <c r="C4" s="14"/>
      <c r="D4" s="14"/>
      <c r="E4" s="14"/>
      <c r="F4" s="14"/>
      <c r="G4" s="14"/>
      <c r="H4" s="14"/>
      <c r="I4" s="14"/>
      <c r="J4" s="14"/>
    </row>
    <row r="5" spans="1:10" x14ac:dyDescent="0.2">
      <c r="A5" s="51" t="s">
        <v>33</v>
      </c>
    </row>
    <row r="6" spans="1:10" ht="6" customHeight="1" thickBot="1" x14ac:dyDescent="0.25">
      <c r="B6" s="51"/>
      <c r="C6" s="52"/>
      <c r="D6" s="52"/>
      <c r="E6" s="52"/>
      <c r="F6" s="52"/>
      <c r="G6" s="52"/>
      <c r="H6" s="52"/>
    </row>
    <row r="7" spans="1:10" ht="15.75" customHeight="1" thickBot="1" x14ac:dyDescent="0.25">
      <c r="A7" s="244" t="s">
        <v>107</v>
      </c>
      <c r="B7" s="145" t="s">
        <v>30</v>
      </c>
      <c r="C7" s="146" t="s">
        <v>31</v>
      </c>
      <c r="D7" s="248" t="s">
        <v>34</v>
      </c>
      <c r="E7" s="249"/>
      <c r="F7" s="250"/>
      <c r="G7" s="251" t="s">
        <v>35</v>
      </c>
      <c r="H7" s="251"/>
      <c r="I7" s="251"/>
      <c r="J7" s="145" t="s">
        <v>118</v>
      </c>
    </row>
    <row r="8" spans="1:10" ht="39.75" customHeight="1" thickBot="1" x14ac:dyDescent="0.25">
      <c r="A8" s="245"/>
      <c r="B8" s="147" t="s">
        <v>116</v>
      </c>
      <c r="C8" s="168" t="s">
        <v>117</v>
      </c>
      <c r="D8" s="148" t="s">
        <v>7</v>
      </c>
      <c r="E8" s="149" t="s">
        <v>139</v>
      </c>
      <c r="F8" s="145" t="s">
        <v>32</v>
      </c>
      <c r="G8" s="148" t="s">
        <v>7</v>
      </c>
      <c r="H8" s="149" t="s">
        <v>139</v>
      </c>
      <c r="I8" s="150" t="s">
        <v>32</v>
      </c>
      <c r="J8" s="151" t="s">
        <v>119</v>
      </c>
    </row>
    <row r="9" spans="1:10" x14ac:dyDescent="0.2">
      <c r="A9" s="175">
        <v>1</v>
      </c>
      <c r="B9" s="176" t="s">
        <v>88</v>
      </c>
      <c r="C9" s="44"/>
      <c r="D9" s="46"/>
      <c r="E9" s="47"/>
      <c r="F9" s="177">
        <f>SUM(D9:E9)</f>
        <v>0</v>
      </c>
      <c r="G9" s="46"/>
      <c r="H9" s="47"/>
      <c r="I9" s="178">
        <f>SUM(G9:H9)</f>
        <v>0</v>
      </c>
      <c r="J9" s="179" t="str">
        <f>IF(F9=0,"",(I9-F9)/F9*100)</f>
        <v/>
      </c>
    </row>
    <row r="10" spans="1:10" ht="25.5" x14ac:dyDescent="0.2">
      <c r="A10" s="180">
        <v>2</v>
      </c>
      <c r="B10" s="181" t="s">
        <v>102</v>
      </c>
      <c r="C10" s="44"/>
      <c r="D10" s="46"/>
      <c r="E10" s="47"/>
      <c r="F10" s="177">
        <f t="shared" ref="F10:F15" si="0">SUM(D10:E10)</f>
        <v>0</v>
      </c>
      <c r="G10" s="125"/>
      <c r="H10" s="47"/>
      <c r="I10" s="178">
        <f t="shared" ref="I10:I15" si="1">SUM(G10:H10)</f>
        <v>0</v>
      </c>
      <c r="J10" s="182" t="str">
        <f t="shared" ref="J10:J16" si="2">IF(F10=0,"",(I10-F10)/F10*100)</f>
        <v/>
      </c>
    </row>
    <row r="11" spans="1:10" ht="25.5" x14ac:dyDescent="0.2">
      <c r="A11" s="183">
        <v>3</v>
      </c>
      <c r="B11" s="184" t="s">
        <v>87</v>
      </c>
      <c r="C11" s="45"/>
      <c r="D11" s="48"/>
      <c r="E11" s="49"/>
      <c r="F11" s="185">
        <f t="shared" si="0"/>
        <v>0</v>
      </c>
      <c r="G11" s="48"/>
      <c r="H11" s="49"/>
      <c r="I11" s="186">
        <f t="shared" si="1"/>
        <v>0</v>
      </c>
      <c r="J11" s="182" t="str">
        <f t="shared" si="2"/>
        <v/>
      </c>
    </row>
    <row r="12" spans="1:10" x14ac:dyDescent="0.2">
      <c r="A12" s="183">
        <v>4</v>
      </c>
      <c r="B12" s="184" t="s">
        <v>22</v>
      </c>
      <c r="C12" s="45"/>
      <c r="D12" s="48"/>
      <c r="E12" s="49"/>
      <c r="F12" s="185">
        <f t="shared" si="0"/>
        <v>0</v>
      </c>
      <c r="G12" s="48"/>
      <c r="H12" s="49"/>
      <c r="I12" s="186">
        <f t="shared" si="1"/>
        <v>0</v>
      </c>
      <c r="J12" s="182" t="str">
        <f t="shared" si="2"/>
        <v/>
      </c>
    </row>
    <row r="13" spans="1:10" ht="25.5" x14ac:dyDescent="0.2">
      <c r="A13" s="183">
        <v>5</v>
      </c>
      <c r="B13" s="184" t="s">
        <v>126</v>
      </c>
      <c r="C13" s="45"/>
      <c r="D13" s="48"/>
      <c r="E13" s="49"/>
      <c r="F13" s="185">
        <f t="shared" si="0"/>
        <v>0</v>
      </c>
      <c r="G13" s="48"/>
      <c r="H13" s="49"/>
      <c r="I13" s="186">
        <f t="shared" si="1"/>
        <v>0</v>
      </c>
      <c r="J13" s="182" t="str">
        <f t="shared" si="2"/>
        <v/>
      </c>
    </row>
    <row r="14" spans="1:10" x14ac:dyDescent="0.2">
      <c r="A14" s="183">
        <v>6</v>
      </c>
      <c r="B14" s="184" t="s">
        <v>66</v>
      </c>
      <c r="C14" s="45"/>
      <c r="D14" s="48"/>
      <c r="E14" s="49"/>
      <c r="F14" s="185">
        <f t="shared" si="0"/>
        <v>0</v>
      </c>
      <c r="G14" s="48"/>
      <c r="H14" s="49"/>
      <c r="I14" s="186">
        <f t="shared" si="1"/>
        <v>0</v>
      </c>
      <c r="J14" s="182" t="str">
        <f t="shared" si="2"/>
        <v/>
      </c>
    </row>
    <row r="15" spans="1:10" ht="15.75" thickBot="1" x14ac:dyDescent="0.25">
      <c r="A15" s="183">
        <v>7</v>
      </c>
      <c r="B15" s="184" t="s">
        <v>28</v>
      </c>
      <c r="C15" s="45"/>
      <c r="D15" s="48"/>
      <c r="E15" s="49"/>
      <c r="F15" s="185">
        <f t="shared" si="0"/>
        <v>0</v>
      </c>
      <c r="G15" s="48"/>
      <c r="H15" s="49"/>
      <c r="I15" s="186">
        <f t="shared" si="1"/>
        <v>0</v>
      </c>
      <c r="J15" s="187" t="str">
        <f t="shared" si="2"/>
        <v/>
      </c>
    </row>
    <row r="16" spans="1:10" ht="15.75" thickBot="1" x14ac:dyDescent="0.25">
      <c r="A16" s="246" t="s">
        <v>2</v>
      </c>
      <c r="B16" s="247"/>
      <c r="C16" s="247"/>
      <c r="D16" s="152">
        <f t="shared" ref="D16:I16" si="3">SUM(D9:D15)</f>
        <v>0</v>
      </c>
      <c r="E16" s="153">
        <f t="shared" si="3"/>
        <v>0</v>
      </c>
      <c r="F16" s="154">
        <f t="shared" si="3"/>
        <v>0</v>
      </c>
      <c r="G16" s="152">
        <f t="shared" si="3"/>
        <v>0</v>
      </c>
      <c r="H16" s="153">
        <f t="shared" si="3"/>
        <v>0</v>
      </c>
      <c r="I16" s="155">
        <f t="shared" si="3"/>
        <v>0</v>
      </c>
      <c r="J16" s="188" t="str">
        <f t="shared" si="2"/>
        <v/>
      </c>
    </row>
    <row r="17" spans="1:8" x14ac:dyDescent="0.2">
      <c r="A17" s="53"/>
      <c r="C17" s="52"/>
      <c r="D17" s="52"/>
      <c r="E17" s="52"/>
      <c r="F17" s="52"/>
      <c r="G17" s="52"/>
      <c r="H17" s="52"/>
    </row>
    <row r="18" spans="1:8" x14ac:dyDescent="0.2">
      <c r="B18" s="51"/>
      <c r="C18" s="52"/>
      <c r="D18" s="52"/>
      <c r="E18" s="52"/>
      <c r="F18" s="52"/>
      <c r="G18" s="52"/>
      <c r="H18" s="52"/>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J246"/>
  <sheetViews>
    <sheetView showGridLines="0" tabSelected="1" zoomScale="75" workbookViewId="0">
      <pane ySplit="6" topLeftCell="A7" activePane="bottomLeft" state="frozen"/>
      <selection pane="bottomLeft" activeCell="H113" sqref="H113"/>
    </sheetView>
  </sheetViews>
  <sheetFormatPr baseColWidth="10" defaultColWidth="11.42578125" defaultRowHeight="14.25" x14ac:dyDescent="0.2"/>
  <cols>
    <col min="1" max="1" width="0.85546875" style="16" customWidth="1"/>
    <col min="2" max="2" width="1.140625" style="16" customWidth="1"/>
    <col min="3" max="4" width="7.7109375" style="6" customWidth="1"/>
    <col min="5" max="5" width="47.28515625" style="6" customWidth="1"/>
    <col min="6" max="6" width="28" style="6" bestFit="1" customWidth="1"/>
    <col min="7" max="7" width="14.85546875" style="7" bestFit="1" customWidth="1"/>
    <col min="8" max="8" width="76.42578125" style="6" bestFit="1" customWidth="1"/>
    <col min="9" max="9" width="18.85546875" style="6" hidden="1" customWidth="1"/>
    <col min="10" max="11" width="18.85546875" style="6" customWidth="1"/>
    <col min="12" max="12" width="17.140625" style="16" customWidth="1"/>
    <col min="13" max="36" width="11.42578125" style="16"/>
    <col min="37" max="16384" width="11.42578125" style="6"/>
  </cols>
  <sheetData>
    <row r="1" spans="3:15" s="15" customFormat="1" ht="64.5" customHeight="1" x14ac:dyDescent="0.2">
      <c r="F1" s="243"/>
      <c r="G1" s="243"/>
      <c r="H1" s="243"/>
      <c r="I1" s="29"/>
      <c r="J1" s="29"/>
      <c r="K1" s="29"/>
      <c r="L1" s="11"/>
      <c r="M1" s="11"/>
      <c r="N1" s="11"/>
      <c r="O1" s="11"/>
    </row>
    <row r="2" spans="3:15" s="15" customFormat="1" ht="20.25" customHeight="1" x14ac:dyDescent="0.2">
      <c r="F2" s="29"/>
      <c r="G2" s="29"/>
      <c r="H2" s="29"/>
      <c r="I2" s="29"/>
      <c r="J2" s="29"/>
      <c r="K2" s="29"/>
      <c r="L2" s="11"/>
      <c r="M2" s="11"/>
      <c r="N2" s="11"/>
      <c r="O2" s="11"/>
    </row>
    <row r="3" spans="3:15" s="15" customFormat="1" ht="20.25" customHeight="1" x14ac:dyDescent="0.2">
      <c r="C3" s="96" t="s">
        <v>134</v>
      </c>
      <c r="F3" s="29"/>
      <c r="G3" s="29"/>
      <c r="H3" s="29"/>
      <c r="I3" s="29"/>
      <c r="J3" s="29"/>
      <c r="K3" s="29"/>
      <c r="L3" s="11"/>
      <c r="M3" s="11"/>
      <c r="N3" s="11"/>
      <c r="O3" s="11"/>
    </row>
    <row r="4" spans="3:15" ht="15" thickBot="1" x14ac:dyDescent="0.25">
      <c r="C4" s="17"/>
      <c r="D4" s="17"/>
      <c r="E4" s="17"/>
      <c r="F4" s="17"/>
      <c r="G4" s="17"/>
      <c r="H4" s="17"/>
      <c r="I4" s="18"/>
      <c r="J4" s="18"/>
      <c r="K4" s="18"/>
    </row>
    <row r="5" spans="3:15" s="20" customFormat="1" ht="30" customHeight="1" thickBot="1" x14ac:dyDescent="0.25">
      <c r="C5" s="282" t="s">
        <v>107</v>
      </c>
      <c r="D5" s="282"/>
      <c r="E5" s="282" t="s">
        <v>37</v>
      </c>
      <c r="F5" s="282" t="s">
        <v>38</v>
      </c>
      <c r="G5" s="282" t="s">
        <v>39</v>
      </c>
      <c r="H5" s="282" t="s">
        <v>40</v>
      </c>
      <c r="I5" s="282" t="s">
        <v>41</v>
      </c>
      <c r="J5" s="283"/>
      <c r="K5" s="283"/>
    </row>
    <row r="6" spans="3:15" s="20" customFormat="1" ht="30" customHeight="1" thickBot="1" x14ac:dyDescent="0.25">
      <c r="C6" s="283"/>
      <c r="D6" s="283"/>
      <c r="E6" s="283"/>
      <c r="F6" s="283"/>
      <c r="G6" s="283"/>
      <c r="H6" s="283"/>
      <c r="I6" s="156" t="s">
        <v>12</v>
      </c>
      <c r="J6" s="156" t="s">
        <v>42</v>
      </c>
      <c r="K6" s="156" t="s">
        <v>2</v>
      </c>
    </row>
    <row r="7" spans="3:15" s="20" customFormat="1" ht="17.25" customHeight="1" thickBot="1" x14ac:dyDescent="0.25">
      <c r="C7" s="305"/>
      <c r="D7" s="306"/>
      <c r="E7" s="306"/>
      <c r="F7" s="306"/>
      <c r="G7" s="306"/>
      <c r="H7" s="306"/>
      <c r="I7" s="306"/>
      <c r="J7" s="306"/>
      <c r="K7" s="307"/>
    </row>
    <row r="8" spans="3:15" s="20" customFormat="1" ht="17.25" customHeight="1" thickBot="1" x14ac:dyDescent="0.25">
      <c r="C8" s="256" t="s">
        <v>88</v>
      </c>
      <c r="D8" s="257"/>
      <c r="E8" s="257"/>
      <c r="F8" s="257"/>
      <c r="G8" s="257"/>
      <c r="H8" s="257"/>
      <c r="I8" s="257"/>
      <c r="J8" s="257"/>
      <c r="K8" s="258"/>
    </row>
    <row r="9" spans="3:15" ht="19.5" customHeight="1" x14ac:dyDescent="0.2">
      <c r="C9" s="299">
        <v>1</v>
      </c>
      <c r="D9" s="300"/>
      <c r="E9" s="25" t="s">
        <v>263</v>
      </c>
      <c r="F9" s="30" t="s">
        <v>259</v>
      </c>
      <c r="G9" s="8">
        <v>44926</v>
      </c>
      <c r="H9" s="30" t="s">
        <v>266</v>
      </c>
      <c r="I9" s="32"/>
      <c r="J9" s="33">
        <v>70540.240000000005</v>
      </c>
      <c r="K9" s="33">
        <f>I9+J9</f>
        <v>70540.240000000005</v>
      </c>
    </row>
    <row r="10" spans="3:15" ht="19.5" customHeight="1" x14ac:dyDescent="0.2">
      <c r="C10" s="297">
        <f>C9+1</f>
        <v>2</v>
      </c>
      <c r="D10" s="298"/>
      <c r="E10" s="23" t="s">
        <v>260</v>
      </c>
      <c r="F10" s="30" t="s">
        <v>259</v>
      </c>
      <c r="G10" s="8">
        <v>44926</v>
      </c>
      <c r="H10" s="30" t="s">
        <v>258</v>
      </c>
      <c r="I10" s="32"/>
      <c r="J10" s="34">
        <v>60242.99</v>
      </c>
      <c r="K10" s="33">
        <f t="shared" ref="K10:K18" si="0">I10+J10</f>
        <v>60242.99</v>
      </c>
    </row>
    <row r="11" spans="3:15" ht="19.5" customHeight="1" x14ac:dyDescent="0.2">
      <c r="C11" s="297">
        <f t="shared" ref="C11:C18" si="1">C10+1</f>
        <v>3</v>
      </c>
      <c r="D11" s="298"/>
      <c r="E11" s="23" t="s">
        <v>264</v>
      </c>
      <c r="F11" s="30" t="s">
        <v>259</v>
      </c>
      <c r="G11" s="8">
        <v>44926</v>
      </c>
      <c r="H11" s="30" t="s">
        <v>267</v>
      </c>
      <c r="I11" s="32"/>
      <c r="J11" s="34">
        <v>58665.38</v>
      </c>
      <c r="K11" s="33">
        <f t="shared" si="0"/>
        <v>58665.38</v>
      </c>
    </row>
    <row r="12" spans="3:15" ht="19.5" customHeight="1" thickBot="1" x14ac:dyDescent="0.25">
      <c r="C12" s="297">
        <f t="shared" si="1"/>
        <v>4</v>
      </c>
      <c r="D12" s="298"/>
      <c r="E12" s="23" t="s">
        <v>265</v>
      </c>
      <c r="F12" s="30" t="s">
        <v>259</v>
      </c>
      <c r="G12" s="8">
        <v>44926</v>
      </c>
      <c r="H12" s="30" t="s">
        <v>267</v>
      </c>
      <c r="I12" s="32"/>
      <c r="J12" s="34">
        <v>65538.600000000006</v>
      </c>
      <c r="K12" s="33">
        <f t="shared" si="0"/>
        <v>65538.600000000006</v>
      </c>
    </row>
    <row r="13" spans="3:15" ht="19.5" hidden="1" customHeight="1" x14ac:dyDescent="0.2">
      <c r="C13" s="297">
        <f t="shared" si="1"/>
        <v>5</v>
      </c>
      <c r="D13" s="298"/>
      <c r="E13" s="23"/>
      <c r="F13" s="30"/>
      <c r="G13" s="8"/>
      <c r="H13" s="30"/>
      <c r="I13" s="32"/>
      <c r="J13" s="34"/>
      <c r="K13" s="33">
        <f t="shared" si="0"/>
        <v>0</v>
      </c>
    </row>
    <row r="14" spans="3:15" ht="19.5" hidden="1" customHeight="1" x14ac:dyDescent="0.2">
      <c r="C14" s="297">
        <f t="shared" si="1"/>
        <v>6</v>
      </c>
      <c r="D14" s="298"/>
      <c r="E14" s="23"/>
      <c r="F14" s="30"/>
      <c r="G14" s="8"/>
      <c r="H14" s="30"/>
      <c r="I14" s="32"/>
      <c r="J14" s="34"/>
      <c r="K14" s="33">
        <f t="shared" si="0"/>
        <v>0</v>
      </c>
    </row>
    <row r="15" spans="3:15" ht="19.5" hidden="1" customHeight="1" x14ac:dyDescent="0.2">
      <c r="C15" s="297">
        <f t="shared" si="1"/>
        <v>7</v>
      </c>
      <c r="D15" s="298"/>
      <c r="E15" s="23"/>
      <c r="F15" s="30"/>
      <c r="G15" s="8"/>
      <c r="H15" s="30"/>
      <c r="I15" s="32"/>
      <c r="J15" s="34"/>
      <c r="K15" s="33">
        <f t="shared" si="0"/>
        <v>0</v>
      </c>
    </row>
    <row r="16" spans="3:15" ht="19.5" hidden="1" customHeight="1" x14ac:dyDescent="0.2">
      <c r="C16" s="297">
        <f t="shared" si="1"/>
        <v>8</v>
      </c>
      <c r="D16" s="298"/>
      <c r="E16" s="23"/>
      <c r="F16" s="30"/>
      <c r="G16" s="8"/>
      <c r="H16" s="30"/>
      <c r="I16" s="32"/>
      <c r="J16" s="34"/>
      <c r="K16" s="33">
        <f t="shared" si="0"/>
        <v>0</v>
      </c>
    </row>
    <row r="17" spans="3:11" ht="19.5" hidden="1" customHeight="1" x14ac:dyDescent="0.2">
      <c r="C17" s="297">
        <f t="shared" si="1"/>
        <v>9</v>
      </c>
      <c r="D17" s="298"/>
      <c r="E17" s="26"/>
      <c r="F17" s="30"/>
      <c r="G17" s="8"/>
      <c r="H17" s="30"/>
      <c r="I17" s="32"/>
      <c r="J17" s="34"/>
      <c r="K17" s="33">
        <f t="shared" si="0"/>
        <v>0</v>
      </c>
    </row>
    <row r="18" spans="3:11" ht="19.5" hidden="1" customHeight="1" thickBot="1" x14ac:dyDescent="0.25">
      <c r="C18" s="301">
        <f t="shared" si="1"/>
        <v>10</v>
      </c>
      <c r="D18" s="302"/>
      <c r="E18" s="24"/>
      <c r="F18" s="30"/>
      <c r="G18" s="8"/>
      <c r="H18" s="30"/>
      <c r="I18" s="32"/>
      <c r="J18" s="34"/>
      <c r="K18" s="33">
        <f t="shared" si="0"/>
        <v>0</v>
      </c>
    </row>
    <row r="19" spans="3:11" s="21" customFormat="1" ht="19.5" customHeight="1" thickBot="1" x14ac:dyDescent="0.25">
      <c r="C19" s="193" t="s">
        <v>36</v>
      </c>
      <c r="D19" s="290"/>
      <c r="E19" s="290"/>
      <c r="F19" s="290"/>
      <c r="G19" s="290"/>
      <c r="H19" s="292"/>
      <c r="I19" s="157">
        <f>SUM(I9:I18)</f>
        <v>0</v>
      </c>
      <c r="J19" s="157">
        <f>SUM(J9:J18)</f>
        <v>254987.21000000002</v>
      </c>
      <c r="K19" s="157">
        <f>SUM(K9:K18)</f>
        <v>254987.21000000002</v>
      </c>
    </row>
    <row r="20" spans="3:11" s="20" customFormat="1" ht="17.25" hidden="1" customHeight="1" thickBot="1" x14ac:dyDescent="0.25">
      <c r="C20" s="305"/>
      <c r="D20" s="306"/>
      <c r="E20" s="306"/>
      <c r="F20" s="306"/>
      <c r="G20" s="306"/>
      <c r="H20" s="306"/>
      <c r="I20" s="306"/>
      <c r="J20" s="306"/>
      <c r="K20" s="307"/>
    </row>
    <row r="21" spans="3:11" s="20" customFormat="1" ht="17.25" hidden="1" customHeight="1" thickBot="1" x14ac:dyDescent="0.25">
      <c r="C21" s="303" t="s">
        <v>89</v>
      </c>
      <c r="D21" s="304"/>
      <c r="E21" s="304"/>
      <c r="F21" s="304"/>
      <c r="G21" s="304"/>
      <c r="H21" s="304"/>
      <c r="I21" s="304"/>
      <c r="J21" s="304"/>
      <c r="K21" s="304"/>
    </row>
    <row r="22" spans="3:11" ht="19.5" hidden="1" customHeight="1" x14ac:dyDescent="0.2">
      <c r="C22" s="308">
        <v>1</v>
      </c>
      <c r="D22" s="309"/>
      <c r="E22" s="25"/>
      <c r="F22" s="9"/>
      <c r="G22" s="8"/>
      <c r="H22" s="41"/>
      <c r="I22" s="35"/>
      <c r="J22" s="36"/>
      <c r="K22" s="33">
        <f>I22</f>
        <v>0</v>
      </c>
    </row>
    <row r="23" spans="3:11" ht="19.5" hidden="1" customHeight="1" x14ac:dyDescent="0.2">
      <c r="C23" s="295">
        <f t="shared" ref="C23:C31" si="2">C22+1</f>
        <v>2</v>
      </c>
      <c r="D23" s="296"/>
      <c r="E23" s="23"/>
      <c r="F23" s="9"/>
      <c r="G23" s="8"/>
      <c r="H23" s="42"/>
      <c r="I23" s="33"/>
      <c r="J23" s="37"/>
      <c r="K23" s="33">
        <f t="shared" ref="K23:K31" si="3">I23</f>
        <v>0</v>
      </c>
    </row>
    <row r="24" spans="3:11" ht="19.5" hidden="1" customHeight="1" x14ac:dyDescent="0.2">
      <c r="C24" s="295">
        <f t="shared" si="2"/>
        <v>3</v>
      </c>
      <c r="D24" s="296"/>
      <c r="E24" s="23"/>
      <c r="F24" s="9"/>
      <c r="G24" s="8"/>
      <c r="H24" s="31"/>
      <c r="I24" s="33"/>
      <c r="J24" s="37"/>
      <c r="K24" s="33">
        <f t="shared" si="3"/>
        <v>0</v>
      </c>
    </row>
    <row r="25" spans="3:11" ht="19.5" hidden="1" customHeight="1" x14ac:dyDescent="0.2">
      <c r="C25" s="295">
        <f t="shared" si="2"/>
        <v>4</v>
      </c>
      <c r="D25" s="296"/>
      <c r="E25" s="23"/>
      <c r="F25" s="9"/>
      <c r="G25" s="8"/>
      <c r="H25" s="31"/>
      <c r="I25" s="33"/>
      <c r="J25" s="37"/>
      <c r="K25" s="33">
        <f t="shared" si="3"/>
        <v>0</v>
      </c>
    </row>
    <row r="26" spans="3:11" ht="19.5" hidden="1" customHeight="1" x14ac:dyDescent="0.2">
      <c r="C26" s="295">
        <f t="shared" si="2"/>
        <v>5</v>
      </c>
      <c r="D26" s="296"/>
      <c r="E26" s="23"/>
      <c r="F26" s="9"/>
      <c r="G26" s="8"/>
      <c r="H26" s="31"/>
      <c r="I26" s="33"/>
      <c r="J26" s="37"/>
      <c r="K26" s="33">
        <f t="shared" si="3"/>
        <v>0</v>
      </c>
    </row>
    <row r="27" spans="3:11" ht="19.5" hidden="1" customHeight="1" x14ac:dyDescent="0.2">
      <c r="C27" s="295">
        <f t="shared" si="2"/>
        <v>6</v>
      </c>
      <c r="D27" s="296"/>
      <c r="E27" s="23"/>
      <c r="F27" s="9"/>
      <c r="G27" s="8"/>
      <c r="H27" s="31"/>
      <c r="I27" s="33"/>
      <c r="J27" s="37"/>
      <c r="K27" s="33">
        <f t="shared" si="3"/>
        <v>0</v>
      </c>
    </row>
    <row r="28" spans="3:11" ht="19.5" hidden="1" customHeight="1" x14ac:dyDescent="0.2">
      <c r="C28" s="295">
        <f t="shared" si="2"/>
        <v>7</v>
      </c>
      <c r="D28" s="296"/>
      <c r="E28" s="23"/>
      <c r="F28" s="9"/>
      <c r="G28" s="8"/>
      <c r="H28" s="31"/>
      <c r="I28" s="33"/>
      <c r="J28" s="37"/>
      <c r="K28" s="33">
        <f t="shared" si="3"/>
        <v>0</v>
      </c>
    </row>
    <row r="29" spans="3:11" ht="19.5" hidden="1" customHeight="1" x14ac:dyDescent="0.2">
      <c r="C29" s="295">
        <f t="shared" si="2"/>
        <v>8</v>
      </c>
      <c r="D29" s="296"/>
      <c r="E29" s="23"/>
      <c r="F29" s="9"/>
      <c r="G29" s="8"/>
      <c r="H29" s="31"/>
      <c r="I29" s="33"/>
      <c r="J29" s="37"/>
      <c r="K29" s="33">
        <f t="shared" si="3"/>
        <v>0</v>
      </c>
    </row>
    <row r="30" spans="3:11" ht="19.5" hidden="1" customHeight="1" x14ac:dyDescent="0.2">
      <c r="C30" s="295">
        <f t="shared" si="2"/>
        <v>9</v>
      </c>
      <c r="D30" s="296"/>
      <c r="E30" s="23"/>
      <c r="F30" s="9"/>
      <c r="G30" s="8"/>
      <c r="H30" s="31"/>
      <c r="I30" s="33"/>
      <c r="J30" s="37"/>
      <c r="K30" s="33">
        <f t="shared" si="3"/>
        <v>0</v>
      </c>
    </row>
    <row r="31" spans="3:11" ht="19.5" hidden="1" customHeight="1" thickBot="1" x14ac:dyDescent="0.25">
      <c r="C31" s="295">
        <f t="shared" si="2"/>
        <v>10</v>
      </c>
      <c r="D31" s="296"/>
      <c r="E31" s="24"/>
      <c r="F31" s="9"/>
      <c r="G31" s="8"/>
      <c r="H31" s="31"/>
      <c r="I31" s="38"/>
      <c r="J31" s="37"/>
      <c r="K31" s="33">
        <f t="shared" si="3"/>
        <v>0</v>
      </c>
    </row>
    <row r="32" spans="3:11" s="21" customFormat="1" ht="19.5" hidden="1" customHeight="1" thickBot="1" x14ac:dyDescent="0.25">
      <c r="C32" s="193" t="s">
        <v>36</v>
      </c>
      <c r="D32" s="261"/>
      <c r="E32" s="261"/>
      <c r="F32" s="261"/>
      <c r="G32" s="261"/>
      <c r="H32" s="262"/>
      <c r="I32" s="157">
        <f>SUM(I22:I31)</f>
        <v>0</v>
      </c>
      <c r="J32" s="39"/>
      <c r="K32" s="157">
        <f>SUM(K22:K31)</f>
        <v>0</v>
      </c>
    </row>
    <row r="33" spans="3:11" s="21" customFormat="1" ht="19.5" customHeight="1" thickBot="1" x14ac:dyDescent="0.25">
      <c r="C33" s="254"/>
      <c r="D33" s="255"/>
      <c r="E33" s="255"/>
      <c r="F33" s="255"/>
      <c r="G33" s="255"/>
      <c r="H33" s="255"/>
      <c r="I33" s="255"/>
      <c r="J33" s="255"/>
      <c r="K33" s="255"/>
    </row>
    <row r="34" spans="3:11" s="21" customFormat="1" ht="32.25" customHeight="1" thickBot="1" x14ac:dyDescent="0.25">
      <c r="C34" s="282" t="s">
        <v>107</v>
      </c>
      <c r="D34" s="282"/>
      <c r="E34" s="282" t="s">
        <v>43</v>
      </c>
      <c r="F34" s="282" t="s">
        <v>44</v>
      </c>
      <c r="G34" s="282" t="s">
        <v>39</v>
      </c>
      <c r="H34" s="282" t="s">
        <v>30</v>
      </c>
      <c r="I34" s="282" t="s">
        <v>41</v>
      </c>
      <c r="J34" s="283"/>
      <c r="K34" s="283"/>
    </row>
    <row r="35" spans="3:11" s="21" customFormat="1" ht="30.75" customHeight="1" thickBot="1" x14ac:dyDescent="0.25">
      <c r="C35" s="283"/>
      <c r="D35" s="283"/>
      <c r="E35" s="283"/>
      <c r="F35" s="283"/>
      <c r="G35" s="283"/>
      <c r="H35" s="283"/>
      <c r="I35" s="156" t="s">
        <v>12</v>
      </c>
      <c r="J35" s="156" t="s">
        <v>42</v>
      </c>
      <c r="K35" s="156" t="s">
        <v>2</v>
      </c>
    </row>
    <row r="36" spans="3:11" s="20" customFormat="1" ht="17.25" hidden="1" customHeight="1" thickBot="1" x14ac:dyDescent="0.25">
      <c r="C36" s="254"/>
      <c r="D36" s="255"/>
      <c r="E36" s="255"/>
      <c r="F36" s="255"/>
      <c r="G36" s="255"/>
      <c r="H36" s="255"/>
      <c r="I36" s="255"/>
      <c r="J36" s="255"/>
      <c r="K36" s="255"/>
    </row>
    <row r="37" spans="3:11" s="20" customFormat="1" ht="17.25" hidden="1" customHeight="1" thickBot="1" x14ac:dyDescent="0.25">
      <c r="C37" s="256" t="s">
        <v>90</v>
      </c>
      <c r="D37" s="257"/>
      <c r="E37" s="257"/>
      <c r="F37" s="257"/>
      <c r="G37" s="257"/>
      <c r="H37" s="257"/>
      <c r="I37" s="257"/>
      <c r="J37" s="257"/>
      <c r="K37" s="258"/>
    </row>
    <row r="38" spans="3:11" ht="19.5" hidden="1" customHeight="1" x14ac:dyDescent="0.2">
      <c r="C38" s="278">
        <v>1</v>
      </c>
      <c r="D38" s="279"/>
      <c r="E38" s="25"/>
      <c r="F38" s="9"/>
      <c r="G38" s="8"/>
      <c r="H38" s="30"/>
      <c r="I38" s="35"/>
      <c r="J38" s="33"/>
      <c r="K38" s="33">
        <f>I38+J38</f>
        <v>0</v>
      </c>
    </row>
    <row r="39" spans="3:11" ht="19.5" hidden="1" customHeight="1" x14ac:dyDescent="0.2">
      <c r="C39" s="270">
        <f t="shared" ref="C39:C47" si="4">C38+1</f>
        <v>2</v>
      </c>
      <c r="D39" s="271"/>
      <c r="E39" s="23"/>
      <c r="F39" s="9"/>
      <c r="G39" s="8"/>
      <c r="H39" s="30"/>
      <c r="I39" s="33"/>
      <c r="J39" s="34"/>
      <c r="K39" s="33">
        <f t="shared" ref="K39:K47" si="5">I39+J39</f>
        <v>0</v>
      </c>
    </row>
    <row r="40" spans="3:11" ht="19.5" hidden="1" customHeight="1" x14ac:dyDescent="0.2">
      <c r="C40" s="270">
        <f t="shared" si="4"/>
        <v>3</v>
      </c>
      <c r="D40" s="271"/>
      <c r="E40" s="23"/>
      <c r="F40" s="9"/>
      <c r="G40" s="8"/>
      <c r="H40" s="30"/>
      <c r="I40" s="33"/>
      <c r="J40" s="34"/>
      <c r="K40" s="33">
        <f t="shared" si="5"/>
        <v>0</v>
      </c>
    </row>
    <row r="41" spans="3:11" ht="19.5" hidden="1" customHeight="1" x14ac:dyDescent="0.2">
      <c r="C41" s="270">
        <f t="shared" si="4"/>
        <v>4</v>
      </c>
      <c r="D41" s="271"/>
      <c r="E41" s="23"/>
      <c r="F41" s="9"/>
      <c r="G41" s="8"/>
      <c r="H41" s="30"/>
      <c r="I41" s="33"/>
      <c r="J41" s="34"/>
      <c r="K41" s="33">
        <f t="shared" si="5"/>
        <v>0</v>
      </c>
    </row>
    <row r="42" spans="3:11" ht="19.5" hidden="1" customHeight="1" x14ac:dyDescent="0.2">
      <c r="C42" s="270">
        <f t="shared" si="4"/>
        <v>5</v>
      </c>
      <c r="D42" s="271"/>
      <c r="E42" s="23"/>
      <c r="F42" s="9"/>
      <c r="G42" s="8"/>
      <c r="H42" s="30"/>
      <c r="I42" s="33"/>
      <c r="J42" s="34"/>
      <c r="K42" s="33">
        <f t="shared" si="5"/>
        <v>0</v>
      </c>
    </row>
    <row r="43" spans="3:11" ht="19.5" hidden="1" customHeight="1" x14ac:dyDescent="0.2">
      <c r="C43" s="270">
        <f t="shared" si="4"/>
        <v>6</v>
      </c>
      <c r="D43" s="271"/>
      <c r="E43" s="23"/>
      <c r="F43" s="9"/>
      <c r="G43" s="8"/>
      <c r="H43" s="30"/>
      <c r="I43" s="33"/>
      <c r="J43" s="34"/>
      <c r="K43" s="33">
        <f t="shared" si="5"/>
        <v>0</v>
      </c>
    </row>
    <row r="44" spans="3:11" ht="19.5" hidden="1" customHeight="1" x14ac:dyDescent="0.2">
      <c r="C44" s="270">
        <f t="shared" si="4"/>
        <v>7</v>
      </c>
      <c r="D44" s="271"/>
      <c r="E44" s="23"/>
      <c r="F44" s="9"/>
      <c r="G44" s="8"/>
      <c r="H44" s="30"/>
      <c r="I44" s="33"/>
      <c r="J44" s="34"/>
      <c r="K44" s="33">
        <f t="shared" si="5"/>
        <v>0</v>
      </c>
    </row>
    <row r="45" spans="3:11" ht="19.5" hidden="1" customHeight="1" x14ac:dyDescent="0.2">
      <c r="C45" s="270">
        <f t="shared" si="4"/>
        <v>8</v>
      </c>
      <c r="D45" s="271"/>
      <c r="E45" s="23"/>
      <c r="F45" s="9"/>
      <c r="G45" s="8"/>
      <c r="H45" s="30"/>
      <c r="I45" s="33"/>
      <c r="J45" s="34"/>
      <c r="K45" s="33">
        <f t="shared" si="5"/>
        <v>0</v>
      </c>
    </row>
    <row r="46" spans="3:11" ht="19.5" hidden="1" customHeight="1" x14ac:dyDescent="0.2">
      <c r="C46" s="270">
        <f t="shared" si="4"/>
        <v>9</v>
      </c>
      <c r="D46" s="271"/>
      <c r="E46" s="23"/>
      <c r="F46" s="9"/>
      <c r="G46" s="8"/>
      <c r="H46" s="30"/>
      <c r="I46" s="33"/>
      <c r="J46" s="34"/>
      <c r="K46" s="33">
        <f t="shared" si="5"/>
        <v>0</v>
      </c>
    </row>
    <row r="47" spans="3:11" ht="19.5" hidden="1" customHeight="1" thickBot="1" x14ac:dyDescent="0.25">
      <c r="C47" s="270">
        <f t="shared" si="4"/>
        <v>10</v>
      </c>
      <c r="D47" s="271"/>
      <c r="E47" s="24"/>
      <c r="F47" s="9"/>
      <c r="G47" s="8"/>
      <c r="H47" s="30"/>
      <c r="I47" s="38"/>
      <c r="J47" s="34"/>
      <c r="K47" s="33">
        <f t="shared" si="5"/>
        <v>0</v>
      </c>
    </row>
    <row r="48" spans="3:11" s="21" customFormat="1" ht="19.5" hidden="1" customHeight="1" thickBot="1" x14ac:dyDescent="0.25">
      <c r="C48" s="193" t="s">
        <v>36</v>
      </c>
      <c r="D48" s="290"/>
      <c r="E48" s="291"/>
      <c r="F48" s="290"/>
      <c r="G48" s="290"/>
      <c r="H48" s="292"/>
      <c r="I48" s="157">
        <f>SUM(I38:I47)</f>
        <v>0</v>
      </c>
      <c r="J48" s="157">
        <f>SUM(J38:J47)</f>
        <v>0</v>
      </c>
      <c r="K48" s="157">
        <f>SUM(K38:K47)</f>
        <v>0</v>
      </c>
    </row>
    <row r="49" spans="3:11" s="21" customFormat="1" ht="19.5" hidden="1" customHeight="1" thickBot="1" x14ac:dyDescent="0.25">
      <c r="C49" s="254"/>
      <c r="D49" s="255"/>
      <c r="E49" s="255"/>
      <c r="F49" s="255"/>
      <c r="G49" s="255"/>
      <c r="H49" s="255"/>
      <c r="I49" s="255"/>
      <c r="J49" s="255"/>
      <c r="K49" s="255"/>
    </row>
    <row r="50" spans="3:11" s="21" customFormat="1" ht="19.5" hidden="1" customHeight="1" thickBot="1" x14ac:dyDescent="0.25">
      <c r="C50" s="256" t="s">
        <v>45</v>
      </c>
      <c r="D50" s="257"/>
      <c r="E50" s="257"/>
      <c r="F50" s="257"/>
      <c r="G50" s="257"/>
      <c r="H50" s="257"/>
      <c r="I50" s="257"/>
      <c r="J50" s="257"/>
      <c r="K50" s="258"/>
    </row>
    <row r="51" spans="3:11" ht="19.5" hidden="1" customHeight="1" x14ac:dyDescent="0.2">
      <c r="C51" s="293">
        <v>1</v>
      </c>
      <c r="D51" s="294"/>
      <c r="E51" s="43"/>
      <c r="F51" s="10"/>
      <c r="G51" s="8"/>
      <c r="H51" s="30"/>
      <c r="I51" s="35"/>
      <c r="J51" s="33"/>
      <c r="K51" s="33">
        <f>I51+J51</f>
        <v>0</v>
      </c>
    </row>
    <row r="52" spans="3:11" ht="19.5" hidden="1" customHeight="1" x14ac:dyDescent="0.2">
      <c r="C52" s="280">
        <f t="shared" ref="C52:C60" si="6">C51+1</f>
        <v>2</v>
      </c>
      <c r="D52" s="281"/>
      <c r="E52" s="43"/>
      <c r="F52" s="10"/>
      <c r="G52" s="8"/>
      <c r="H52" s="30"/>
      <c r="I52" s="33"/>
      <c r="J52" s="34"/>
      <c r="K52" s="33">
        <f t="shared" ref="K52:K60" si="7">I52+J52</f>
        <v>0</v>
      </c>
    </row>
    <row r="53" spans="3:11" ht="19.5" hidden="1" customHeight="1" x14ac:dyDescent="0.2">
      <c r="C53" s="280">
        <f t="shared" si="6"/>
        <v>3</v>
      </c>
      <c r="D53" s="281"/>
      <c r="E53" s="23"/>
      <c r="F53" s="10"/>
      <c r="G53" s="8"/>
      <c r="H53" s="30"/>
      <c r="I53" s="33"/>
      <c r="J53" s="34"/>
      <c r="K53" s="33">
        <f t="shared" si="7"/>
        <v>0</v>
      </c>
    </row>
    <row r="54" spans="3:11" ht="19.5" hidden="1" customHeight="1" x14ac:dyDescent="0.2">
      <c r="C54" s="280">
        <f>C53+1</f>
        <v>4</v>
      </c>
      <c r="D54" s="281"/>
      <c r="E54" s="23"/>
      <c r="F54" s="10"/>
      <c r="G54" s="8"/>
      <c r="H54" s="30"/>
      <c r="I54" s="33"/>
      <c r="J54" s="34"/>
      <c r="K54" s="33">
        <f t="shared" si="7"/>
        <v>0</v>
      </c>
    </row>
    <row r="55" spans="3:11" ht="19.5" hidden="1" customHeight="1" x14ac:dyDescent="0.2">
      <c r="C55" s="280">
        <f t="shared" si="6"/>
        <v>5</v>
      </c>
      <c r="D55" s="281"/>
      <c r="E55" s="23"/>
      <c r="F55" s="10"/>
      <c r="G55" s="8"/>
      <c r="H55" s="30"/>
      <c r="I55" s="33"/>
      <c r="J55" s="34"/>
      <c r="K55" s="33">
        <f t="shared" si="7"/>
        <v>0</v>
      </c>
    </row>
    <row r="56" spans="3:11" ht="19.5" hidden="1" customHeight="1" x14ac:dyDescent="0.2">
      <c r="C56" s="280">
        <f t="shared" si="6"/>
        <v>6</v>
      </c>
      <c r="D56" s="281"/>
      <c r="E56" s="23"/>
      <c r="F56" s="10"/>
      <c r="G56" s="8"/>
      <c r="H56" s="30"/>
      <c r="I56" s="33"/>
      <c r="J56" s="34"/>
      <c r="K56" s="33">
        <f t="shared" si="7"/>
        <v>0</v>
      </c>
    </row>
    <row r="57" spans="3:11" ht="19.5" hidden="1" customHeight="1" x14ac:dyDescent="0.2">
      <c r="C57" s="280">
        <f t="shared" si="6"/>
        <v>7</v>
      </c>
      <c r="D57" s="281"/>
      <c r="E57" s="23"/>
      <c r="F57" s="10"/>
      <c r="G57" s="8"/>
      <c r="H57" s="30"/>
      <c r="I57" s="33"/>
      <c r="J57" s="34"/>
      <c r="K57" s="33">
        <f t="shared" si="7"/>
        <v>0</v>
      </c>
    </row>
    <row r="58" spans="3:11" ht="19.5" hidden="1" customHeight="1" x14ac:dyDescent="0.2">
      <c r="C58" s="280">
        <f t="shared" si="6"/>
        <v>8</v>
      </c>
      <c r="D58" s="281"/>
      <c r="E58" s="23"/>
      <c r="F58" s="10"/>
      <c r="G58" s="8"/>
      <c r="H58" s="30"/>
      <c r="I58" s="33"/>
      <c r="J58" s="34"/>
      <c r="K58" s="33">
        <f t="shared" si="7"/>
        <v>0</v>
      </c>
    </row>
    <row r="59" spans="3:11" ht="19.5" hidden="1" customHeight="1" x14ac:dyDescent="0.2">
      <c r="C59" s="280">
        <f t="shared" si="6"/>
        <v>9</v>
      </c>
      <c r="D59" s="281"/>
      <c r="E59" s="23"/>
      <c r="F59" s="10"/>
      <c r="G59" s="8"/>
      <c r="H59" s="30"/>
      <c r="I59" s="33"/>
      <c r="J59" s="34"/>
      <c r="K59" s="33">
        <f t="shared" si="7"/>
        <v>0</v>
      </c>
    </row>
    <row r="60" spans="3:11" ht="19.5" hidden="1" customHeight="1" thickBot="1" x14ac:dyDescent="0.25">
      <c r="C60" s="280">
        <f t="shared" si="6"/>
        <v>10</v>
      </c>
      <c r="D60" s="281"/>
      <c r="E60" s="24"/>
      <c r="F60" s="10"/>
      <c r="G60" s="8"/>
      <c r="H60" s="30"/>
      <c r="I60" s="38"/>
      <c r="J60" s="34"/>
      <c r="K60" s="33">
        <f t="shared" si="7"/>
        <v>0</v>
      </c>
    </row>
    <row r="61" spans="3:11" s="21" customFormat="1" ht="19.5" hidden="1" customHeight="1" thickBot="1" x14ac:dyDescent="0.25">
      <c r="C61" s="193" t="s">
        <v>36</v>
      </c>
      <c r="D61" s="261"/>
      <c r="E61" s="261"/>
      <c r="F61" s="261"/>
      <c r="G61" s="261"/>
      <c r="H61" s="262"/>
      <c r="I61" s="157">
        <f>SUM(I51:I60)</f>
        <v>0</v>
      </c>
      <c r="J61" s="157">
        <f>SUM(J51:J60)</f>
        <v>0</v>
      </c>
      <c r="K61" s="157">
        <f>SUM(K51:K60)</f>
        <v>0</v>
      </c>
    </row>
    <row r="62" spans="3:11" s="21" customFormat="1" ht="19.5" hidden="1" customHeight="1" thickBot="1" x14ac:dyDescent="0.25">
      <c r="C62" s="254"/>
      <c r="D62" s="255"/>
      <c r="E62" s="255"/>
      <c r="F62" s="255"/>
      <c r="G62" s="255"/>
      <c r="H62" s="255"/>
      <c r="I62" s="255"/>
      <c r="J62" s="255"/>
      <c r="K62" s="255"/>
    </row>
    <row r="63" spans="3:11" s="21" customFormat="1" ht="19.5" hidden="1" customHeight="1" thickBot="1" x14ac:dyDescent="0.25">
      <c r="C63" s="256" t="s">
        <v>126</v>
      </c>
      <c r="D63" s="263"/>
      <c r="E63" s="263"/>
      <c r="F63" s="263"/>
      <c r="G63" s="263"/>
      <c r="H63" s="263"/>
      <c r="I63" s="263"/>
      <c r="J63" s="263"/>
      <c r="K63" s="264"/>
    </row>
    <row r="64" spans="3:11" s="21" customFormat="1" ht="19.5" hidden="1" customHeight="1" thickBot="1" x14ac:dyDescent="0.25">
      <c r="C64" s="259" t="s">
        <v>46</v>
      </c>
      <c r="D64" s="260"/>
      <c r="E64" s="83"/>
      <c r="F64" s="84"/>
      <c r="G64" s="84"/>
      <c r="H64" s="84"/>
      <c r="I64" s="35"/>
      <c r="J64" s="33"/>
      <c r="K64" s="33">
        <f>I64+J64</f>
        <v>0</v>
      </c>
    </row>
    <row r="65" spans="3:11" s="21" customFormat="1" ht="19.5" hidden="1" customHeight="1" thickBot="1" x14ac:dyDescent="0.25">
      <c r="C65" s="259" t="s">
        <v>47</v>
      </c>
      <c r="D65" s="260"/>
      <c r="E65" s="85"/>
      <c r="F65" s="86"/>
      <c r="G65" s="86"/>
      <c r="H65" s="86"/>
      <c r="I65" s="33"/>
      <c r="J65" s="34"/>
      <c r="K65" s="33">
        <f t="shared" ref="K65:K73" si="8">I65+J65</f>
        <v>0</v>
      </c>
    </row>
    <row r="66" spans="3:11" s="21" customFormat="1" ht="19.5" hidden="1" customHeight="1" thickBot="1" x14ac:dyDescent="0.25">
      <c r="C66" s="259" t="s">
        <v>48</v>
      </c>
      <c r="D66" s="260"/>
      <c r="E66" s="85"/>
      <c r="F66" s="86"/>
      <c r="G66" s="86"/>
      <c r="H66" s="86"/>
      <c r="I66" s="33"/>
      <c r="J66" s="34"/>
      <c r="K66" s="33">
        <f t="shared" si="8"/>
        <v>0</v>
      </c>
    </row>
    <row r="67" spans="3:11" s="21" customFormat="1" ht="19.5" hidden="1" customHeight="1" thickBot="1" x14ac:dyDescent="0.25">
      <c r="C67" s="259" t="s">
        <v>49</v>
      </c>
      <c r="D67" s="260"/>
      <c r="E67" s="85"/>
      <c r="F67" s="86"/>
      <c r="G67" s="86"/>
      <c r="H67" s="86"/>
      <c r="I67" s="33"/>
      <c r="J67" s="34"/>
      <c r="K67" s="33">
        <f t="shared" si="8"/>
        <v>0</v>
      </c>
    </row>
    <row r="68" spans="3:11" s="21" customFormat="1" ht="19.5" hidden="1" customHeight="1" thickBot="1" x14ac:dyDescent="0.25">
      <c r="C68" s="259" t="s">
        <v>50</v>
      </c>
      <c r="D68" s="260"/>
      <c r="E68" s="85"/>
      <c r="F68" s="86"/>
      <c r="G68" s="86"/>
      <c r="H68" s="86"/>
      <c r="I68" s="33"/>
      <c r="J68" s="34"/>
      <c r="K68" s="33">
        <f t="shared" si="8"/>
        <v>0</v>
      </c>
    </row>
    <row r="69" spans="3:11" s="21" customFormat="1" ht="19.5" hidden="1" customHeight="1" thickBot="1" x14ac:dyDescent="0.25">
      <c r="C69" s="259" t="s">
        <v>51</v>
      </c>
      <c r="D69" s="260"/>
      <c r="E69" s="85"/>
      <c r="F69" s="86"/>
      <c r="G69" s="86"/>
      <c r="H69" s="86"/>
      <c r="I69" s="33"/>
      <c r="J69" s="34"/>
      <c r="K69" s="33">
        <f t="shared" si="8"/>
        <v>0</v>
      </c>
    </row>
    <row r="70" spans="3:11" s="21" customFormat="1" ht="19.5" hidden="1" customHeight="1" thickBot="1" x14ac:dyDescent="0.25">
      <c r="C70" s="259" t="s">
        <v>52</v>
      </c>
      <c r="D70" s="260"/>
      <c r="E70" s="85"/>
      <c r="F70" s="86"/>
      <c r="G70" s="86"/>
      <c r="H70" s="86"/>
      <c r="I70" s="33"/>
      <c r="J70" s="34"/>
      <c r="K70" s="33">
        <f t="shared" si="8"/>
        <v>0</v>
      </c>
    </row>
    <row r="71" spans="3:11" s="21" customFormat="1" ht="19.5" hidden="1" customHeight="1" thickBot="1" x14ac:dyDescent="0.25">
      <c r="C71" s="259" t="s">
        <v>53</v>
      </c>
      <c r="D71" s="260"/>
      <c r="E71" s="85"/>
      <c r="F71" s="86"/>
      <c r="G71" s="86"/>
      <c r="H71" s="86"/>
      <c r="I71" s="33"/>
      <c r="J71" s="34"/>
      <c r="K71" s="33">
        <f t="shared" si="8"/>
        <v>0</v>
      </c>
    </row>
    <row r="72" spans="3:11" s="21" customFormat="1" ht="19.5" hidden="1" customHeight="1" thickBot="1" x14ac:dyDescent="0.25">
      <c r="C72" s="259" t="s">
        <v>54</v>
      </c>
      <c r="D72" s="260"/>
      <c r="E72" s="85"/>
      <c r="F72" s="86"/>
      <c r="G72" s="86"/>
      <c r="H72" s="86"/>
      <c r="I72" s="33"/>
      <c r="J72" s="34"/>
      <c r="K72" s="33">
        <f t="shared" si="8"/>
        <v>0</v>
      </c>
    </row>
    <row r="73" spans="3:11" s="21" customFormat="1" ht="19.5" hidden="1" customHeight="1" thickBot="1" x14ac:dyDescent="0.25">
      <c r="C73" s="259" t="s">
        <v>55</v>
      </c>
      <c r="D73" s="260"/>
      <c r="E73" s="85"/>
      <c r="F73" s="86"/>
      <c r="G73" s="86"/>
      <c r="H73" s="86"/>
      <c r="I73" s="38"/>
      <c r="J73" s="34"/>
      <c r="K73" s="33">
        <f t="shared" si="8"/>
        <v>0</v>
      </c>
    </row>
    <row r="74" spans="3:11" s="21" customFormat="1" ht="19.5" hidden="1" customHeight="1" thickBot="1" x14ac:dyDescent="0.25">
      <c r="C74" s="193" t="s">
        <v>36</v>
      </c>
      <c r="D74" s="261"/>
      <c r="E74" s="261"/>
      <c r="F74" s="261"/>
      <c r="G74" s="261"/>
      <c r="H74" s="262"/>
      <c r="I74" s="157">
        <f>SUM(I64:I73)</f>
        <v>0</v>
      </c>
      <c r="J74" s="157">
        <f>SUM(J64:J73)</f>
        <v>0</v>
      </c>
      <c r="K74" s="157">
        <f>SUM(K64:K73)</f>
        <v>0</v>
      </c>
    </row>
    <row r="75" spans="3:11" s="21" customFormat="1" ht="19.5" customHeight="1" thickBot="1" x14ac:dyDescent="0.25">
      <c r="C75" s="254"/>
      <c r="D75" s="255"/>
      <c r="E75" s="255"/>
      <c r="F75" s="255"/>
      <c r="G75" s="255"/>
      <c r="H75" s="255"/>
      <c r="I75" s="255"/>
      <c r="J75" s="255"/>
      <c r="K75" s="255"/>
    </row>
    <row r="76" spans="3:11" ht="19.5" customHeight="1" thickBot="1" x14ac:dyDescent="0.25">
      <c r="C76" s="256" t="s">
        <v>66</v>
      </c>
      <c r="D76" s="257"/>
      <c r="E76" s="257"/>
      <c r="F76" s="257"/>
      <c r="G76" s="257"/>
      <c r="H76" s="257"/>
      <c r="I76" s="257"/>
      <c r="J76" s="257"/>
      <c r="K76" s="258"/>
    </row>
    <row r="77" spans="3:11" ht="19.5" customHeight="1" x14ac:dyDescent="0.2">
      <c r="C77" s="252" t="s">
        <v>56</v>
      </c>
      <c r="D77" s="253"/>
      <c r="E77" s="43" t="s">
        <v>158</v>
      </c>
      <c r="F77" s="27" t="s">
        <v>279</v>
      </c>
      <c r="G77" s="28">
        <v>44657</v>
      </c>
      <c r="H77" s="27" t="s">
        <v>280</v>
      </c>
      <c r="I77" s="35"/>
      <c r="J77" s="33">
        <v>11890.2</v>
      </c>
      <c r="K77" s="33">
        <f t="shared" ref="K77:K140" si="9">I77+J77</f>
        <v>11890.2</v>
      </c>
    </row>
    <row r="78" spans="3:11" ht="21.75" customHeight="1" x14ac:dyDescent="0.2">
      <c r="C78" s="252" t="s">
        <v>57</v>
      </c>
      <c r="D78" s="253"/>
      <c r="E78" s="43" t="s">
        <v>158</v>
      </c>
      <c r="F78" s="27" t="s">
        <v>281</v>
      </c>
      <c r="G78" s="28">
        <v>44630</v>
      </c>
      <c r="H78" s="191" t="s">
        <v>280</v>
      </c>
      <c r="I78" s="33"/>
      <c r="J78" s="33">
        <v>11890.2</v>
      </c>
      <c r="K78" s="33">
        <f t="shared" si="9"/>
        <v>11890.2</v>
      </c>
    </row>
    <row r="79" spans="3:11" ht="19.5" customHeight="1" x14ac:dyDescent="0.2">
      <c r="C79" s="252" t="s">
        <v>58</v>
      </c>
      <c r="D79" s="253"/>
      <c r="E79" s="43" t="s">
        <v>158</v>
      </c>
      <c r="F79" s="27" t="s">
        <v>282</v>
      </c>
      <c r="G79" s="28">
        <v>44602</v>
      </c>
      <c r="H79" s="27" t="s">
        <v>280</v>
      </c>
      <c r="I79" s="33"/>
      <c r="J79" s="33">
        <v>11890.2</v>
      </c>
      <c r="K79" s="33">
        <f t="shared" si="9"/>
        <v>11890.2</v>
      </c>
    </row>
    <row r="80" spans="3:11" ht="30" x14ac:dyDescent="0.2">
      <c r="C80" s="252" t="s">
        <v>59</v>
      </c>
      <c r="D80" s="253"/>
      <c r="E80" s="43" t="s">
        <v>275</v>
      </c>
      <c r="F80" s="27" t="s">
        <v>283</v>
      </c>
      <c r="G80" s="28">
        <v>44607</v>
      </c>
      <c r="H80" s="27" t="s">
        <v>284</v>
      </c>
      <c r="I80" s="33"/>
      <c r="J80" s="33">
        <v>22145.42</v>
      </c>
      <c r="K80" s="33">
        <f t="shared" si="9"/>
        <v>22145.42</v>
      </c>
    </row>
    <row r="81" spans="3:11" ht="30" x14ac:dyDescent="0.2">
      <c r="C81" s="252" t="s">
        <v>60</v>
      </c>
      <c r="D81" s="253"/>
      <c r="E81" s="43" t="s">
        <v>275</v>
      </c>
      <c r="F81" s="27" t="s">
        <v>285</v>
      </c>
      <c r="G81" s="28">
        <v>44637</v>
      </c>
      <c r="H81" s="27" t="s">
        <v>286</v>
      </c>
      <c r="I81" s="33"/>
      <c r="J81" s="33">
        <v>22145.42</v>
      </c>
      <c r="K81" s="33">
        <f t="shared" si="9"/>
        <v>22145.42</v>
      </c>
    </row>
    <row r="82" spans="3:11" ht="30" x14ac:dyDescent="0.2">
      <c r="C82" s="252" t="s">
        <v>61</v>
      </c>
      <c r="D82" s="253"/>
      <c r="E82" s="43" t="s">
        <v>275</v>
      </c>
      <c r="F82" s="27" t="s">
        <v>287</v>
      </c>
      <c r="G82" s="28">
        <v>44698</v>
      </c>
      <c r="H82" s="27" t="s">
        <v>288</v>
      </c>
      <c r="I82" s="33"/>
      <c r="J82" s="33">
        <v>52133.26</v>
      </c>
      <c r="K82" s="33">
        <f t="shared" si="9"/>
        <v>52133.26</v>
      </c>
    </row>
    <row r="83" spans="3:11" ht="30" x14ac:dyDescent="0.2">
      <c r="C83" s="252" t="s">
        <v>62</v>
      </c>
      <c r="D83" s="253"/>
      <c r="E83" s="43" t="s">
        <v>275</v>
      </c>
      <c r="F83" s="27" t="s">
        <v>289</v>
      </c>
      <c r="G83" s="28">
        <v>44732</v>
      </c>
      <c r="H83" s="27" t="s">
        <v>290</v>
      </c>
      <c r="I83" s="33"/>
      <c r="J83" s="33">
        <v>52133.26</v>
      </c>
      <c r="K83" s="33">
        <f t="shared" si="9"/>
        <v>52133.26</v>
      </c>
    </row>
    <row r="84" spans="3:11" ht="30" x14ac:dyDescent="0.2">
      <c r="C84" s="252" t="s">
        <v>63</v>
      </c>
      <c r="D84" s="253"/>
      <c r="E84" s="43" t="s">
        <v>275</v>
      </c>
      <c r="F84" s="27" t="s">
        <v>291</v>
      </c>
      <c r="G84" s="28">
        <v>44747</v>
      </c>
      <c r="H84" s="27" t="s">
        <v>292</v>
      </c>
      <c r="I84" s="33"/>
      <c r="J84" s="33">
        <v>52133.47</v>
      </c>
      <c r="K84" s="33">
        <f t="shared" si="9"/>
        <v>52133.47</v>
      </c>
    </row>
    <row r="85" spans="3:11" ht="19.5" customHeight="1" x14ac:dyDescent="0.2">
      <c r="C85" s="252" t="s">
        <v>64</v>
      </c>
      <c r="D85" s="253"/>
      <c r="E85" s="43" t="s">
        <v>269</v>
      </c>
      <c r="F85" s="27" t="s">
        <v>293</v>
      </c>
      <c r="G85" s="28">
        <v>44784</v>
      </c>
      <c r="H85" s="27" t="s">
        <v>294</v>
      </c>
      <c r="I85" s="33"/>
      <c r="J85" s="33">
        <v>57897.74</v>
      </c>
      <c r="K85" s="33">
        <f t="shared" si="9"/>
        <v>57897.74</v>
      </c>
    </row>
    <row r="86" spans="3:11" ht="30" x14ac:dyDescent="0.2">
      <c r="C86" s="252" t="s">
        <v>65</v>
      </c>
      <c r="D86" s="253"/>
      <c r="E86" s="43" t="s">
        <v>275</v>
      </c>
      <c r="F86" s="27" t="s">
        <v>295</v>
      </c>
      <c r="G86" s="28">
        <v>44790</v>
      </c>
      <c r="H86" s="27" t="s">
        <v>296</v>
      </c>
      <c r="I86" s="33"/>
      <c r="J86" s="33">
        <v>13320.89</v>
      </c>
      <c r="K86" s="33">
        <f t="shared" si="9"/>
        <v>13320.89</v>
      </c>
    </row>
    <row r="87" spans="3:11" ht="30" x14ac:dyDescent="0.2">
      <c r="C87" s="252" t="s">
        <v>160</v>
      </c>
      <c r="D87" s="253"/>
      <c r="E87" s="43" t="s">
        <v>275</v>
      </c>
      <c r="F87" s="27" t="s">
        <v>297</v>
      </c>
      <c r="G87" s="28">
        <v>44790</v>
      </c>
      <c r="H87" s="27" t="s">
        <v>298</v>
      </c>
      <c r="I87" s="33"/>
      <c r="J87" s="33">
        <v>10979.81</v>
      </c>
      <c r="K87" s="33">
        <f t="shared" si="9"/>
        <v>10979.81</v>
      </c>
    </row>
    <row r="88" spans="3:11" ht="30" x14ac:dyDescent="0.2">
      <c r="C88" s="252" t="s">
        <v>161</v>
      </c>
      <c r="D88" s="253"/>
      <c r="E88" s="43" t="s">
        <v>275</v>
      </c>
      <c r="F88" s="27" t="s">
        <v>299</v>
      </c>
      <c r="G88" s="28">
        <v>44811</v>
      </c>
      <c r="H88" s="27" t="s">
        <v>300</v>
      </c>
      <c r="I88" s="33"/>
      <c r="J88" s="33">
        <v>40596.050000000003</v>
      </c>
      <c r="K88" s="33">
        <f t="shared" si="9"/>
        <v>40596.050000000003</v>
      </c>
    </row>
    <row r="89" spans="3:11" ht="19.5" customHeight="1" x14ac:dyDescent="0.2">
      <c r="C89" s="252" t="s">
        <v>162</v>
      </c>
      <c r="D89" s="253"/>
      <c r="E89" s="43" t="s">
        <v>269</v>
      </c>
      <c r="F89" s="27" t="s">
        <v>301</v>
      </c>
      <c r="G89" s="28">
        <v>44816</v>
      </c>
      <c r="H89" s="27" t="s">
        <v>294</v>
      </c>
      <c r="I89" s="33"/>
      <c r="J89" s="33">
        <v>57897.74</v>
      </c>
      <c r="K89" s="33">
        <f t="shared" si="9"/>
        <v>57897.74</v>
      </c>
    </row>
    <row r="90" spans="3:11" ht="30" x14ac:dyDescent="0.2">
      <c r="C90" s="252" t="s">
        <v>163</v>
      </c>
      <c r="D90" s="253"/>
      <c r="E90" s="43" t="s">
        <v>275</v>
      </c>
      <c r="F90" s="27" t="s">
        <v>302</v>
      </c>
      <c r="G90" s="28">
        <v>44817</v>
      </c>
      <c r="H90" s="191" t="s">
        <v>300</v>
      </c>
      <c r="I90" s="33"/>
      <c r="J90" s="33">
        <v>40596.050999999999</v>
      </c>
      <c r="K90" s="33">
        <f t="shared" si="9"/>
        <v>40596.050999999999</v>
      </c>
    </row>
    <row r="91" spans="3:11" ht="30" x14ac:dyDescent="0.2">
      <c r="C91" s="252" t="s">
        <v>164</v>
      </c>
      <c r="D91" s="253"/>
      <c r="E91" s="43" t="s">
        <v>275</v>
      </c>
      <c r="F91" s="27" t="s">
        <v>303</v>
      </c>
      <c r="G91" s="28">
        <v>44817</v>
      </c>
      <c r="H91" s="27" t="s">
        <v>304</v>
      </c>
      <c r="I91" s="33"/>
      <c r="J91" s="33">
        <v>9747.2800000000007</v>
      </c>
      <c r="K91" s="33">
        <f t="shared" si="9"/>
        <v>9747.2800000000007</v>
      </c>
    </row>
    <row r="92" spans="3:11" ht="30" x14ac:dyDescent="0.2">
      <c r="C92" s="252" t="s">
        <v>165</v>
      </c>
      <c r="D92" s="253"/>
      <c r="E92" s="43" t="s">
        <v>275</v>
      </c>
      <c r="F92" s="27" t="s">
        <v>305</v>
      </c>
      <c r="G92" s="28">
        <v>44818</v>
      </c>
      <c r="H92" s="191" t="s">
        <v>306</v>
      </c>
      <c r="I92" s="33"/>
      <c r="J92" s="33">
        <v>10979.81</v>
      </c>
      <c r="K92" s="33">
        <f t="shared" si="9"/>
        <v>10979.81</v>
      </c>
    </row>
    <row r="93" spans="3:11" ht="30" x14ac:dyDescent="0.2">
      <c r="C93" s="252" t="s">
        <v>166</v>
      </c>
      <c r="D93" s="253"/>
      <c r="E93" s="43" t="s">
        <v>275</v>
      </c>
      <c r="F93" s="27" t="s">
        <v>307</v>
      </c>
      <c r="G93" s="28">
        <v>44840</v>
      </c>
      <c r="H93" s="27" t="s">
        <v>308</v>
      </c>
      <c r="I93" s="33"/>
      <c r="J93" s="33">
        <v>26641.15</v>
      </c>
      <c r="K93" s="33">
        <f t="shared" si="9"/>
        <v>26641.15</v>
      </c>
    </row>
    <row r="94" spans="3:11" ht="19.5" customHeight="1" x14ac:dyDescent="0.2">
      <c r="C94" s="252" t="s">
        <v>167</v>
      </c>
      <c r="D94" s="253"/>
      <c r="E94" s="43" t="s">
        <v>269</v>
      </c>
      <c r="F94" s="27" t="s">
        <v>309</v>
      </c>
      <c r="G94" s="28">
        <v>44844</v>
      </c>
      <c r="H94" s="27" t="s">
        <v>294</v>
      </c>
      <c r="I94" s="33"/>
      <c r="J94" s="33">
        <v>57897.74</v>
      </c>
      <c r="K94" s="33">
        <f t="shared" si="9"/>
        <v>57897.74</v>
      </c>
    </row>
    <row r="95" spans="3:11" ht="30" x14ac:dyDescent="0.2">
      <c r="C95" s="252" t="s">
        <v>168</v>
      </c>
      <c r="D95" s="253"/>
      <c r="E95" s="43" t="s">
        <v>275</v>
      </c>
      <c r="F95" s="27" t="s">
        <v>310</v>
      </c>
      <c r="G95" s="28">
        <v>44861</v>
      </c>
      <c r="H95" s="27" t="s">
        <v>300</v>
      </c>
      <c r="I95" s="33"/>
      <c r="J95" s="33">
        <v>40595.839999999997</v>
      </c>
      <c r="K95" s="33">
        <f t="shared" si="9"/>
        <v>40595.839999999997</v>
      </c>
    </row>
    <row r="96" spans="3:11" ht="30" x14ac:dyDescent="0.2">
      <c r="C96" s="252" t="s">
        <v>169</v>
      </c>
      <c r="D96" s="253"/>
      <c r="E96" s="43" t="s">
        <v>275</v>
      </c>
      <c r="F96" s="27" t="s">
        <v>311</v>
      </c>
      <c r="G96" s="28">
        <v>44861</v>
      </c>
      <c r="H96" s="27" t="s">
        <v>306</v>
      </c>
      <c r="I96" s="33"/>
      <c r="J96" s="33">
        <v>10979.811</v>
      </c>
      <c r="K96" s="33">
        <f t="shared" si="9"/>
        <v>10979.811</v>
      </c>
    </row>
    <row r="97" spans="3:11" ht="15" x14ac:dyDescent="0.2">
      <c r="C97" s="252" t="s">
        <v>170</v>
      </c>
      <c r="D97" s="253"/>
      <c r="E97" s="43" t="s">
        <v>269</v>
      </c>
      <c r="F97" s="27" t="s">
        <v>312</v>
      </c>
      <c r="G97" s="28">
        <v>44875</v>
      </c>
      <c r="H97" s="27" t="s">
        <v>294</v>
      </c>
      <c r="I97" s="33"/>
      <c r="J97" s="33">
        <v>57897.74</v>
      </c>
      <c r="K97" s="33">
        <f t="shared" si="9"/>
        <v>57897.74</v>
      </c>
    </row>
    <row r="98" spans="3:11" ht="30" x14ac:dyDescent="0.2">
      <c r="C98" s="252" t="s">
        <v>171</v>
      </c>
      <c r="D98" s="253"/>
      <c r="E98" s="43" t="s">
        <v>275</v>
      </c>
      <c r="F98" s="27" t="s">
        <v>313</v>
      </c>
      <c r="G98" s="28">
        <v>44887</v>
      </c>
      <c r="H98" s="27" t="s">
        <v>314</v>
      </c>
      <c r="I98" s="33"/>
      <c r="J98" s="33">
        <v>48843.48</v>
      </c>
      <c r="K98" s="33">
        <f t="shared" si="9"/>
        <v>48843.48</v>
      </c>
    </row>
    <row r="99" spans="3:11" ht="30" x14ac:dyDescent="0.2">
      <c r="C99" s="252" t="s">
        <v>172</v>
      </c>
      <c r="D99" s="253"/>
      <c r="E99" s="43" t="s">
        <v>275</v>
      </c>
      <c r="F99" s="27" t="s">
        <v>315</v>
      </c>
      <c r="G99" s="28">
        <v>44886</v>
      </c>
      <c r="H99" s="27" t="s">
        <v>316</v>
      </c>
      <c r="I99" s="33"/>
      <c r="J99" s="33">
        <v>28886.661</v>
      </c>
      <c r="K99" s="33">
        <f t="shared" si="9"/>
        <v>28886.661</v>
      </c>
    </row>
    <row r="100" spans="3:11" ht="30" x14ac:dyDescent="0.2">
      <c r="C100" s="252" t="s">
        <v>173</v>
      </c>
      <c r="D100" s="253"/>
      <c r="E100" s="43" t="s">
        <v>275</v>
      </c>
      <c r="F100" s="27" t="s">
        <v>317</v>
      </c>
      <c r="G100" s="28" t="s">
        <v>318</v>
      </c>
      <c r="H100" s="27" t="s">
        <v>319</v>
      </c>
      <c r="I100" s="33"/>
      <c r="J100" s="33">
        <v>10357.700000000001</v>
      </c>
      <c r="K100" s="33">
        <f t="shared" si="9"/>
        <v>10357.700000000001</v>
      </c>
    </row>
    <row r="101" spans="3:11" ht="30" x14ac:dyDescent="0.2">
      <c r="C101" s="252" t="s">
        <v>174</v>
      </c>
      <c r="D101" s="253"/>
      <c r="E101" s="43" t="s">
        <v>275</v>
      </c>
      <c r="F101" s="27" t="s">
        <v>320</v>
      </c>
      <c r="G101" s="28" t="s">
        <v>321</v>
      </c>
      <c r="H101" s="27" t="s">
        <v>322</v>
      </c>
      <c r="I101" s="33"/>
      <c r="J101" s="33">
        <v>22145.15</v>
      </c>
      <c r="K101" s="33">
        <f t="shared" si="9"/>
        <v>22145.15</v>
      </c>
    </row>
    <row r="102" spans="3:11" ht="19.5" customHeight="1" x14ac:dyDescent="0.2">
      <c r="C102" s="252" t="s">
        <v>175</v>
      </c>
      <c r="D102" s="253"/>
      <c r="E102" s="43" t="s">
        <v>271</v>
      </c>
      <c r="F102" s="27" t="s">
        <v>323</v>
      </c>
      <c r="G102" s="28" t="s">
        <v>324</v>
      </c>
      <c r="H102" s="27" t="s">
        <v>325</v>
      </c>
      <c r="I102" s="33"/>
      <c r="J102" s="33">
        <v>12770.05</v>
      </c>
      <c r="K102" s="33">
        <f t="shared" si="9"/>
        <v>12770.05</v>
      </c>
    </row>
    <row r="103" spans="3:11" ht="19.5" customHeight="1" x14ac:dyDescent="0.2">
      <c r="C103" s="252" t="s">
        <v>176</v>
      </c>
      <c r="D103" s="253"/>
      <c r="E103" s="43" t="s">
        <v>269</v>
      </c>
      <c r="F103" s="27" t="s">
        <v>326</v>
      </c>
      <c r="G103" s="28" t="s">
        <v>327</v>
      </c>
      <c r="H103" s="27" t="s">
        <v>328</v>
      </c>
      <c r="I103" s="33"/>
      <c r="J103" s="33">
        <v>103764.28</v>
      </c>
      <c r="K103" s="33">
        <f t="shared" si="9"/>
        <v>103764.28</v>
      </c>
    </row>
    <row r="104" spans="3:11" ht="30" x14ac:dyDescent="0.2">
      <c r="C104" s="252" t="s">
        <v>177</v>
      </c>
      <c r="D104" s="253"/>
      <c r="E104" s="43" t="s">
        <v>273</v>
      </c>
      <c r="F104" s="27" t="s">
        <v>329</v>
      </c>
      <c r="G104" s="28" t="s">
        <v>330</v>
      </c>
      <c r="H104" s="27" t="s">
        <v>331</v>
      </c>
      <c r="I104" s="33"/>
      <c r="J104" s="33">
        <v>43000</v>
      </c>
      <c r="K104" s="33">
        <f t="shared" si="9"/>
        <v>43000</v>
      </c>
    </row>
    <row r="105" spans="3:11" ht="156.75" x14ac:dyDescent="0.2">
      <c r="C105" s="252" t="s">
        <v>178</v>
      </c>
      <c r="D105" s="253"/>
      <c r="E105" s="43" t="s">
        <v>158</v>
      </c>
      <c r="F105" s="27" t="s">
        <v>332</v>
      </c>
      <c r="G105" s="28" t="s">
        <v>333</v>
      </c>
      <c r="H105" s="191" t="s">
        <v>334</v>
      </c>
      <c r="I105" s="33"/>
      <c r="J105" s="33">
        <v>30127.65</v>
      </c>
      <c r="K105" s="33">
        <f t="shared" si="9"/>
        <v>30127.65</v>
      </c>
    </row>
    <row r="106" spans="3:11" ht="30" x14ac:dyDescent="0.2">
      <c r="C106" s="252" t="s">
        <v>179</v>
      </c>
      <c r="D106" s="253"/>
      <c r="E106" s="43" t="s">
        <v>273</v>
      </c>
      <c r="F106" s="27" t="s">
        <v>335</v>
      </c>
      <c r="G106" s="28" t="s">
        <v>336</v>
      </c>
      <c r="H106" s="27" t="s">
        <v>331</v>
      </c>
      <c r="I106" s="33"/>
      <c r="J106" s="33">
        <v>43000</v>
      </c>
      <c r="K106" s="33">
        <f t="shared" si="9"/>
        <v>43000</v>
      </c>
    </row>
    <row r="107" spans="3:11" ht="19.5" customHeight="1" x14ac:dyDescent="0.2">
      <c r="C107" s="252" t="s">
        <v>180</v>
      </c>
      <c r="D107" s="253"/>
      <c r="E107" s="43" t="s">
        <v>271</v>
      </c>
      <c r="F107" s="27" t="s">
        <v>337</v>
      </c>
      <c r="G107" s="28" t="s">
        <v>338</v>
      </c>
      <c r="H107" s="27" t="s">
        <v>325</v>
      </c>
      <c r="I107" s="33"/>
      <c r="J107" s="33">
        <v>12750.81</v>
      </c>
      <c r="K107" s="33">
        <f t="shared" si="9"/>
        <v>12750.81</v>
      </c>
    </row>
    <row r="108" spans="3:11" ht="71.25" x14ac:dyDescent="0.2">
      <c r="C108" s="252" t="s">
        <v>181</v>
      </c>
      <c r="D108" s="253"/>
      <c r="E108" s="43" t="s">
        <v>158</v>
      </c>
      <c r="F108" s="27" t="s">
        <v>339</v>
      </c>
      <c r="G108" s="28" t="s">
        <v>340</v>
      </c>
      <c r="H108" s="191" t="s">
        <v>341</v>
      </c>
      <c r="I108" s="33"/>
      <c r="J108" s="33">
        <v>8535.2000000000007</v>
      </c>
      <c r="K108" s="33">
        <f t="shared" si="9"/>
        <v>8535.2000000000007</v>
      </c>
    </row>
    <row r="109" spans="3:11" ht="30" x14ac:dyDescent="0.2">
      <c r="C109" s="252" t="s">
        <v>182</v>
      </c>
      <c r="D109" s="253"/>
      <c r="E109" s="43" t="s">
        <v>273</v>
      </c>
      <c r="F109" s="27" t="s">
        <v>342</v>
      </c>
      <c r="G109" s="28" t="s">
        <v>343</v>
      </c>
      <c r="H109" s="27" t="s">
        <v>331</v>
      </c>
      <c r="I109" s="33"/>
      <c r="J109" s="33">
        <v>43000</v>
      </c>
      <c r="K109" s="33">
        <f t="shared" si="9"/>
        <v>43000</v>
      </c>
    </row>
    <row r="110" spans="3:11" ht="30" x14ac:dyDescent="0.2">
      <c r="C110" s="252" t="s">
        <v>183</v>
      </c>
      <c r="D110" s="253"/>
      <c r="E110" s="43" t="s">
        <v>273</v>
      </c>
      <c r="F110" s="27" t="s">
        <v>344</v>
      </c>
      <c r="G110" s="28" t="s">
        <v>345</v>
      </c>
      <c r="H110" s="27" t="s">
        <v>331</v>
      </c>
      <c r="I110" s="33"/>
      <c r="J110" s="33">
        <v>43000</v>
      </c>
      <c r="K110" s="33">
        <f t="shared" si="9"/>
        <v>43000</v>
      </c>
    </row>
    <row r="111" spans="3:11" ht="71.25" x14ac:dyDescent="0.2">
      <c r="C111" s="252" t="s">
        <v>184</v>
      </c>
      <c r="D111" s="253"/>
      <c r="E111" s="43" t="s">
        <v>158</v>
      </c>
      <c r="F111" s="27" t="s">
        <v>346</v>
      </c>
      <c r="G111" s="28" t="s">
        <v>347</v>
      </c>
      <c r="H111" s="191" t="s">
        <v>341</v>
      </c>
      <c r="I111" s="33"/>
      <c r="J111" s="33">
        <v>8534.9699999999993</v>
      </c>
      <c r="K111" s="33">
        <f t="shared" si="9"/>
        <v>8534.9699999999993</v>
      </c>
    </row>
    <row r="112" spans="3:11" ht="30" x14ac:dyDescent="0.2">
      <c r="C112" s="252" t="s">
        <v>185</v>
      </c>
      <c r="D112" s="253"/>
      <c r="E112" s="43" t="s">
        <v>273</v>
      </c>
      <c r="F112" s="27" t="s">
        <v>348</v>
      </c>
      <c r="G112" s="28" t="s">
        <v>349</v>
      </c>
      <c r="H112" s="27" t="s">
        <v>331</v>
      </c>
      <c r="I112" s="33"/>
      <c r="J112" s="33">
        <v>43000</v>
      </c>
      <c r="K112" s="33">
        <f t="shared" si="9"/>
        <v>43000</v>
      </c>
    </row>
    <row r="113" spans="3:11" ht="19.5" customHeight="1" x14ac:dyDescent="0.2">
      <c r="C113" s="252" t="s">
        <v>186</v>
      </c>
      <c r="D113" s="253"/>
      <c r="E113" s="43" t="s">
        <v>271</v>
      </c>
      <c r="F113" s="27" t="s">
        <v>350</v>
      </c>
      <c r="G113" s="28" t="s">
        <v>351</v>
      </c>
      <c r="H113" s="27" t="s">
        <v>325</v>
      </c>
      <c r="I113" s="33"/>
      <c r="J113" s="33">
        <v>12834.4</v>
      </c>
      <c r="K113" s="33">
        <f t="shared" si="9"/>
        <v>12834.4</v>
      </c>
    </row>
    <row r="114" spans="3:11" ht="71.25" x14ac:dyDescent="0.2">
      <c r="C114" s="252" t="s">
        <v>187</v>
      </c>
      <c r="D114" s="253"/>
      <c r="E114" s="43" t="s">
        <v>158</v>
      </c>
      <c r="F114" s="27" t="s">
        <v>352</v>
      </c>
      <c r="G114" s="28" t="s">
        <v>353</v>
      </c>
      <c r="H114" s="191" t="s">
        <v>341</v>
      </c>
      <c r="I114" s="33"/>
      <c r="J114" s="33">
        <v>8534.9699999999993</v>
      </c>
      <c r="K114" s="33">
        <f t="shared" si="9"/>
        <v>8534.9699999999993</v>
      </c>
    </row>
    <row r="115" spans="3:11" ht="43.5" thickBot="1" x14ac:dyDescent="0.25">
      <c r="C115" s="252" t="s">
        <v>188</v>
      </c>
      <c r="D115" s="253"/>
      <c r="E115" s="43" t="s">
        <v>277</v>
      </c>
      <c r="F115" s="27" t="s">
        <v>354</v>
      </c>
      <c r="G115" s="28" t="s">
        <v>355</v>
      </c>
      <c r="H115" s="191" t="s">
        <v>356</v>
      </c>
      <c r="I115" s="33"/>
      <c r="J115" s="33">
        <v>97360</v>
      </c>
      <c r="K115" s="33">
        <f t="shared" si="9"/>
        <v>97360</v>
      </c>
    </row>
    <row r="116" spans="3:11" ht="19.5" hidden="1" customHeight="1" x14ac:dyDescent="0.2">
      <c r="C116" s="252" t="s">
        <v>189</v>
      </c>
      <c r="D116" s="253"/>
      <c r="E116" s="43"/>
      <c r="F116" s="27"/>
      <c r="G116" s="28"/>
      <c r="H116" s="27"/>
      <c r="I116" s="33"/>
      <c r="J116" s="33"/>
      <c r="K116" s="33">
        <f t="shared" si="9"/>
        <v>0</v>
      </c>
    </row>
    <row r="117" spans="3:11" ht="19.5" hidden="1" customHeight="1" x14ac:dyDescent="0.2">
      <c r="C117" s="252" t="s">
        <v>190</v>
      </c>
      <c r="D117" s="253"/>
      <c r="E117" s="43"/>
      <c r="F117" s="27"/>
      <c r="G117" s="28"/>
      <c r="H117" s="27"/>
      <c r="I117" s="33"/>
      <c r="J117" s="33"/>
      <c r="K117" s="33">
        <f t="shared" si="9"/>
        <v>0</v>
      </c>
    </row>
    <row r="118" spans="3:11" ht="19.5" hidden="1" customHeight="1" x14ac:dyDescent="0.2">
      <c r="C118" s="252" t="s">
        <v>191</v>
      </c>
      <c r="D118" s="253"/>
      <c r="E118" s="43"/>
      <c r="F118" s="27"/>
      <c r="G118" s="28"/>
      <c r="H118" s="27"/>
      <c r="I118" s="33"/>
      <c r="J118" s="33"/>
      <c r="K118" s="33">
        <f t="shared" si="9"/>
        <v>0</v>
      </c>
    </row>
    <row r="119" spans="3:11" ht="15" hidden="1" x14ac:dyDescent="0.2">
      <c r="C119" s="252" t="s">
        <v>192</v>
      </c>
      <c r="D119" s="253"/>
      <c r="E119" s="43"/>
      <c r="F119" s="27"/>
      <c r="G119" s="28"/>
      <c r="H119" s="27"/>
      <c r="I119" s="33"/>
      <c r="J119" s="33"/>
      <c r="K119" s="33">
        <f t="shared" si="9"/>
        <v>0</v>
      </c>
    </row>
    <row r="120" spans="3:11" ht="19.5" hidden="1" customHeight="1" x14ac:dyDescent="0.2">
      <c r="C120" s="252" t="s">
        <v>193</v>
      </c>
      <c r="D120" s="253"/>
      <c r="E120" s="43"/>
      <c r="F120" s="27"/>
      <c r="G120" s="28"/>
      <c r="H120" s="27"/>
      <c r="I120" s="33"/>
      <c r="J120" s="33"/>
      <c r="K120" s="33">
        <f t="shared" si="9"/>
        <v>0</v>
      </c>
    </row>
    <row r="121" spans="3:11" ht="19.5" hidden="1" customHeight="1" x14ac:dyDescent="0.2">
      <c r="C121" s="252" t="s">
        <v>194</v>
      </c>
      <c r="D121" s="253"/>
      <c r="E121" s="43"/>
      <c r="F121" s="27"/>
      <c r="G121" s="28"/>
      <c r="H121" s="27"/>
      <c r="I121" s="33"/>
      <c r="J121" s="33"/>
      <c r="K121" s="33">
        <f t="shared" si="9"/>
        <v>0</v>
      </c>
    </row>
    <row r="122" spans="3:11" ht="19.5" hidden="1" customHeight="1" x14ac:dyDescent="0.2">
      <c r="C122" s="252" t="s">
        <v>195</v>
      </c>
      <c r="D122" s="253"/>
      <c r="E122" s="43"/>
      <c r="F122" s="27"/>
      <c r="G122" s="28"/>
      <c r="H122" s="27"/>
      <c r="I122" s="33"/>
      <c r="J122" s="33"/>
      <c r="K122" s="33">
        <f t="shared" si="9"/>
        <v>0</v>
      </c>
    </row>
    <row r="123" spans="3:11" ht="19.5" hidden="1" customHeight="1" x14ac:dyDescent="0.2">
      <c r="C123" s="252" t="s">
        <v>196</v>
      </c>
      <c r="D123" s="253"/>
      <c r="E123" s="43"/>
      <c r="F123" s="27"/>
      <c r="G123" s="28"/>
      <c r="H123" s="27"/>
      <c r="I123" s="33"/>
      <c r="J123" s="33"/>
      <c r="K123" s="33">
        <f t="shared" si="9"/>
        <v>0</v>
      </c>
    </row>
    <row r="124" spans="3:11" ht="19.5" hidden="1" customHeight="1" x14ac:dyDescent="0.2">
      <c r="C124" s="252" t="s">
        <v>197</v>
      </c>
      <c r="D124" s="253"/>
      <c r="E124" s="43"/>
      <c r="F124" s="27"/>
      <c r="G124" s="28"/>
      <c r="H124" s="27"/>
      <c r="I124" s="33"/>
      <c r="J124" s="33"/>
      <c r="K124" s="33">
        <f t="shared" si="9"/>
        <v>0</v>
      </c>
    </row>
    <row r="125" spans="3:11" ht="19.5" hidden="1" customHeight="1" x14ac:dyDescent="0.2">
      <c r="C125" s="252" t="s">
        <v>198</v>
      </c>
      <c r="D125" s="253"/>
      <c r="E125" s="43"/>
      <c r="F125" s="27"/>
      <c r="G125" s="28"/>
      <c r="H125" s="27"/>
      <c r="I125" s="33"/>
      <c r="J125" s="33"/>
      <c r="K125" s="33">
        <f t="shared" si="9"/>
        <v>0</v>
      </c>
    </row>
    <row r="126" spans="3:11" ht="19.5" hidden="1" customHeight="1" x14ac:dyDescent="0.2">
      <c r="C126" s="252" t="s">
        <v>199</v>
      </c>
      <c r="D126" s="253"/>
      <c r="E126" s="43"/>
      <c r="F126" s="27"/>
      <c r="G126" s="28"/>
      <c r="H126" s="27"/>
      <c r="I126" s="33"/>
      <c r="J126" s="33"/>
      <c r="K126" s="33">
        <f t="shared" si="9"/>
        <v>0</v>
      </c>
    </row>
    <row r="127" spans="3:11" ht="15" hidden="1" x14ac:dyDescent="0.2">
      <c r="C127" s="252" t="s">
        <v>200</v>
      </c>
      <c r="D127" s="253"/>
      <c r="E127" s="43"/>
      <c r="F127" s="27"/>
      <c r="G127" s="28"/>
      <c r="H127" s="27"/>
      <c r="I127" s="33"/>
      <c r="J127" s="33"/>
      <c r="K127" s="33">
        <f t="shared" si="9"/>
        <v>0</v>
      </c>
    </row>
    <row r="128" spans="3:11" ht="19.5" hidden="1" customHeight="1" x14ac:dyDescent="0.2">
      <c r="C128" s="252" t="s">
        <v>201</v>
      </c>
      <c r="D128" s="253"/>
      <c r="E128" s="43"/>
      <c r="F128" s="27"/>
      <c r="G128" s="28"/>
      <c r="H128" s="27"/>
      <c r="I128" s="33"/>
      <c r="J128" s="33"/>
      <c r="K128" s="33">
        <f t="shared" si="9"/>
        <v>0</v>
      </c>
    </row>
    <row r="129" spans="3:11" ht="15" hidden="1" x14ac:dyDescent="0.2">
      <c r="C129" s="252" t="s">
        <v>202</v>
      </c>
      <c r="D129" s="253"/>
      <c r="E129" s="43"/>
      <c r="F129" s="27"/>
      <c r="G129" s="28"/>
      <c r="H129" s="191"/>
      <c r="I129" s="33"/>
      <c r="J129" s="33"/>
      <c r="K129" s="33">
        <f t="shared" si="9"/>
        <v>0</v>
      </c>
    </row>
    <row r="130" spans="3:11" ht="15" hidden="1" x14ac:dyDescent="0.2">
      <c r="C130" s="252" t="s">
        <v>203</v>
      </c>
      <c r="D130" s="253"/>
      <c r="E130" s="43"/>
      <c r="F130" s="27"/>
      <c r="G130" s="28"/>
      <c r="H130" s="27"/>
      <c r="I130" s="33"/>
      <c r="J130" s="33"/>
      <c r="K130" s="33">
        <f t="shared" si="9"/>
        <v>0</v>
      </c>
    </row>
    <row r="131" spans="3:11" ht="19.5" hidden="1" customHeight="1" x14ac:dyDescent="0.2">
      <c r="C131" s="252" t="s">
        <v>204</v>
      </c>
      <c r="D131" s="253"/>
      <c r="E131" s="43"/>
      <c r="F131" s="27"/>
      <c r="G131" s="28"/>
      <c r="H131" s="27"/>
      <c r="I131" s="33"/>
      <c r="J131" s="33"/>
      <c r="K131" s="33">
        <f t="shared" si="9"/>
        <v>0</v>
      </c>
    </row>
    <row r="132" spans="3:11" ht="19.5" hidden="1" customHeight="1" x14ac:dyDescent="0.2">
      <c r="C132" s="252" t="s">
        <v>205</v>
      </c>
      <c r="D132" s="253"/>
      <c r="E132" s="43"/>
      <c r="F132" s="27"/>
      <c r="G132" s="28"/>
      <c r="H132" s="27"/>
      <c r="I132" s="33"/>
      <c r="J132" s="33"/>
      <c r="K132" s="33">
        <f t="shared" si="9"/>
        <v>0</v>
      </c>
    </row>
    <row r="133" spans="3:11" ht="15" hidden="1" x14ac:dyDescent="0.2">
      <c r="C133" s="252" t="s">
        <v>206</v>
      </c>
      <c r="D133" s="253"/>
      <c r="E133" s="43"/>
      <c r="F133" s="27"/>
      <c r="G133" s="28"/>
      <c r="H133" s="27"/>
      <c r="I133" s="33"/>
      <c r="J133" s="33"/>
      <c r="K133" s="33">
        <f t="shared" si="9"/>
        <v>0</v>
      </c>
    </row>
    <row r="134" spans="3:11" ht="15" hidden="1" x14ac:dyDescent="0.2">
      <c r="C134" s="252" t="s">
        <v>207</v>
      </c>
      <c r="D134" s="253"/>
      <c r="E134" s="43"/>
      <c r="F134" s="27"/>
      <c r="G134" s="28"/>
      <c r="H134" s="27"/>
      <c r="I134" s="33"/>
      <c r="J134" s="33"/>
      <c r="K134" s="33">
        <f t="shared" si="9"/>
        <v>0</v>
      </c>
    </row>
    <row r="135" spans="3:11" ht="15" hidden="1" x14ac:dyDescent="0.2">
      <c r="C135" s="252" t="s">
        <v>208</v>
      </c>
      <c r="D135" s="253"/>
      <c r="E135" s="43"/>
      <c r="F135" s="27"/>
      <c r="G135" s="28"/>
      <c r="H135" s="27"/>
      <c r="I135" s="33"/>
      <c r="J135" s="33"/>
      <c r="K135" s="33">
        <f t="shared" si="9"/>
        <v>0</v>
      </c>
    </row>
    <row r="136" spans="3:11" ht="15" hidden="1" x14ac:dyDescent="0.2">
      <c r="C136" s="252" t="s">
        <v>209</v>
      </c>
      <c r="D136" s="253"/>
      <c r="E136" s="43"/>
      <c r="F136" s="27"/>
      <c r="G136" s="28"/>
      <c r="H136" s="191"/>
      <c r="I136" s="33"/>
      <c r="J136" s="33"/>
      <c r="K136" s="33">
        <f t="shared" si="9"/>
        <v>0</v>
      </c>
    </row>
    <row r="137" spans="3:11" ht="19.5" hidden="1" customHeight="1" x14ac:dyDescent="0.2">
      <c r="C137" s="252" t="s">
        <v>210</v>
      </c>
      <c r="D137" s="253"/>
      <c r="E137" s="43"/>
      <c r="F137" s="27"/>
      <c r="G137" s="28"/>
      <c r="H137" s="27"/>
      <c r="I137" s="33"/>
      <c r="J137" s="33"/>
      <c r="K137" s="33">
        <f t="shared" si="9"/>
        <v>0</v>
      </c>
    </row>
    <row r="138" spans="3:11" ht="15" hidden="1" x14ac:dyDescent="0.2">
      <c r="C138" s="252" t="s">
        <v>211</v>
      </c>
      <c r="D138" s="253"/>
      <c r="E138" s="43"/>
      <c r="F138" s="27"/>
      <c r="G138" s="28"/>
      <c r="H138" s="27"/>
      <c r="I138" s="33"/>
      <c r="J138" s="33"/>
      <c r="K138" s="33">
        <f t="shared" si="9"/>
        <v>0</v>
      </c>
    </row>
    <row r="139" spans="3:11" ht="19.5" hidden="1" customHeight="1" x14ac:dyDescent="0.2">
      <c r="C139" s="252" t="s">
        <v>212</v>
      </c>
      <c r="D139" s="253"/>
      <c r="E139" s="43"/>
      <c r="F139" s="27"/>
      <c r="G139" s="28"/>
      <c r="H139" s="27"/>
      <c r="I139" s="33"/>
      <c r="J139" s="33"/>
      <c r="K139" s="33">
        <f t="shared" si="9"/>
        <v>0</v>
      </c>
    </row>
    <row r="140" spans="3:11" ht="15" hidden="1" x14ac:dyDescent="0.2">
      <c r="C140" s="252" t="s">
        <v>213</v>
      </c>
      <c r="D140" s="253"/>
      <c r="E140" s="43"/>
      <c r="F140" s="27"/>
      <c r="G140" s="28"/>
      <c r="H140" s="27"/>
      <c r="I140" s="33"/>
      <c r="J140" s="33"/>
      <c r="K140" s="33">
        <f t="shared" si="9"/>
        <v>0</v>
      </c>
    </row>
    <row r="141" spans="3:11" ht="15" hidden="1" x14ac:dyDescent="0.2">
      <c r="C141" s="252" t="s">
        <v>214</v>
      </c>
      <c r="D141" s="253"/>
      <c r="E141" s="43"/>
      <c r="F141" s="27"/>
      <c r="G141" s="28"/>
      <c r="H141" s="27"/>
      <c r="I141" s="33"/>
      <c r="J141" s="33"/>
      <c r="K141" s="33">
        <f t="shared" ref="K141:K167" si="10">I141+J141</f>
        <v>0</v>
      </c>
    </row>
    <row r="142" spans="3:11" ht="15" hidden="1" x14ac:dyDescent="0.2">
      <c r="C142" s="252" t="s">
        <v>215</v>
      </c>
      <c r="D142" s="253"/>
      <c r="E142" s="43"/>
      <c r="F142" s="27"/>
      <c r="G142" s="28"/>
      <c r="H142" s="191"/>
      <c r="I142" s="33"/>
      <c r="J142" s="33"/>
      <c r="K142" s="33">
        <f t="shared" si="10"/>
        <v>0</v>
      </c>
    </row>
    <row r="143" spans="3:11" ht="15" hidden="1" x14ac:dyDescent="0.2">
      <c r="C143" s="252" t="s">
        <v>216</v>
      </c>
      <c r="D143" s="253"/>
      <c r="E143" s="43"/>
      <c r="F143" s="27"/>
      <c r="G143" s="28"/>
      <c r="H143" s="27"/>
      <c r="I143" s="33"/>
      <c r="J143" s="33"/>
      <c r="K143" s="33">
        <f t="shared" si="10"/>
        <v>0</v>
      </c>
    </row>
    <row r="144" spans="3:11" ht="15" hidden="1" x14ac:dyDescent="0.2">
      <c r="C144" s="252" t="s">
        <v>217</v>
      </c>
      <c r="D144" s="253"/>
      <c r="E144" s="43"/>
      <c r="F144" s="27"/>
      <c r="G144" s="28"/>
      <c r="H144" s="27"/>
      <c r="I144" s="33"/>
      <c r="J144" s="33"/>
      <c r="K144" s="33">
        <f t="shared" si="10"/>
        <v>0</v>
      </c>
    </row>
    <row r="145" spans="3:11" ht="15" hidden="1" x14ac:dyDescent="0.2">
      <c r="C145" s="252" t="s">
        <v>218</v>
      </c>
      <c r="D145" s="253"/>
      <c r="E145" s="43"/>
      <c r="F145" s="27"/>
      <c r="G145" s="28"/>
      <c r="H145" s="27"/>
      <c r="I145" s="33"/>
      <c r="J145" s="33"/>
      <c r="K145" s="33">
        <f t="shared" si="10"/>
        <v>0</v>
      </c>
    </row>
    <row r="146" spans="3:11" ht="15" hidden="1" x14ac:dyDescent="0.2">
      <c r="C146" s="252" t="s">
        <v>219</v>
      </c>
      <c r="D146" s="253"/>
      <c r="E146" s="43"/>
      <c r="F146" s="27"/>
      <c r="G146" s="28"/>
      <c r="H146" s="27"/>
      <c r="I146" s="33"/>
      <c r="J146" s="33"/>
      <c r="K146" s="33">
        <f t="shared" si="10"/>
        <v>0</v>
      </c>
    </row>
    <row r="147" spans="3:11" ht="19.5" hidden="1" customHeight="1" x14ac:dyDescent="0.2">
      <c r="C147" s="252" t="s">
        <v>220</v>
      </c>
      <c r="D147" s="253"/>
      <c r="E147" s="43"/>
      <c r="F147" s="27"/>
      <c r="G147" s="28"/>
      <c r="H147" s="27"/>
      <c r="I147" s="33"/>
      <c r="J147" s="33"/>
      <c r="K147" s="33">
        <f t="shared" si="10"/>
        <v>0</v>
      </c>
    </row>
    <row r="148" spans="3:11" ht="15" hidden="1" x14ac:dyDescent="0.2">
      <c r="C148" s="252" t="s">
        <v>221</v>
      </c>
      <c r="D148" s="253"/>
      <c r="E148" s="43"/>
      <c r="F148" s="27"/>
      <c r="G148" s="28"/>
      <c r="H148" s="27"/>
      <c r="I148" s="33"/>
      <c r="J148" s="33"/>
      <c r="K148" s="33">
        <f t="shared" si="10"/>
        <v>0</v>
      </c>
    </row>
    <row r="149" spans="3:11" ht="15" hidden="1" x14ac:dyDescent="0.2">
      <c r="C149" s="252" t="s">
        <v>222</v>
      </c>
      <c r="D149" s="253"/>
      <c r="E149" s="43"/>
      <c r="F149" s="27"/>
      <c r="G149" s="28"/>
      <c r="H149" s="27"/>
      <c r="I149" s="33"/>
      <c r="J149" s="33"/>
      <c r="K149" s="33">
        <f t="shared" si="10"/>
        <v>0</v>
      </c>
    </row>
    <row r="150" spans="3:11" ht="15" hidden="1" x14ac:dyDescent="0.2">
      <c r="C150" s="252" t="s">
        <v>223</v>
      </c>
      <c r="D150" s="253"/>
      <c r="E150" s="43"/>
      <c r="F150" s="27"/>
      <c r="G150" s="28"/>
      <c r="H150" s="27"/>
      <c r="I150" s="33"/>
      <c r="J150" s="33"/>
      <c r="K150" s="33">
        <f t="shared" si="10"/>
        <v>0</v>
      </c>
    </row>
    <row r="151" spans="3:11" ht="15" hidden="1" x14ac:dyDescent="0.2">
      <c r="C151" s="252" t="s">
        <v>224</v>
      </c>
      <c r="D151" s="253"/>
      <c r="E151" s="43"/>
      <c r="F151" s="27"/>
      <c r="G151" s="28"/>
      <c r="H151" s="27"/>
      <c r="I151" s="33"/>
      <c r="J151" s="33"/>
      <c r="K151" s="33">
        <f t="shared" si="10"/>
        <v>0</v>
      </c>
    </row>
    <row r="152" spans="3:11" ht="15" hidden="1" x14ac:dyDescent="0.2">
      <c r="C152" s="252" t="s">
        <v>225</v>
      </c>
      <c r="D152" s="253"/>
      <c r="E152" s="43"/>
      <c r="F152" s="27"/>
      <c r="G152" s="28"/>
      <c r="H152" s="27"/>
      <c r="I152" s="33"/>
      <c r="J152" s="33"/>
      <c r="K152" s="33">
        <f t="shared" si="10"/>
        <v>0</v>
      </c>
    </row>
    <row r="153" spans="3:11" ht="15" hidden="1" x14ac:dyDescent="0.2">
      <c r="C153" s="252" t="s">
        <v>226</v>
      </c>
      <c r="D153" s="253"/>
      <c r="E153" s="43"/>
      <c r="F153" s="27"/>
      <c r="G153" s="28"/>
      <c r="H153" s="27"/>
      <c r="I153" s="33"/>
      <c r="J153" s="33"/>
      <c r="K153" s="33">
        <f t="shared" si="10"/>
        <v>0</v>
      </c>
    </row>
    <row r="154" spans="3:11" ht="15" hidden="1" x14ac:dyDescent="0.2">
      <c r="C154" s="252" t="s">
        <v>227</v>
      </c>
      <c r="D154" s="253"/>
      <c r="E154" s="43"/>
      <c r="F154" s="27"/>
      <c r="G154" s="28"/>
      <c r="H154" s="27"/>
      <c r="I154" s="33"/>
      <c r="J154" s="33"/>
      <c r="K154" s="33">
        <f t="shared" si="10"/>
        <v>0</v>
      </c>
    </row>
    <row r="155" spans="3:11" ht="23.25" hidden="1" customHeight="1" x14ac:dyDescent="0.2">
      <c r="C155" s="252" t="s">
        <v>228</v>
      </c>
      <c r="D155" s="253"/>
      <c r="E155" s="43"/>
      <c r="F155" s="27"/>
      <c r="G155" s="28"/>
      <c r="H155" s="27"/>
      <c r="I155" s="33"/>
      <c r="J155" s="33"/>
      <c r="K155" s="33">
        <f t="shared" si="10"/>
        <v>0</v>
      </c>
    </row>
    <row r="156" spans="3:11" ht="15" hidden="1" x14ac:dyDescent="0.2">
      <c r="C156" s="252" t="s">
        <v>229</v>
      </c>
      <c r="D156" s="253"/>
      <c r="E156" s="43"/>
      <c r="F156" s="27"/>
      <c r="G156" s="28"/>
      <c r="H156" s="27"/>
      <c r="I156" s="33"/>
      <c r="J156" s="33"/>
      <c r="K156" s="33">
        <f t="shared" si="10"/>
        <v>0</v>
      </c>
    </row>
    <row r="157" spans="3:11" ht="15" hidden="1" x14ac:dyDescent="0.2">
      <c r="C157" s="252" t="s">
        <v>230</v>
      </c>
      <c r="D157" s="253"/>
      <c r="E157" s="43"/>
      <c r="F157" s="27"/>
      <c r="G157" s="28"/>
      <c r="H157" s="191"/>
      <c r="I157" s="33"/>
      <c r="J157" s="33"/>
      <c r="K157" s="33">
        <f t="shared" si="10"/>
        <v>0</v>
      </c>
    </row>
    <row r="158" spans="3:11" ht="15" hidden="1" x14ac:dyDescent="0.2">
      <c r="C158" s="252" t="s">
        <v>231</v>
      </c>
      <c r="D158" s="253"/>
      <c r="E158" s="43"/>
      <c r="F158" s="27"/>
      <c r="G158" s="28"/>
      <c r="H158" s="191"/>
      <c r="I158" s="33"/>
      <c r="J158" s="33"/>
      <c r="K158" s="33">
        <f t="shared" si="10"/>
        <v>0</v>
      </c>
    </row>
    <row r="159" spans="3:11" ht="15" hidden="1" x14ac:dyDescent="0.2">
      <c r="C159" s="252" t="s">
        <v>232</v>
      </c>
      <c r="D159" s="253"/>
      <c r="E159" s="43"/>
      <c r="F159" s="27"/>
      <c r="G159" s="28"/>
      <c r="H159" s="27"/>
      <c r="I159" s="33"/>
      <c r="J159" s="33"/>
      <c r="K159" s="33">
        <f t="shared" si="10"/>
        <v>0</v>
      </c>
    </row>
    <row r="160" spans="3:11" ht="15" hidden="1" x14ac:dyDescent="0.2">
      <c r="C160" s="252" t="s">
        <v>233</v>
      </c>
      <c r="D160" s="253"/>
      <c r="E160" s="43"/>
      <c r="F160" s="27"/>
      <c r="G160" s="28"/>
      <c r="H160" s="27"/>
      <c r="I160" s="33"/>
      <c r="J160" s="33"/>
      <c r="K160" s="33">
        <f t="shared" si="10"/>
        <v>0</v>
      </c>
    </row>
    <row r="161" spans="3:11" ht="15" hidden="1" x14ac:dyDescent="0.2">
      <c r="C161" s="252" t="s">
        <v>234</v>
      </c>
      <c r="D161" s="253"/>
      <c r="E161" s="43"/>
      <c r="F161" s="27"/>
      <c r="G161" s="28"/>
      <c r="H161" s="27"/>
      <c r="I161" s="33"/>
      <c r="J161" s="33"/>
      <c r="K161" s="33">
        <f t="shared" si="10"/>
        <v>0</v>
      </c>
    </row>
    <row r="162" spans="3:11" ht="15" hidden="1" x14ac:dyDescent="0.2">
      <c r="C162" s="252" t="s">
        <v>235</v>
      </c>
      <c r="D162" s="253"/>
      <c r="E162" s="43"/>
      <c r="F162" s="27"/>
      <c r="G162" s="28"/>
      <c r="H162" s="27"/>
      <c r="I162" s="33"/>
      <c r="J162" s="33"/>
      <c r="K162" s="33">
        <f t="shared" si="10"/>
        <v>0</v>
      </c>
    </row>
    <row r="163" spans="3:11" ht="15" hidden="1" x14ac:dyDescent="0.2">
      <c r="C163" s="252" t="s">
        <v>236</v>
      </c>
      <c r="D163" s="253"/>
      <c r="E163" s="43"/>
      <c r="F163" s="27"/>
      <c r="G163" s="28"/>
      <c r="H163" s="27"/>
      <c r="I163" s="33"/>
      <c r="J163" s="33"/>
      <c r="K163" s="33">
        <f t="shared" si="10"/>
        <v>0</v>
      </c>
    </row>
    <row r="164" spans="3:11" ht="15" hidden="1" x14ac:dyDescent="0.2">
      <c r="C164" s="252" t="s">
        <v>237</v>
      </c>
      <c r="D164" s="253"/>
      <c r="E164" s="43"/>
      <c r="F164" s="27"/>
      <c r="G164" s="28"/>
      <c r="H164" s="27"/>
      <c r="I164" s="33"/>
      <c r="J164" s="33"/>
      <c r="K164" s="33">
        <f t="shared" si="10"/>
        <v>0</v>
      </c>
    </row>
    <row r="165" spans="3:11" ht="15" hidden="1" x14ac:dyDescent="0.2">
      <c r="C165" s="252" t="s">
        <v>238</v>
      </c>
      <c r="D165" s="253"/>
      <c r="E165" s="43"/>
      <c r="F165" s="27"/>
      <c r="G165" s="28"/>
      <c r="H165" s="27"/>
      <c r="I165" s="33"/>
      <c r="J165" s="33"/>
      <c r="K165" s="33">
        <f t="shared" si="10"/>
        <v>0</v>
      </c>
    </row>
    <row r="166" spans="3:11" ht="15" hidden="1" x14ac:dyDescent="0.2">
      <c r="C166" s="252" t="s">
        <v>239</v>
      </c>
      <c r="D166" s="253"/>
      <c r="E166" s="43"/>
      <c r="F166" s="27"/>
      <c r="G166" s="28"/>
      <c r="H166" s="27"/>
      <c r="I166" s="33"/>
      <c r="J166" s="33"/>
      <c r="K166" s="33">
        <f t="shared" si="10"/>
        <v>0</v>
      </c>
    </row>
    <row r="167" spans="3:11" ht="15" hidden="1" x14ac:dyDescent="0.2">
      <c r="C167" s="252" t="s">
        <v>240</v>
      </c>
      <c r="D167" s="253"/>
      <c r="E167" s="43"/>
      <c r="F167" s="27"/>
      <c r="G167" s="28"/>
      <c r="H167" s="27"/>
      <c r="I167" s="33"/>
      <c r="J167" s="33"/>
      <c r="K167" s="33">
        <f t="shared" si="10"/>
        <v>0</v>
      </c>
    </row>
    <row r="168" spans="3:11" ht="15" hidden="1" x14ac:dyDescent="0.2">
      <c r="C168" s="252" t="s">
        <v>241</v>
      </c>
      <c r="D168" s="253"/>
      <c r="E168" s="43"/>
      <c r="F168" s="27"/>
      <c r="G168" s="28"/>
      <c r="H168" s="27"/>
      <c r="I168" s="33"/>
      <c r="J168" s="34"/>
      <c r="K168" s="33">
        <f t="shared" ref="K168:K184" si="11">I168+J168</f>
        <v>0</v>
      </c>
    </row>
    <row r="169" spans="3:11" ht="15" hidden="1" x14ac:dyDescent="0.2">
      <c r="C169" s="252" t="s">
        <v>242</v>
      </c>
      <c r="D169" s="253"/>
      <c r="E169" s="43"/>
      <c r="F169" s="27"/>
      <c r="G169" s="28"/>
      <c r="H169" s="27"/>
      <c r="I169" s="33"/>
      <c r="J169" s="34"/>
      <c r="K169" s="33">
        <f t="shared" si="11"/>
        <v>0</v>
      </c>
    </row>
    <row r="170" spans="3:11" ht="19.5" hidden="1" customHeight="1" x14ac:dyDescent="0.2">
      <c r="C170" s="252" t="s">
        <v>243</v>
      </c>
      <c r="D170" s="253"/>
      <c r="E170" s="43"/>
      <c r="F170" s="27"/>
      <c r="G170" s="28"/>
      <c r="H170" s="27"/>
      <c r="I170" s="33"/>
      <c r="J170" s="34"/>
      <c r="K170" s="33">
        <f t="shared" si="11"/>
        <v>0</v>
      </c>
    </row>
    <row r="171" spans="3:11" ht="15" hidden="1" x14ac:dyDescent="0.2">
      <c r="C171" s="252" t="s">
        <v>244</v>
      </c>
      <c r="D171" s="253"/>
      <c r="E171" s="43"/>
      <c r="F171" s="27"/>
      <c r="G171" s="28"/>
      <c r="H171" s="27"/>
      <c r="I171" s="33"/>
      <c r="J171" s="34"/>
      <c r="K171" s="33">
        <f t="shared" si="11"/>
        <v>0</v>
      </c>
    </row>
    <row r="172" spans="3:11" ht="15" hidden="1" x14ac:dyDescent="0.2">
      <c r="C172" s="252" t="s">
        <v>245</v>
      </c>
      <c r="D172" s="253"/>
      <c r="E172" s="43"/>
      <c r="F172" s="27"/>
      <c r="G172" s="28"/>
      <c r="H172" s="27"/>
      <c r="I172" s="33"/>
      <c r="J172" s="34"/>
      <c r="K172" s="33">
        <f t="shared" si="11"/>
        <v>0</v>
      </c>
    </row>
    <row r="173" spans="3:11" ht="19.5" hidden="1" customHeight="1" x14ac:dyDescent="0.2">
      <c r="C173" s="252" t="s">
        <v>246</v>
      </c>
      <c r="D173" s="253"/>
      <c r="E173" s="43"/>
      <c r="F173" s="27"/>
      <c r="G173" s="28"/>
      <c r="H173" s="27"/>
      <c r="I173" s="33"/>
      <c r="J173" s="34"/>
      <c r="K173" s="33">
        <f t="shared" si="11"/>
        <v>0</v>
      </c>
    </row>
    <row r="174" spans="3:11" ht="15" hidden="1" x14ac:dyDescent="0.2">
      <c r="C174" s="252" t="s">
        <v>247</v>
      </c>
      <c r="D174" s="253"/>
      <c r="E174" s="43"/>
      <c r="F174" s="27"/>
      <c r="G174" s="28"/>
      <c r="H174" s="27"/>
      <c r="I174" s="33"/>
      <c r="J174" s="34"/>
      <c r="K174" s="33">
        <f t="shared" si="11"/>
        <v>0</v>
      </c>
    </row>
    <row r="175" spans="3:11" ht="15" hidden="1" x14ac:dyDescent="0.2">
      <c r="C175" s="252" t="s">
        <v>248</v>
      </c>
      <c r="D175" s="253"/>
      <c r="E175" s="43"/>
      <c r="F175" s="27"/>
      <c r="G175" s="28"/>
      <c r="H175" s="27"/>
      <c r="I175" s="33"/>
      <c r="J175" s="34"/>
      <c r="K175" s="33">
        <f t="shared" si="11"/>
        <v>0</v>
      </c>
    </row>
    <row r="176" spans="3:11" ht="15" hidden="1" x14ac:dyDescent="0.2">
      <c r="C176" s="252" t="s">
        <v>249</v>
      </c>
      <c r="D176" s="253"/>
      <c r="E176" s="43"/>
      <c r="F176" s="27"/>
      <c r="G176" s="28"/>
      <c r="H176" s="27"/>
      <c r="I176" s="33"/>
      <c r="J176" s="34"/>
      <c r="K176" s="33">
        <f t="shared" si="11"/>
        <v>0</v>
      </c>
    </row>
    <row r="177" spans="3:11" ht="15" hidden="1" x14ac:dyDescent="0.2">
      <c r="C177" s="252" t="s">
        <v>250</v>
      </c>
      <c r="D177" s="253"/>
      <c r="E177" s="43"/>
      <c r="F177" s="27"/>
      <c r="G177" s="28"/>
      <c r="H177" s="27"/>
      <c r="I177" s="33"/>
      <c r="J177" s="34"/>
      <c r="K177" s="33">
        <f t="shared" si="11"/>
        <v>0</v>
      </c>
    </row>
    <row r="178" spans="3:11" ht="15" hidden="1" x14ac:dyDescent="0.2">
      <c r="C178" s="252" t="s">
        <v>251</v>
      </c>
      <c r="D178" s="253"/>
      <c r="E178" s="43"/>
      <c r="F178" s="27"/>
      <c r="G178" s="28"/>
      <c r="H178" s="27"/>
      <c r="I178" s="33"/>
      <c r="J178" s="34"/>
      <c r="K178" s="33">
        <f t="shared" si="11"/>
        <v>0</v>
      </c>
    </row>
    <row r="179" spans="3:11" ht="15" hidden="1" x14ac:dyDescent="0.2">
      <c r="C179" s="252" t="s">
        <v>252</v>
      </c>
      <c r="D179" s="253"/>
      <c r="E179" s="43"/>
      <c r="F179" s="27"/>
      <c r="G179" s="28"/>
      <c r="H179" s="27"/>
      <c r="I179" s="33"/>
      <c r="J179" s="34"/>
      <c r="K179" s="33">
        <f t="shared" si="11"/>
        <v>0</v>
      </c>
    </row>
    <row r="180" spans="3:11" ht="19.5" hidden="1" customHeight="1" x14ac:dyDescent="0.2">
      <c r="C180" s="252" t="s">
        <v>253</v>
      </c>
      <c r="D180" s="253"/>
      <c r="E180" s="43"/>
      <c r="F180" s="27"/>
      <c r="G180" s="28"/>
      <c r="H180" s="27"/>
      <c r="I180" s="33"/>
      <c r="J180" s="34"/>
      <c r="K180" s="33">
        <f t="shared" si="11"/>
        <v>0</v>
      </c>
    </row>
    <row r="181" spans="3:11" ht="19.5" hidden="1" customHeight="1" x14ac:dyDescent="0.2">
      <c r="C181" s="252" t="s">
        <v>254</v>
      </c>
      <c r="D181" s="253"/>
      <c r="E181" s="43"/>
      <c r="F181" s="27"/>
      <c r="G181" s="28"/>
      <c r="H181" s="27"/>
      <c r="I181" s="33"/>
      <c r="J181" s="34"/>
      <c r="K181" s="33">
        <f t="shared" si="11"/>
        <v>0</v>
      </c>
    </row>
    <row r="182" spans="3:11" ht="19.5" hidden="1" customHeight="1" x14ac:dyDescent="0.2">
      <c r="C182" s="252" t="s">
        <v>255</v>
      </c>
      <c r="D182" s="253"/>
      <c r="E182" s="43"/>
      <c r="F182" s="27"/>
      <c r="G182" s="28"/>
      <c r="H182" s="27"/>
      <c r="I182" s="33"/>
      <c r="J182" s="34"/>
      <c r="K182" s="33">
        <f t="shared" si="11"/>
        <v>0</v>
      </c>
    </row>
    <row r="183" spans="3:11" ht="19.5" hidden="1" customHeight="1" x14ac:dyDescent="0.2">
      <c r="C183" s="252" t="s">
        <v>256</v>
      </c>
      <c r="D183" s="253"/>
      <c r="E183" s="43"/>
      <c r="F183" s="27"/>
      <c r="G183" s="28"/>
      <c r="H183" s="27"/>
      <c r="I183" s="33"/>
      <c r="J183" s="34"/>
      <c r="K183" s="33">
        <f t="shared" si="11"/>
        <v>0</v>
      </c>
    </row>
    <row r="184" spans="3:11" ht="19.5" hidden="1" customHeight="1" thickBot="1" x14ac:dyDescent="0.25">
      <c r="C184" s="252" t="s">
        <v>257</v>
      </c>
      <c r="D184" s="253"/>
      <c r="E184" s="43"/>
      <c r="F184" s="27"/>
      <c r="G184" s="28"/>
      <c r="H184" s="27"/>
      <c r="I184" s="38"/>
      <c r="J184" s="34"/>
      <c r="K184" s="33">
        <f t="shared" si="11"/>
        <v>0</v>
      </c>
    </row>
    <row r="185" spans="3:11" ht="19.5" customHeight="1" thickBot="1" x14ac:dyDescent="0.25">
      <c r="C185" s="193" t="s">
        <v>36</v>
      </c>
      <c r="D185" s="261"/>
      <c r="E185" s="261"/>
      <c r="F185" s="261"/>
      <c r="G185" s="261"/>
      <c r="H185" s="262"/>
      <c r="I185" s="157">
        <f>SUM(I77:I184)</f>
        <v>0</v>
      </c>
      <c r="J185" s="157">
        <f>SUM(J77:J184)</f>
        <v>1292834.4029999999</v>
      </c>
      <c r="K185" s="157">
        <f>SUM(K77:K184)</f>
        <v>1292834.4029999999</v>
      </c>
    </row>
    <row r="186" spans="3:11" ht="19.5" hidden="1" customHeight="1" thickBot="1" x14ac:dyDescent="0.25">
      <c r="C186" s="254"/>
      <c r="D186" s="255"/>
      <c r="E186" s="255"/>
      <c r="F186" s="255"/>
      <c r="G186" s="255"/>
      <c r="H186" s="255"/>
      <c r="I186" s="255"/>
      <c r="J186" s="255"/>
      <c r="K186" s="255"/>
    </row>
    <row r="187" spans="3:11" ht="19.5" hidden="1" customHeight="1" thickBot="1" x14ac:dyDescent="0.25">
      <c r="C187" s="256" t="s">
        <v>28</v>
      </c>
      <c r="D187" s="257"/>
      <c r="E187" s="257"/>
      <c r="F187" s="257"/>
      <c r="G187" s="257"/>
      <c r="H187" s="257"/>
      <c r="I187" s="257"/>
      <c r="J187" s="257"/>
      <c r="K187" s="258"/>
    </row>
    <row r="188" spans="3:11" ht="19.5" hidden="1" customHeight="1" x14ac:dyDescent="0.2">
      <c r="C188" s="252" t="s">
        <v>67</v>
      </c>
      <c r="D188" s="253"/>
      <c r="E188" s="43"/>
      <c r="F188" s="27"/>
      <c r="G188" s="28"/>
      <c r="H188" s="27"/>
      <c r="I188" s="35"/>
      <c r="J188" s="33"/>
      <c r="K188" s="33">
        <f>I188+J188</f>
        <v>0</v>
      </c>
    </row>
    <row r="189" spans="3:11" ht="19.5" hidden="1" customHeight="1" x14ac:dyDescent="0.2">
      <c r="C189" s="252" t="s">
        <v>68</v>
      </c>
      <c r="D189" s="253"/>
      <c r="E189" s="43"/>
      <c r="F189" s="27"/>
      <c r="G189" s="28"/>
      <c r="H189" s="27"/>
      <c r="I189" s="33"/>
      <c r="J189" s="34"/>
      <c r="K189" s="33">
        <f t="shared" ref="K189:K197" si="12">I189+J189</f>
        <v>0</v>
      </c>
    </row>
    <row r="190" spans="3:11" ht="19.5" hidden="1" customHeight="1" x14ac:dyDescent="0.2">
      <c r="C190" s="252" t="s">
        <v>69</v>
      </c>
      <c r="D190" s="253"/>
      <c r="E190" s="43"/>
      <c r="F190" s="27"/>
      <c r="G190" s="28"/>
      <c r="H190" s="27"/>
      <c r="I190" s="33"/>
      <c r="J190" s="34"/>
      <c r="K190" s="33">
        <f t="shared" si="12"/>
        <v>0</v>
      </c>
    </row>
    <row r="191" spans="3:11" ht="19.5" hidden="1" customHeight="1" x14ac:dyDescent="0.2">
      <c r="C191" s="252" t="s">
        <v>70</v>
      </c>
      <c r="D191" s="253"/>
      <c r="E191" s="43"/>
      <c r="F191" s="27"/>
      <c r="G191" s="28"/>
      <c r="H191" s="27"/>
      <c r="I191" s="33"/>
      <c r="J191" s="34"/>
      <c r="K191" s="33">
        <f t="shared" si="12"/>
        <v>0</v>
      </c>
    </row>
    <row r="192" spans="3:11" ht="19.5" hidden="1" customHeight="1" x14ac:dyDescent="0.2">
      <c r="C192" s="252" t="s">
        <v>71</v>
      </c>
      <c r="D192" s="253"/>
      <c r="E192" s="43"/>
      <c r="F192" s="27"/>
      <c r="G192" s="28"/>
      <c r="H192" s="27"/>
      <c r="I192" s="33"/>
      <c r="J192" s="34"/>
      <c r="K192" s="33">
        <f t="shared" si="12"/>
        <v>0</v>
      </c>
    </row>
    <row r="193" spans="2:12" ht="19.5" hidden="1" customHeight="1" x14ac:dyDescent="0.2">
      <c r="C193" s="252" t="s">
        <v>72</v>
      </c>
      <c r="D193" s="253"/>
      <c r="E193" s="43"/>
      <c r="F193" s="27"/>
      <c r="G193" s="28"/>
      <c r="H193" s="27"/>
      <c r="I193" s="33"/>
      <c r="J193" s="34"/>
      <c r="K193" s="33">
        <f t="shared" si="12"/>
        <v>0</v>
      </c>
    </row>
    <row r="194" spans="2:12" ht="19.5" hidden="1" customHeight="1" x14ac:dyDescent="0.2">
      <c r="C194" s="252" t="s">
        <v>73</v>
      </c>
      <c r="D194" s="253"/>
      <c r="E194" s="43"/>
      <c r="F194" s="27"/>
      <c r="G194" s="28"/>
      <c r="H194" s="27"/>
      <c r="I194" s="33"/>
      <c r="J194" s="34"/>
      <c r="K194" s="33">
        <f t="shared" si="12"/>
        <v>0</v>
      </c>
    </row>
    <row r="195" spans="2:12" ht="19.5" hidden="1" customHeight="1" x14ac:dyDescent="0.2">
      <c r="C195" s="252" t="s">
        <v>74</v>
      </c>
      <c r="D195" s="253"/>
      <c r="E195" s="43"/>
      <c r="F195" s="27"/>
      <c r="G195" s="28"/>
      <c r="H195" s="27"/>
      <c r="I195" s="33"/>
      <c r="J195" s="34"/>
      <c r="K195" s="33">
        <f t="shared" si="12"/>
        <v>0</v>
      </c>
    </row>
    <row r="196" spans="2:12" ht="19.5" hidden="1" customHeight="1" x14ac:dyDescent="0.2">
      <c r="C196" s="252" t="s">
        <v>75</v>
      </c>
      <c r="D196" s="253"/>
      <c r="E196" s="43"/>
      <c r="F196" s="27"/>
      <c r="G196" s="28"/>
      <c r="H196" s="27"/>
      <c r="I196" s="33"/>
      <c r="J196" s="34"/>
      <c r="K196" s="33">
        <f t="shared" si="12"/>
        <v>0</v>
      </c>
    </row>
    <row r="197" spans="2:12" ht="19.5" hidden="1" customHeight="1" thickBot="1" x14ac:dyDescent="0.25">
      <c r="C197" s="252" t="s">
        <v>76</v>
      </c>
      <c r="D197" s="253"/>
      <c r="E197" s="43"/>
      <c r="F197" s="27"/>
      <c r="G197" s="28"/>
      <c r="H197" s="27"/>
      <c r="I197" s="38"/>
      <c r="J197" s="34"/>
      <c r="K197" s="33">
        <f t="shared" si="12"/>
        <v>0</v>
      </c>
    </row>
    <row r="198" spans="2:12" ht="19.5" hidden="1" customHeight="1" thickBot="1" x14ac:dyDescent="0.25">
      <c r="C198" s="193" t="s">
        <v>36</v>
      </c>
      <c r="D198" s="261"/>
      <c r="E198" s="261"/>
      <c r="F198" s="261"/>
      <c r="G198" s="261"/>
      <c r="H198" s="262"/>
      <c r="I198" s="157">
        <f>SUM(I188:I197)</f>
        <v>0</v>
      </c>
      <c r="J198" s="157">
        <f>SUM(J188:J197)</f>
        <v>0</v>
      </c>
      <c r="K198" s="157">
        <f>SUM(K188:K197)</f>
        <v>0</v>
      </c>
    </row>
    <row r="199" spans="2:12" ht="19.5" customHeight="1" thickBot="1" x14ac:dyDescent="0.25">
      <c r="C199" s="254"/>
      <c r="D199" s="255"/>
      <c r="E199" s="255"/>
      <c r="F199" s="255"/>
      <c r="G199" s="255"/>
      <c r="H199" s="255"/>
      <c r="I199" s="255"/>
      <c r="J199" s="255"/>
      <c r="K199" s="255"/>
    </row>
    <row r="200" spans="2:12" s="21" customFormat="1" ht="19.5" customHeight="1" thickBot="1" x14ac:dyDescent="0.25">
      <c r="C200" s="284" t="s">
        <v>29</v>
      </c>
      <c r="D200" s="285"/>
      <c r="E200" s="286"/>
      <c r="F200" s="286"/>
      <c r="G200" s="286"/>
      <c r="H200" s="287"/>
      <c r="I200" s="40">
        <f>I19+I32+I48+I61+I74+I185+I198</f>
        <v>0</v>
      </c>
      <c r="J200" s="40">
        <f>J19+J32+J48+J61+J74+J185+J198</f>
        <v>1547821.6129999999</v>
      </c>
      <c r="K200" s="40">
        <f>K19+K32+K48+K61+K74+K185+K198</f>
        <v>1547821.6129999999</v>
      </c>
    </row>
    <row r="201" spans="2:12" ht="6" customHeight="1" x14ac:dyDescent="0.2">
      <c r="B201" s="22"/>
      <c r="C201" s="22"/>
      <c r="D201" s="22"/>
      <c r="E201" s="22"/>
      <c r="F201" s="22"/>
      <c r="G201" s="22"/>
      <c r="H201" s="22"/>
      <c r="I201" s="22"/>
      <c r="J201" s="22"/>
      <c r="K201" s="22"/>
      <c r="L201" s="22"/>
    </row>
    <row r="202" spans="2:12" x14ac:dyDescent="0.2">
      <c r="C202" s="16"/>
      <c r="D202" s="16"/>
      <c r="E202" s="16"/>
      <c r="F202" s="16"/>
      <c r="G202" s="19"/>
      <c r="H202" s="16"/>
      <c r="I202" s="16"/>
      <c r="J202" s="16"/>
      <c r="K202" s="16"/>
    </row>
    <row r="203" spans="2:12" s="16" customFormat="1" hidden="1" x14ac:dyDescent="0.2">
      <c r="G203" s="19"/>
    </row>
    <row r="204" spans="2:12" s="16" customFormat="1" ht="15.75" hidden="1" x14ac:dyDescent="0.2">
      <c r="C204" s="96" t="s">
        <v>133</v>
      </c>
      <c r="G204" s="19"/>
    </row>
    <row r="205" spans="2:12" s="16" customFormat="1" ht="15" hidden="1" thickBot="1" x14ac:dyDescent="0.25">
      <c r="G205" s="19"/>
    </row>
    <row r="206" spans="2:12" s="21" customFormat="1" ht="32.25" hidden="1" customHeight="1" thickBot="1" x14ac:dyDescent="0.25">
      <c r="C206" s="282" t="s">
        <v>107</v>
      </c>
      <c r="D206" s="282"/>
      <c r="E206" s="282" t="s">
        <v>43</v>
      </c>
      <c r="F206" s="282" t="s">
        <v>44</v>
      </c>
      <c r="G206" s="282" t="s">
        <v>39</v>
      </c>
      <c r="H206" s="225" t="s">
        <v>30</v>
      </c>
      <c r="I206" s="266"/>
      <c r="J206" s="266"/>
      <c r="K206" s="288" t="s">
        <v>41</v>
      </c>
    </row>
    <row r="207" spans="2:12" s="21" customFormat="1" ht="30.75" hidden="1" customHeight="1" thickBot="1" x14ac:dyDescent="0.25">
      <c r="C207" s="283"/>
      <c r="D207" s="283"/>
      <c r="E207" s="283"/>
      <c r="F207" s="283"/>
      <c r="G207" s="283"/>
      <c r="H207" s="226"/>
      <c r="I207" s="267"/>
      <c r="J207" s="267"/>
      <c r="K207" s="289"/>
    </row>
    <row r="208" spans="2:12" s="20" customFormat="1" ht="17.25" hidden="1" customHeight="1" thickBot="1" x14ac:dyDescent="0.25">
      <c r="C208" s="254"/>
      <c r="D208" s="255"/>
      <c r="E208" s="255"/>
      <c r="F208" s="255"/>
      <c r="G208" s="255"/>
      <c r="H208" s="255"/>
      <c r="I208" s="255"/>
      <c r="J208" s="255"/>
      <c r="K208" s="255"/>
    </row>
    <row r="209" spans="3:11" s="20" customFormat="1" ht="17.25" hidden="1" customHeight="1" thickBot="1" x14ac:dyDescent="0.25">
      <c r="C209" s="256" t="s">
        <v>101</v>
      </c>
      <c r="D209" s="257"/>
      <c r="E209" s="257"/>
      <c r="F209" s="257"/>
      <c r="G209" s="257"/>
      <c r="H209" s="257"/>
      <c r="I209" s="257"/>
      <c r="J209" s="257"/>
      <c r="K209" s="258"/>
    </row>
    <row r="210" spans="3:11" ht="19.5" hidden="1" customHeight="1" x14ac:dyDescent="0.2">
      <c r="C210" s="278" t="s">
        <v>91</v>
      </c>
      <c r="D210" s="279"/>
      <c r="E210" s="25"/>
      <c r="F210" s="9"/>
      <c r="G210" s="8"/>
      <c r="H210" s="272"/>
      <c r="I210" s="273"/>
      <c r="J210" s="274"/>
      <c r="K210" s="33">
        <f>I210+J210</f>
        <v>0</v>
      </c>
    </row>
    <row r="211" spans="3:11" ht="19.5" hidden="1" customHeight="1" x14ac:dyDescent="0.2">
      <c r="C211" s="270" t="s">
        <v>92</v>
      </c>
      <c r="D211" s="271"/>
      <c r="E211" s="23"/>
      <c r="F211" s="9"/>
      <c r="G211" s="8"/>
      <c r="H211" s="268"/>
      <c r="I211" s="196"/>
      <c r="J211" s="269"/>
      <c r="K211" s="33">
        <f t="shared" ref="K211:K219" si="13">I211+J211</f>
        <v>0</v>
      </c>
    </row>
    <row r="212" spans="3:11" ht="19.5" hidden="1" customHeight="1" x14ac:dyDescent="0.2">
      <c r="C212" s="270" t="s">
        <v>93</v>
      </c>
      <c r="D212" s="271"/>
      <c r="E212" s="23"/>
      <c r="F212" s="9"/>
      <c r="G212" s="8"/>
      <c r="H212" s="268"/>
      <c r="I212" s="196"/>
      <c r="J212" s="269"/>
      <c r="K212" s="33">
        <f t="shared" si="13"/>
        <v>0</v>
      </c>
    </row>
    <row r="213" spans="3:11" ht="19.5" hidden="1" customHeight="1" x14ac:dyDescent="0.2">
      <c r="C213" s="270" t="s">
        <v>94</v>
      </c>
      <c r="D213" s="271"/>
      <c r="E213" s="23"/>
      <c r="F213" s="9"/>
      <c r="G213" s="8"/>
      <c r="H213" s="268"/>
      <c r="I213" s="196"/>
      <c r="J213" s="269"/>
      <c r="K213" s="33">
        <f t="shared" si="13"/>
        <v>0</v>
      </c>
    </row>
    <row r="214" spans="3:11" ht="19.5" hidden="1" customHeight="1" x14ac:dyDescent="0.2">
      <c r="C214" s="270" t="s">
        <v>95</v>
      </c>
      <c r="D214" s="271"/>
      <c r="E214" s="23"/>
      <c r="F214" s="9"/>
      <c r="G214" s="8"/>
      <c r="H214" s="268"/>
      <c r="I214" s="196"/>
      <c r="J214" s="269"/>
      <c r="K214" s="33">
        <f t="shared" si="13"/>
        <v>0</v>
      </c>
    </row>
    <row r="215" spans="3:11" ht="19.5" hidden="1" customHeight="1" x14ac:dyDescent="0.2">
      <c r="C215" s="270" t="s">
        <v>96</v>
      </c>
      <c r="D215" s="271"/>
      <c r="E215" s="23"/>
      <c r="F215" s="9"/>
      <c r="G215" s="8"/>
      <c r="H215" s="268"/>
      <c r="I215" s="196"/>
      <c r="J215" s="269"/>
      <c r="K215" s="33">
        <f t="shared" si="13"/>
        <v>0</v>
      </c>
    </row>
    <row r="216" spans="3:11" ht="19.5" hidden="1" customHeight="1" x14ac:dyDescent="0.2">
      <c r="C216" s="270" t="s">
        <v>97</v>
      </c>
      <c r="D216" s="271"/>
      <c r="E216" s="23"/>
      <c r="F216" s="9"/>
      <c r="G216" s="8"/>
      <c r="H216" s="268"/>
      <c r="I216" s="196"/>
      <c r="J216" s="269"/>
      <c r="K216" s="33">
        <f t="shared" si="13"/>
        <v>0</v>
      </c>
    </row>
    <row r="217" spans="3:11" ht="19.5" hidden="1" customHeight="1" x14ac:dyDescent="0.2">
      <c r="C217" s="270" t="s">
        <v>98</v>
      </c>
      <c r="D217" s="271"/>
      <c r="E217" s="23"/>
      <c r="F217" s="9"/>
      <c r="G217" s="8"/>
      <c r="H217" s="268"/>
      <c r="I217" s="196"/>
      <c r="J217" s="269"/>
      <c r="K217" s="33">
        <f t="shared" si="13"/>
        <v>0</v>
      </c>
    </row>
    <row r="218" spans="3:11" ht="19.5" hidden="1" customHeight="1" x14ac:dyDescent="0.2">
      <c r="C218" s="270" t="s">
        <v>99</v>
      </c>
      <c r="D218" s="271"/>
      <c r="E218" s="23"/>
      <c r="F218" s="9"/>
      <c r="G218" s="8"/>
      <c r="H218" s="268"/>
      <c r="I218" s="196"/>
      <c r="J218" s="269"/>
      <c r="K218" s="33">
        <f t="shared" si="13"/>
        <v>0</v>
      </c>
    </row>
    <row r="219" spans="3:11" ht="19.5" hidden="1" customHeight="1" thickBot="1" x14ac:dyDescent="0.25">
      <c r="C219" s="270" t="s">
        <v>100</v>
      </c>
      <c r="D219" s="271"/>
      <c r="E219" s="24"/>
      <c r="F219" s="9"/>
      <c r="G219" s="8"/>
      <c r="H219" s="275"/>
      <c r="I219" s="276"/>
      <c r="J219" s="277"/>
      <c r="K219" s="33">
        <f t="shared" si="13"/>
        <v>0</v>
      </c>
    </row>
    <row r="220" spans="3:11" s="21" customFormat="1" ht="19.5" hidden="1" customHeight="1" thickBot="1" x14ac:dyDescent="0.25">
      <c r="C220" s="193" t="s">
        <v>2</v>
      </c>
      <c r="D220" s="265"/>
      <c r="E220" s="265"/>
      <c r="F220" s="265"/>
      <c r="G220" s="265"/>
      <c r="H220" s="265"/>
      <c r="I220" s="265"/>
      <c r="J220" s="194"/>
      <c r="K220" s="157">
        <f>SUM(K210:K219)</f>
        <v>0</v>
      </c>
    </row>
    <row r="221" spans="3:11" s="16" customFormat="1" hidden="1" x14ac:dyDescent="0.2">
      <c r="G221" s="19"/>
    </row>
    <row r="222" spans="3:11" s="16" customFormat="1" x14ac:dyDescent="0.2">
      <c r="G222" s="19"/>
    </row>
    <row r="223" spans="3:11" s="16" customFormat="1" x14ac:dyDescent="0.2">
      <c r="G223" s="19"/>
    </row>
    <row r="224" spans="3:11" s="16" customFormat="1" x14ac:dyDescent="0.2">
      <c r="G224" s="19"/>
    </row>
    <row r="225" spans="7:7" s="16" customFormat="1" x14ac:dyDescent="0.2">
      <c r="G225" s="19"/>
    </row>
    <row r="226" spans="7:7" s="16" customFormat="1" x14ac:dyDescent="0.2">
      <c r="G226" s="19"/>
    </row>
    <row r="227" spans="7:7" s="16" customFormat="1" x14ac:dyDescent="0.2">
      <c r="G227" s="19"/>
    </row>
    <row r="228" spans="7:7" s="16" customFormat="1" x14ac:dyDescent="0.2">
      <c r="G228" s="19"/>
    </row>
    <row r="229" spans="7:7" s="16" customFormat="1" x14ac:dyDescent="0.2">
      <c r="G229" s="19"/>
    </row>
    <row r="230" spans="7:7" s="16" customFormat="1" x14ac:dyDescent="0.2">
      <c r="G230" s="19"/>
    </row>
    <row r="231" spans="7:7" s="16" customFormat="1" x14ac:dyDescent="0.2">
      <c r="G231" s="19"/>
    </row>
    <row r="232" spans="7:7" s="16" customFormat="1" x14ac:dyDescent="0.2">
      <c r="G232" s="19"/>
    </row>
    <row r="233" spans="7:7" s="16" customFormat="1" x14ac:dyDescent="0.2">
      <c r="G233" s="19"/>
    </row>
    <row r="234" spans="7:7" s="16" customFormat="1" x14ac:dyDescent="0.2">
      <c r="G234" s="19"/>
    </row>
    <row r="235" spans="7:7" s="16" customFormat="1" x14ac:dyDescent="0.2">
      <c r="G235" s="19"/>
    </row>
    <row r="236" spans="7:7" s="16" customFormat="1" x14ac:dyDescent="0.2">
      <c r="G236" s="19"/>
    </row>
    <row r="237" spans="7:7" s="16" customFormat="1" x14ac:dyDescent="0.2">
      <c r="G237" s="19"/>
    </row>
    <row r="238" spans="7:7" s="16" customFormat="1" x14ac:dyDescent="0.2">
      <c r="G238" s="19"/>
    </row>
    <row r="239" spans="7:7" s="16" customFormat="1" x14ac:dyDescent="0.2">
      <c r="G239" s="19"/>
    </row>
    <row r="240" spans="7:7" s="16" customFormat="1" x14ac:dyDescent="0.2">
      <c r="G240" s="19"/>
    </row>
    <row r="241" spans="7:7" s="16" customFormat="1" x14ac:dyDescent="0.2">
      <c r="G241" s="19"/>
    </row>
    <row r="242" spans="7:7" s="16" customFormat="1" x14ac:dyDescent="0.2">
      <c r="G242" s="19"/>
    </row>
    <row r="243" spans="7:7" s="16" customFormat="1" x14ac:dyDescent="0.2">
      <c r="G243" s="19"/>
    </row>
    <row r="244" spans="7:7" s="16" customFormat="1" x14ac:dyDescent="0.2">
      <c r="G244" s="19"/>
    </row>
    <row r="245" spans="7:7" s="16" customFormat="1" x14ac:dyDescent="0.2">
      <c r="G245" s="19"/>
    </row>
    <row r="246" spans="7:7" s="16" customFormat="1" x14ac:dyDescent="0.2">
      <c r="G246" s="19"/>
    </row>
  </sheetData>
  <sheetProtection insertRows="0"/>
  <protectedRanges>
    <protectedRange password="CC9E" sqref="A19:IV21 A32:IV37 A48:IV50 A61:IV63 A206:IV209 A220:IV220 A185:IV187 A198:B205 C198:C202 C204:C205 A221:C379 A74:IV76 E201:AO65630 D198:IV379 A1:IV8 A1:A65630 E4:AO199" name="Rango1"/>
  </protectedRanges>
  <mergeCells count="234">
    <mergeCell ref="F1:H1"/>
    <mergeCell ref="C16:D16"/>
    <mergeCell ref="C15:D15"/>
    <mergeCell ref="C22:D22"/>
    <mergeCell ref="C11:D11"/>
    <mergeCell ref="C12:D12"/>
    <mergeCell ref="C8:K8"/>
    <mergeCell ref="F5:F6"/>
    <mergeCell ref="G5:G6"/>
    <mergeCell ref="H5:H6"/>
    <mergeCell ref="E5:E6"/>
    <mergeCell ref="C5:D6"/>
    <mergeCell ref="C7:K7"/>
    <mergeCell ref="C24:D24"/>
    <mergeCell ref="I5:K5"/>
    <mergeCell ref="C26:D26"/>
    <mergeCell ref="C9:D9"/>
    <mergeCell ref="C10:D10"/>
    <mergeCell ref="C18:D18"/>
    <mergeCell ref="C17:D17"/>
    <mergeCell ref="C21:K21"/>
    <mergeCell ref="C20:K20"/>
    <mergeCell ref="C29:D29"/>
    <mergeCell ref="C25:D25"/>
    <mergeCell ref="C32:H32"/>
    <mergeCell ref="C19:H19"/>
    <mergeCell ref="C23:D23"/>
    <mergeCell ref="C28:D28"/>
    <mergeCell ref="C13:D13"/>
    <mergeCell ref="C14:D14"/>
    <mergeCell ref="C41:D41"/>
    <mergeCell ref="C36:K36"/>
    <mergeCell ref="C37:K37"/>
    <mergeCell ref="C38:D38"/>
    <mergeCell ref="C39:D39"/>
    <mergeCell ref="C40:D40"/>
    <mergeCell ref="C33:K33"/>
    <mergeCell ref="C34:D35"/>
    <mergeCell ref="E34:E35"/>
    <mergeCell ref="F34:F35"/>
    <mergeCell ref="G34:G35"/>
    <mergeCell ref="C31:D31"/>
    <mergeCell ref="C30:D30"/>
    <mergeCell ref="I34:K34"/>
    <mergeCell ref="H34:H35"/>
    <mergeCell ref="C27:D27"/>
    <mergeCell ref="C42:D42"/>
    <mergeCell ref="C43:D43"/>
    <mergeCell ref="C44:D44"/>
    <mergeCell ref="C180:D180"/>
    <mergeCell ref="C64:D64"/>
    <mergeCell ref="C65:D65"/>
    <mergeCell ref="C66:D66"/>
    <mergeCell ref="C68:D68"/>
    <mergeCell ref="C69:D69"/>
    <mergeCell ref="C49:K49"/>
    <mergeCell ref="C50:K50"/>
    <mergeCell ref="C45:D45"/>
    <mergeCell ref="C46:D46"/>
    <mergeCell ref="C52:D52"/>
    <mergeCell ref="C48:H48"/>
    <mergeCell ref="C47:D47"/>
    <mergeCell ref="C51:D51"/>
    <mergeCell ref="C53:D53"/>
    <mergeCell ref="C54:D54"/>
    <mergeCell ref="C55:D55"/>
    <mergeCell ref="C56:D56"/>
    <mergeCell ref="C70:D70"/>
    <mergeCell ref="C71:D71"/>
    <mergeCell ref="C72:D72"/>
    <mergeCell ref="C57:D57"/>
    <mergeCell ref="C58:D58"/>
    <mergeCell ref="G206:G207"/>
    <mergeCell ref="C197:D197"/>
    <mergeCell ref="C198:H198"/>
    <mergeCell ref="C199:K199"/>
    <mergeCell ref="C200:H200"/>
    <mergeCell ref="K206:K207"/>
    <mergeCell ref="C181:D181"/>
    <mergeCell ref="C182:D182"/>
    <mergeCell ref="C191:D191"/>
    <mergeCell ref="C185:H185"/>
    <mergeCell ref="C183:D183"/>
    <mergeCell ref="C186:K186"/>
    <mergeCell ref="C187:K187"/>
    <mergeCell ref="C188:D188"/>
    <mergeCell ref="C184:D184"/>
    <mergeCell ref="C67:D67"/>
    <mergeCell ref="C59:D59"/>
    <mergeCell ref="C60:D60"/>
    <mergeCell ref="C206:D207"/>
    <mergeCell ref="E206:E207"/>
    <mergeCell ref="F206:F207"/>
    <mergeCell ref="C193:D193"/>
    <mergeCell ref="C220:J220"/>
    <mergeCell ref="H206:J207"/>
    <mergeCell ref="H218:J218"/>
    <mergeCell ref="C215:D215"/>
    <mergeCell ref="C216:D216"/>
    <mergeCell ref="C218:D218"/>
    <mergeCell ref="C219:D219"/>
    <mergeCell ref="C208:K208"/>
    <mergeCell ref="C209:K209"/>
    <mergeCell ref="H210:J210"/>
    <mergeCell ref="H211:J211"/>
    <mergeCell ref="H212:J212"/>
    <mergeCell ref="H213:J213"/>
    <mergeCell ref="C217:D217"/>
    <mergeCell ref="H216:J216"/>
    <mergeCell ref="C214:D214"/>
    <mergeCell ref="C213:D213"/>
    <mergeCell ref="H214:J214"/>
    <mergeCell ref="H215:J215"/>
    <mergeCell ref="H219:J219"/>
    <mergeCell ref="C210:D210"/>
    <mergeCell ref="C211:D211"/>
    <mergeCell ref="C212:D212"/>
    <mergeCell ref="H217:J217"/>
    <mergeCell ref="C61:H61"/>
    <mergeCell ref="C62:K62"/>
    <mergeCell ref="C63:K63"/>
    <mergeCell ref="C74:H74"/>
    <mergeCell ref="C194:D194"/>
    <mergeCell ref="C195:D195"/>
    <mergeCell ref="C189:D189"/>
    <mergeCell ref="C190:D190"/>
    <mergeCell ref="C192:D1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96:D196"/>
    <mergeCell ref="C75:K75"/>
    <mergeCell ref="C76:K76"/>
    <mergeCell ref="C77:D77"/>
    <mergeCell ref="C168:D168"/>
    <mergeCell ref="C177:D177"/>
    <mergeCell ref="C178:D178"/>
    <mergeCell ref="C179:D179"/>
    <mergeCell ref="C73:D73"/>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72:D172"/>
    <mergeCell ref="C173:D173"/>
    <mergeCell ref="C174:D174"/>
    <mergeCell ref="C175:D175"/>
    <mergeCell ref="C176:D176"/>
    <mergeCell ref="C162:D162"/>
    <mergeCell ref="C163:D163"/>
    <mergeCell ref="C164:D164"/>
    <mergeCell ref="C165:D165"/>
    <mergeCell ref="C166:D166"/>
    <mergeCell ref="C167:D167"/>
    <mergeCell ref="C169:D169"/>
    <mergeCell ref="C170:D170"/>
    <mergeCell ref="C171:D171"/>
  </mergeCells>
  <phoneticPr fontId="2" type="noConversion"/>
  <conditionalFormatting sqref="I9:K19 G22:H31 I22:K32 G38:H47 I38:K48 G51:H60 I51:K61 I64:K74 G77:H184 I77:K185 G188:H197 I188:K198 I200:K200 G9:H18">
    <cfRule type="cellIs" dxfId="1" priority="2" stopIfTrue="1" operator="equal">
      <formula>"X"</formula>
    </cfRule>
  </conditionalFormatting>
  <conditionalFormatting sqref="G210:H219 K210:K220">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14</vt:i4>
      </vt:variant>
    </vt:vector>
  </HeadingPairs>
  <TitlesOfParts>
    <vt:vector size="28"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Lourdes CARNERO</cp:lastModifiedBy>
  <cp:lastPrinted>2023-03-29T15:00:05Z</cp:lastPrinted>
  <dcterms:created xsi:type="dcterms:W3CDTF">2004-10-21T15:52:29Z</dcterms:created>
  <dcterms:modified xsi:type="dcterms:W3CDTF">2025-09-30T11:00:21Z</dcterms:modified>
</cp:coreProperties>
</file>