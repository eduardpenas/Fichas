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W:\7E_Fiscal (edición)\Clientes Barcelona\GSP\05 DEDUCCIONES\2024\04 CERTIFICADORA\02 MEMORIAS\PROYECTO 1\01 INFO ENVIADA\v6_08_10_25\02 Anexo II\"/>
    </mc:Choice>
  </mc:AlternateContent>
  <bookViews>
    <workbookView xWindow="0" yWindow="0" windowWidth="19200" windowHeight="8130" tabRatio="835" activeTab="13"/>
  </bookViews>
  <sheets>
    <sheet name="Datos solicitud" sheetId="45" r:id="rId1"/>
    <sheet name="Instrucciones" sheetId="47" r:id="rId2"/>
    <sheet name="Personal" sheetId="27" r:id="rId3"/>
    <sheet name="C.Externas (OPIS)" sheetId="28" state="hidden" r:id="rId4"/>
    <sheet name="C.Externas (Otros)" sheetId="34" state="hidden" r:id="rId5"/>
    <sheet name="El._inmovilizado (AMORTIZACIÓN)" sheetId="30" state="hidden" r:id="rId6"/>
    <sheet name="El._inmovilizado (INVERSIÓN)" sheetId="43" state="hidden" r:id="rId7"/>
    <sheet name="Fungibles" sheetId="31" state="hidden" r:id="rId8"/>
    <sheet name="Otros Gastos" sheetId="32" state="hidden" r:id="rId9"/>
    <sheet name="I+D" sheetId="41" state="hidden" r:id="rId10"/>
    <sheet name="iT" sheetId="42" r:id="rId11"/>
    <sheet name="TOTAL" sheetId="40" r:id="rId12"/>
    <sheet name="DESVIACIONES" sheetId="39" r:id="rId13"/>
    <sheet name="DOC JUSTIFICATIVOS" sheetId="38" r:id="rId14"/>
  </sheets>
  <definedNames>
    <definedName name="_xlnm._FilterDatabase" localSheetId="0" hidden="1">'Datos solicitud'!#REF!</definedName>
    <definedName name="_xlnm._FilterDatabase" localSheetId="2" hidden="1">Personal!$B$13:$J$41</definedName>
    <definedName name="_xlnm.Print_Area" localSheetId="12">DESVIACIONES!$A$1:$J$18</definedName>
    <definedName name="_xlnm.Print_Area" localSheetId="9">'I+D'!$A$1:$I$17</definedName>
    <definedName name="_xlnm.Print_Area" localSheetId="10">iT!$A$1:$I$17</definedName>
    <definedName name="_xlnm.Print_Area" localSheetId="11">TOTAL!$A$1:$I$18</definedName>
    <definedName name="_xlnm.Print_Titles" localSheetId="3">'C.Externas (OPIS)'!$1:$15</definedName>
    <definedName name="_xlnm.Print_Titles" localSheetId="4">'C.Externas (Otros)'!$1:$13</definedName>
    <definedName name="_xlnm.Print_Titles" localSheetId="0">'Datos solicitud'!$1:$17</definedName>
    <definedName name="_xlnm.Print_Titles" localSheetId="12">DESVIACIONES!$1:$8</definedName>
    <definedName name="_xlnm.Print_Titles" localSheetId="13">'DOC JUSTIFICATIVOS'!$1:$4</definedName>
    <definedName name="_xlnm.Print_Titles" localSheetId="5">'El._inmovilizado (AMORTIZACIÓN)'!$1:$12</definedName>
    <definedName name="_xlnm.Print_Titles" localSheetId="6">'El._inmovilizado (INVERSIÓN)'!$1:$12</definedName>
    <definedName name="_xlnm.Print_Titles" localSheetId="7">Fungibles!$1:$12</definedName>
    <definedName name="_xlnm.Print_Titles" localSheetId="8">'Otros Gastos'!$1:$14</definedName>
    <definedName name="_xlnm.Print_Titles" localSheetId="2">Personal!$1:$14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 i="38" l="1"/>
  <c r="K11" i="38"/>
  <c r="K12" i="38"/>
  <c r="K13" i="38"/>
  <c r="K14" i="38"/>
  <c r="K15" i="38"/>
  <c r="K16" i="38"/>
  <c r="K17" i="38"/>
  <c r="K18" i="38"/>
  <c r="K19" i="38"/>
  <c r="K20" i="38"/>
  <c r="K21" i="38"/>
  <c r="K22" i="38"/>
  <c r="K23" i="38"/>
  <c r="K24" i="38"/>
  <c r="K25" i="38"/>
  <c r="K26" i="38"/>
  <c r="K27" i="38"/>
  <c r="C11" i="38"/>
  <c r="C12" i="38" s="1"/>
  <c r="C13" i="38" s="1"/>
  <c r="C14" i="38" s="1"/>
  <c r="C15" i="38" s="1"/>
  <c r="C16" i="38" s="1"/>
  <c r="C17" i="38" s="1"/>
  <c r="C18" i="38" s="1"/>
  <c r="C19" i="38" s="1"/>
  <c r="C20" i="38" s="1"/>
  <c r="C21" i="38" s="1"/>
  <c r="C22" i="38" s="1"/>
  <c r="C23" i="38" s="1"/>
  <c r="C24" i="38" s="1"/>
  <c r="C25" i="38" s="1"/>
  <c r="C26" i="38" s="1"/>
  <c r="C27" i="38" s="1"/>
  <c r="C28" i="38" s="1"/>
  <c r="C29" i="38" s="1"/>
  <c r="C30" i="38" s="1"/>
  <c r="T21" i="27"/>
  <c r="T22" i="27"/>
  <c r="T23" i="27"/>
  <c r="T24" i="27"/>
  <c r="T25" i="27"/>
  <c r="T26" i="27"/>
  <c r="T27" i="27"/>
  <c r="T28" i="27"/>
  <c r="T29" i="27"/>
  <c r="T30" i="27"/>
  <c r="T31" i="27"/>
  <c r="T32" i="27"/>
  <c r="T33" i="27"/>
  <c r="T34" i="27"/>
  <c r="T35" i="27"/>
  <c r="O21" i="27"/>
  <c r="O22" i="27"/>
  <c r="O23" i="27"/>
  <c r="O24" i="27"/>
  <c r="O25" i="27"/>
  <c r="O26" i="27"/>
  <c r="O27" i="27"/>
  <c r="O28" i="27"/>
  <c r="O29" i="27"/>
  <c r="O30" i="27"/>
  <c r="O31" i="27"/>
  <c r="O32" i="27"/>
  <c r="O33" i="27"/>
  <c r="J21" i="27"/>
  <c r="J22" i="27"/>
  <c r="J23" i="27"/>
  <c r="J24" i="27"/>
  <c r="J25" i="27"/>
  <c r="J26" i="27"/>
  <c r="J27" i="27"/>
  <c r="J28" i="27"/>
  <c r="J29" i="27"/>
  <c r="J30" i="27"/>
  <c r="J31" i="27"/>
  <c r="J32" i="27"/>
  <c r="J33" i="27"/>
  <c r="I34" i="34" l="1"/>
  <c r="K34" i="34"/>
  <c r="L34" i="34"/>
  <c r="N34" i="34"/>
  <c r="O34" i="34"/>
  <c r="Q34" i="34"/>
  <c r="R34" i="34"/>
  <c r="T34" i="34"/>
  <c r="U34" i="34"/>
  <c r="H34" i="34"/>
  <c r="G14" i="34"/>
  <c r="F34" i="34"/>
  <c r="E34" i="34"/>
  <c r="G34" i="34" l="1"/>
  <c r="H16" i="28" l="1"/>
  <c r="AI34" i="27"/>
  <c r="AI35" i="27"/>
  <c r="AI36" i="27"/>
  <c r="AI37" i="27"/>
  <c r="AI38" i="27"/>
  <c r="AD34" i="27"/>
  <c r="AD35" i="27"/>
  <c r="AD36" i="27"/>
  <c r="AD37" i="27"/>
  <c r="AD38" i="27"/>
  <c r="Y20" i="27"/>
  <c r="Y34" i="27"/>
  <c r="Y35" i="27"/>
  <c r="Y36" i="27"/>
  <c r="Y37" i="27"/>
  <c r="Y38" i="27"/>
  <c r="T36" i="27"/>
  <c r="T37" i="27"/>
  <c r="T38" i="27"/>
  <c r="O36" i="27"/>
  <c r="O37" i="27"/>
  <c r="O38" i="27"/>
  <c r="J36" i="27"/>
  <c r="J37" i="27"/>
  <c r="J38" i="27"/>
  <c r="G39" i="27"/>
  <c r="J20" i="27"/>
  <c r="I39" i="27"/>
  <c r="J39" i="27" l="1"/>
  <c r="I9" i="39"/>
  <c r="F9" i="39"/>
  <c r="J9" i="39" s="1"/>
  <c r="F13" i="27"/>
  <c r="K13" i="27" l="1"/>
  <c r="F13" i="43"/>
  <c r="G15" i="34"/>
  <c r="G16" i="34"/>
  <c r="G17" i="34"/>
  <c r="G18" i="34"/>
  <c r="G19" i="34"/>
  <c r="G20" i="34"/>
  <c r="G21" i="34"/>
  <c r="G22" i="34"/>
  <c r="G23" i="34"/>
  <c r="G24" i="34"/>
  <c r="G25" i="34"/>
  <c r="G26" i="34"/>
  <c r="G27" i="34"/>
  <c r="G28" i="34"/>
  <c r="G29" i="34"/>
  <c r="G30" i="34"/>
  <c r="G31" i="34"/>
  <c r="G32" i="34"/>
  <c r="G33" i="34"/>
  <c r="I13" i="30"/>
  <c r="Y15" i="27" l="1"/>
  <c r="T15" i="27"/>
  <c r="O15" i="27"/>
  <c r="J15" i="27"/>
  <c r="AI16" i="27"/>
  <c r="AI17" i="27"/>
  <c r="AI18" i="27"/>
  <c r="AI19" i="27"/>
  <c r="AI20" i="27"/>
  <c r="AI15" i="27"/>
  <c r="AD16" i="27"/>
  <c r="AD17" i="27"/>
  <c r="AD18" i="27"/>
  <c r="AD19" i="27"/>
  <c r="AD20" i="27"/>
  <c r="AD15" i="27"/>
  <c r="Y16" i="27"/>
  <c r="Y17" i="27"/>
  <c r="Y18" i="27"/>
  <c r="Y19" i="27"/>
  <c r="T16" i="27"/>
  <c r="T17" i="27"/>
  <c r="T18" i="27"/>
  <c r="T19" i="27"/>
  <c r="T20" i="27"/>
  <c r="O16" i="27"/>
  <c r="O17" i="27"/>
  <c r="O18" i="27"/>
  <c r="O19" i="27"/>
  <c r="O20" i="27"/>
  <c r="O34" i="27"/>
  <c r="O35" i="27"/>
  <c r="I41" i="27"/>
  <c r="J16" i="27"/>
  <c r="J17" i="27"/>
  <c r="J18" i="27"/>
  <c r="J19" i="27"/>
  <c r="J34" i="27"/>
  <c r="J35" i="27"/>
  <c r="P13" i="27" l="1"/>
  <c r="U13" i="27" s="1"/>
  <c r="Z13" i="27" s="1"/>
  <c r="AE13" i="27" s="1"/>
  <c r="AF40" i="27"/>
  <c r="I10" i="41" s="1"/>
  <c r="I11" i="40" s="1"/>
  <c r="AE40" i="27"/>
  <c r="AH39" i="27"/>
  <c r="I9" i="42" s="1"/>
  <c r="AG39" i="27"/>
  <c r="AG41" i="27" s="1"/>
  <c r="AF39" i="27"/>
  <c r="AE39" i="27"/>
  <c r="AA40" i="27"/>
  <c r="H10" i="41" s="1"/>
  <c r="H11" i="40" s="1"/>
  <c r="Z40" i="27"/>
  <c r="AC39" i="27"/>
  <c r="H9" i="42" s="1"/>
  <c r="AB39" i="27"/>
  <c r="AB41" i="27" s="1"/>
  <c r="AA39" i="27"/>
  <c r="Z39" i="27"/>
  <c r="V40" i="27"/>
  <c r="G10" i="41" s="1"/>
  <c r="G11" i="40" s="1"/>
  <c r="U40" i="27"/>
  <c r="X39" i="27"/>
  <c r="G9" i="42" s="1"/>
  <c r="W39" i="27"/>
  <c r="W41" i="27" s="1"/>
  <c r="V39" i="27"/>
  <c r="U39" i="27"/>
  <c r="Q40" i="27"/>
  <c r="F10" i="41" s="1"/>
  <c r="F11" i="40" s="1"/>
  <c r="P40" i="27"/>
  <c r="S39" i="27"/>
  <c r="F9" i="42" s="1"/>
  <c r="R39" i="27"/>
  <c r="R41" i="27" s="1"/>
  <c r="Q39" i="27"/>
  <c r="F9" i="41" s="1"/>
  <c r="P39" i="27"/>
  <c r="P41" i="27" s="1"/>
  <c r="L40" i="27"/>
  <c r="E10" i="41" s="1"/>
  <c r="E11" i="40" s="1"/>
  <c r="K40" i="27"/>
  <c r="N39" i="27"/>
  <c r="N41" i="27" s="1"/>
  <c r="M39" i="27"/>
  <c r="M41" i="27" s="1"/>
  <c r="L39" i="27"/>
  <c r="E9" i="41" s="1"/>
  <c r="K39" i="27"/>
  <c r="G40" i="27"/>
  <c r="J40" i="27" s="1"/>
  <c r="F40" i="27"/>
  <c r="F39" i="27"/>
  <c r="H39" i="27"/>
  <c r="H41" i="27" s="1"/>
  <c r="I10" i="39"/>
  <c r="F10" i="39"/>
  <c r="J10" i="39" s="1"/>
  <c r="H16" i="39"/>
  <c r="G16" i="39"/>
  <c r="I14" i="39"/>
  <c r="E16" i="39"/>
  <c r="D16" i="39"/>
  <c r="F14" i="39"/>
  <c r="J14" i="39" s="1"/>
  <c r="K133" i="38"/>
  <c r="K132" i="38"/>
  <c r="K131" i="38"/>
  <c r="K130" i="38"/>
  <c r="K129" i="38"/>
  <c r="K128" i="38"/>
  <c r="K127" i="38"/>
  <c r="K126" i="38"/>
  <c r="K125" i="38"/>
  <c r="K124" i="38"/>
  <c r="S33" i="43"/>
  <c r="I18" i="41"/>
  <c r="P33" i="43"/>
  <c r="M33" i="43"/>
  <c r="G18" i="41" s="1"/>
  <c r="J33" i="43"/>
  <c r="G33" i="43"/>
  <c r="E19" i="40" s="1"/>
  <c r="E18" i="41"/>
  <c r="D33" i="43"/>
  <c r="U32" i="43"/>
  <c r="R32" i="43"/>
  <c r="O32" i="43"/>
  <c r="L32" i="43"/>
  <c r="I32" i="43"/>
  <c r="F32" i="43"/>
  <c r="U31" i="43"/>
  <c r="R31" i="43"/>
  <c r="O31" i="43"/>
  <c r="L31" i="43"/>
  <c r="I31" i="43"/>
  <c r="F31" i="43"/>
  <c r="U30" i="43"/>
  <c r="R30" i="43"/>
  <c r="O30" i="43"/>
  <c r="L30" i="43"/>
  <c r="I30" i="43"/>
  <c r="F30" i="43"/>
  <c r="U29" i="43"/>
  <c r="R29" i="43"/>
  <c r="O29" i="43"/>
  <c r="L29" i="43"/>
  <c r="I29" i="43"/>
  <c r="F29" i="43"/>
  <c r="U28" i="43"/>
  <c r="R28" i="43"/>
  <c r="O28" i="43"/>
  <c r="L28" i="43"/>
  <c r="I28" i="43"/>
  <c r="F28" i="43"/>
  <c r="U27" i="43"/>
  <c r="R27" i="43"/>
  <c r="O27" i="43"/>
  <c r="L27" i="43"/>
  <c r="I27" i="43"/>
  <c r="F27" i="43"/>
  <c r="U26" i="43"/>
  <c r="R26" i="43"/>
  <c r="O26" i="43"/>
  <c r="L26" i="43"/>
  <c r="I26" i="43"/>
  <c r="F26" i="43"/>
  <c r="U25" i="43"/>
  <c r="R25" i="43"/>
  <c r="O25" i="43"/>
  <c r="L25" i="43"/>
  <c r="I25" i="43"/>
  <c r="F25" i="43"/>
  <c r="U24" i="43"/>
  <c r="R24" i="43"/>
  <c r="O24" i="43"/>
  <c r="L24" i="43"/>
  <c r="I24" i="43"/>
  <c r="F24" i="43"/>
  <c r="U23" i="43"/>
  <c r="R23" i="43"/>
  <c r="O23" i="43"/>
  <c r="L23" i="43"/>
  <c r="I23" i="43"/>
  <c r="F23" i="43"/>
  <c r="U22" i="43"/>
  <c r="R22" i="43"/>
  <c r="O22" i="43"/>
  <c r="L22" i="43"/>
  <c r="I22" i="43"/>
  <c r="F22" i="43"/>
  <c r="U21" i="43"/>
  <c r="R21" i="43"/>
  <c r="O21" i="43"/>
  <c r="L21" i="43"/>
  <c r="I21" i="43"/>
  <c r="F21" i="43"/>
  <c r="U20" i="43"/>
  <c r="R20" i="43"/>
  <c r="O20" i="43"/>
  <c r="L20" i="43"/>
  <c r="I20" i="43"/>
  <c r="F20" i="43"/>
  <c r="U19" i="43"/>
  <c r="R19" i="43"/>
  <c r="O19" i="43"/>
  <c r="L19" i="43"/>
  <c r="I19" i="43"/>
  <c r="F19" i="43"/>
  <c r="U18" i="43"/>
  <c r="R18" i="43"/>
  <c r="O18" i="43"/>
  <c r="L18" i="43"/>
  <c r="I18" i="43"/>
  <c r="F18" i="43"/>
  <c r="U17" i="43"/>
  <c r="R17" i="43"/>
  <c r="O17" i="43"/>
  <c r="L17" i="43"/>
  <c r="I17" i="43"/>
  <c r="F17" i="43"/>
  <c r="U16" i="43"/>
  <c r="R16" i="43"/>
  <c r="O16" i="43"/>
  <c r="L16" i="43"/>
  <c r="I16" i="43"/>
  <c r="F16" i="43"/>
  <c r="U15" i="43"/>
  <c r="R15" i="43"/>
  <c r="O15" i="43"/>
  <c r="L15" i="43"/>
  <c r="I15" i="43"/>
  <c r="F15" i="43"/>
  <c r="U14" i="43"/>
  <c r="R14" i="43"/>
  <c r="O14" i="43"/>
  <c r="L14" i="43"/>
  <c r="I14" i="43"/>
  <c r="F14" i="43"/>
  <c r="B14" i="43"/>
  <c r="B15" i="43" s="1"/>
  <c r="B16" i="43" s="1"/>
  <c r="B17" i="43" s="1"/>
  <c r="B18" i="43" s="1"/>
  <c r="B19" i="43" s="1"/>
  <c r="B20" i="43" s="1"/>
  <c r="B21" i="43" s="1"/>
  <c r="B22" i="43" s="1"/>
  <c r="B23" i="43" s="1"/>
  <c r="B24" i="43" s="1"/>
  <c r="B25" i="43" s="1"/>
  <c r="B26" i="43" s="1"/>
  <c r="B27" i="43" s="1"/>
  <c r="B28" i="43" s="1"/>
  <c r="B29" i="43" s="1"/>
  <c r="B30" i="43" s="1"/>
  <c r="B31" i="43" s="1"/>
  <c r="B32" i="43" s="1"/>
  <c r="U13" i="43"/>
  <c r="R13" i="43"/>
  <c r="O13" i="43"/>
  <c r="L13" i="43"/>
  <c r="I13" i="43"/>
  <c r="D11" i="43"/>
  <c r="G11" i="43" s="1"/>
  <c r="J11" i="43" s="1"/>
  <c r="M11" i="43" s="1"/>
  <c r="P11" i="43" s="1"/>
  <c r="S11" i="43" s="1"/>
  <c r="B15" i="34"/>
  <c r="B16" i="34" s="1"/>
  <c r="B17" i="34" s="1"/>
  <c r="B18" i="34" s="1"/>
  <c r="B19" i="34" s="1"/>
  <c r="B20" i="34" s="1"/>
  <c r="B21" i="34" s="1"/>
  <c r="B22" i="34" s="1"/>
  <c r="B23" i="34" s="1"/>
  <c r="B24" i="34" s="1"/>
  <c r="B25" i="34" s="1"/>
  <c r="B26" i="34" s="1"/>
  <c r="B27" i="34" s="1"/>
  <c r="B28" i="34" s="1"/>
  <c r="B29" i="34" s="1"/>
  <c r="B30" i="34" s="1"/>
  <c r="B31" i="34" s="1"/>
  <c r="B32" i="34" s="1"/>
  <c r="B33" i="34" s="1"/>
  <c r="B16" i="32"/>
  <c r="B17" i="32" s="1"/>
  <c r="B18" i="32" s="1"/>
  <c r="B19" i="32" s="1"/>
  <c r="B20" i="32" s="1"/>
  <c r="B21" i="32" s="1"/>
  <c r="B22" i="32" s="1"/>
  <c r="B23" i="32" s="1"/>
  <c r="B24" i="32" s="1"/>
  <c r="B25" i="32" s="1"/>
  <c r="B26" i="32" s="1"/>
  <c r="B27" i="32" s="1"/>
  <c r="B28" i="32" s="1"/>
  <c r="B29" i="32" s="1"/>
  <c r="B30" i="32" s="1"/>
  <c r="B31" i="32" s="1"/>
  <c r="B32" i="32" s="1"/>
  <c r="B33" i="32" s="1"/>
  <c r="B34" i="32" s="1"/>
  <c r="F11" i="39"/>
  <c r="J11" i="39" s="1"/>
  <c r="F12" i="39"/>
  <c r="J12" i="39" s="1"/>
  <c r="F13" i="39"/>
  <c r="J13" i="39" s="1"/>
  <c r="F15" i="39"/>
  <c r="J15" i="39" s="1"/>
  <c r="K105" i="38"/>
  <c r="F16" i="32"/>
  <c r="K104" i="38"/>
  <c r="K35" i="38"/>
  <c r="K36" i="38"/>
  <c r="K37" i="38"/>
  <c r="K38" i="38"/>
  <c r="K39" i="38"/>
  <c r="K40" i="38"/>
  <c r="K41" i="38"/>
  <c r="K42" i="38"/>
  <c r="K43" i="38"/>
  <c r="K34" i="38"/>
  <c r="J31" i="38"/>
  <c r="J60" i="38"/>
  <c r="J73" i="38"/>
  <c r="J86" i="38"/>
  <c r="J99" i="38"/>
  <c r="J112" i="38"/>
  <c r="K9" i="38"/>
  <c r="K28" i="38"/>
  <c r="K29" i="38"/>
  <c r="K30" i="38"/>
  <c r="K50" i="38"/>
  <c r="K51" i="38"/>
  <c r="K52" i="38"/>
  <c r="K53" i="38"/>
  <c r="K54" i="38"/>
  <c r="K55" i="38"/>
  <c r="K56" i="38"/>
  <c r="K57" i="38"/>
  <c r="K58" i="38"/>
  <c r="K59" i="38"/>
  <c r="K63" i="38"/>
  <c r="K64" i="38"/>
  <c r="K65" i="38"/>
  <c r="K66" i="38"/>
  <c r="K67" i="38"/>
  <c r="K68" i="38"/>
  <c r="K69" i="38"/>
  <c r="K70" i="38"/>
  <c r="K71" i="38"/>
  <c r="K72" i="38"/>
  <c r="K76" i="38"/>
  <c r="K77" i="38"/>
  <c r="K78" i="38"/>
  <c r="K79" i="38"/>
  <c r="K80" i="38"/>
  <c r="K81" i="38"/>
  <c r="K82" i="38"/>
  <c r="K83" i="38"/>
  <c r="K84" i="38"/>
  <c r="K85" i="38"/>
  <c r="K89" i="38"/>
  <c r="K90" i="38"/>
  <c r="K91" i="38"/>
  <c r="K92" i="38"/>
  <c r="K93" i="38"/>
  <c r="K94" i="38"/>
  <c r="K95" i="38"/>
  <c r="K96" i="38"/>
  <c r="K97" i="38"/>
  <c r="K98" i="38"/>
  <c r="K102" i="38"/>
  <c r="K103" i="38"/>
  <c r="K106" i="38"/>
  <c r="K107" i="38"/>
  <c r="K108" i="38"/>
  <c r="K109" i="38"/>
  <c r="K110" i="38"/>
  <c r="K111" i="38"/>
  <c r="I31" i="38"/>
  <c r="I44" i="38"/>
  <c r="I60" i="38"/>
  <c r="I73" i="38"/>
  <c r="I86" i="38"/>
  <c r="I99" i="38"/>
  <c r="I112" i="38"/>
  <c r="D33" i="31"/>
  <c r="E33" i="31"/>
  <c r="D12" i="42" s="1"/>
  <c r="B16" i="27"/>
  <c r="B17" i="27" s="1"/>
  <c r="B18" i="27" s="1"/>
  <c r="B19" i="27" s="1"/>
  <c r="B20" i="27" s="1"/>
  <c r="B21" i="27" s="1"/>
  <c r="B22" i="27" s="1"/>
  <c r="B23" i="27" s="1"/>
  <c r="B24" i="27" s="1"/>
  <c r="B25" i="27" s="1"/>
  <c r="B26" i="27" s="1"/>
  <c r="B27" i="27" s="1"/>
  <c r="B28" i="27" s="1"/>
  <c r="B29" i="27" s="1"/>
  <c r="B30" i="27" s="1"/>
  <c r="B31" i="27" s="1"/>
  <c r="B32" i="27" s="1"/>
  <c r="B33" i="27" s="1"/>
  <c r="B34" i="27" s="1"/>
  <c r="B35" i="27" s="1"/>
  <c r="B36" i="27" s="1"/>
  <c r="B37" i="27" s="1"/>
  <c r="B38" i="27" s="1"/>
  <c r="S33" i="31"/>
  <c r="I12" i="41"/>
  <c r="T33" i="31"/>
  <c r="S35" i="32"/>
  <c r="I15" i="41" s="1"/>
  <c r="T35" i="32"/>
  <c r="I15" i="42" s="1"/>
  <c r="P33" i="31"/>
  <c r="H12" i="41"/>
  <c r="Q33" i="31"/>
  <c r="H12" i="42" s="1"/>
  <c r="P35" i="32"/>
  <c r="H15" i="41" s="1"/>
  <c r="Q35" i="32"/>
  <c r="H15" i="42" s="1"/>
  <c r="M33" i="31"/>
  <c r="G12" i="41" s="1"/>
  <c r="N33" i="31"/>
  <c r="G12" i="42" s="1"/>
  <c r="M35" i="32"/>
  <c r="G15" i="41" s="1"/>
  <c r="N35" i="32"/>
  <c r="G15" i="42" s="1"/>
  <c r="U34" i="32"/>
  <c r="U33" i="32"/>
  <c r="U32" i="32"/>
  <c r="U31" i="32"/>
  <c r="U30" i="32"/>
  <c r="U29" i="32"/>
  <c r="U28" i="32"/>
  <c r="U27" i="32"/>
  <c r="U26" i="32"/>
  <c r="U25" i="32"/>
  <c r="U24" i="32"/>
  <c r="U23" i="32"/>
  <c r="U22" i="32"/>
  <c r="U21" i="32"/>
  <c r="U20" i="32"/>
  <c r="U19" i="32"/>
  <c r="U18" i="32"/>
  <c r="U17" i="32"/>
  <c r="U16" i="32"/>
  <c r="U15" i="32"/>
  <c r="R34" i="32"/>
  <c r="R33" i="32"/>
  <c r="R32" i="32"/>
  <c r="R31" i="32"/>
  <c r="R30" i="32"/>
  <c r="R29" i="32"/>
  <c r="R28" i="32"/>
  <c r="R27" i="32"/>
  <c r="R26" i="32"/>
  <c r="R25" i="32"/>
  <c r="R24" i="32"/>
  <c r="R23" i="32"/>
  <c r="R22" i="32"/>
  <c r="R21" i="32"/>
  <c r="R20" i="32"/>
  <c r="R19" i="32"/>
  <c r="R18" i="32"/>
  <c r="R17" i="32"/>
  <c r="R16" i="32"/>
  <c r="R15" i="32"/>
  <c r="O34" i="32"/>
  <c r="O33" i="32"/>
  <c r="O32" i="32"/>
  <c r="O31" i="32"/>
  <c r="O30" i="32"/>
  <c r="O29" i="32"/>
  <c r="O28" i="32"/>
  <c r="O27" i="32"/>
  <c r="O26" i="32"/>
  <c r="O25" i="32"/>
  <c r="O24" i="32"/>
  <c r="O23" i="32"/>
  <c r="O22" i="32"/>
  <c r="O21" i="32"/>
  <c r="O20" i="32"/>
  <c r="O19" i="32"/>
  <c r="O18" i="32"/>
  <c r="O17" i="32"/>
  <c r="O16" i="32"/>
  <c r="O15" i="32"/>
  <c r="J35" i="32"/>
  <c r="K35" i="32"/>
  <c r="F15" i="42" s="1"/>
  <c r="G35" i="32"/>
  <c r="H35" i="32"/>
  <c r="E15" i="42" s="1"/>
  <c r="D35" i="32"/>
  <c r="E35" i="32"/>
  <c r="D15" i="42" s="1"/>
  <c r="U32" i="31"/>
  <c r="U31" i="31"/>
  <c r="U30" i="31"/>
  <c r="U29" i="31"/>
  <c r="U28" i="31"/>
  <c r="U27" i="31"/>
  <c r="U26" i="31"/>
  <c r="U25" i="31"/>
  <c r="U24" i="31"/>
  <c r="U23" i="31"/>
  <c r="U22" i="31"/>
  <c r="U21" i="31"/>
  <c r="U20" i="31"/>
  <c r="U19" i="31"/>
  <c r="U18" i="31"/>
  <c r="U17" i="31"/>
  <c r="U16" i="31"/>
  <c r="U15" i="31"/>
  <c r="U14" i="31"/>
  <c r="U13" i="31"/>
  <c r="R32" i="31"/>
  <c r="R31" i="31"/>
  <c r="R30" i="31"/>
  <c r="R29" i="31"/>
  <c r="R28" i="31"/>
  <c r="R27" i="31"/>
  <c r="R26" i="31"/>
  <c r="R25" i="31"/>
  <c r="R24" i="31"/>
  <c r="R23" i="31"/>
  <c r="R22" i="31"/>
  <c r="R21" i="31"/>
  <c r="R20" i="31"/>
  <c r="R19" i="31"/>
  <c r="R18" i="31"/>
  <c r="R17" i="31"/>
  <c r="R16" i="31"/>
  <c r="R15" i="31"/>
  <c r="R14" i="31"/>
  <c r="R13" i="31"/>
  <c r="O32" i="31"/>
  <c r="O31" i="31"/>
  <c r="O30" i="31"/>
  <c r="O29" i="31"/>
  <c r="O28" i="31"/>
  <c r="O27" i="31"/>
  <c r="O26" i="31"/>
  <c r="O25" i="31"/>
  <c r="O24" i="31"/>
  <c r="O23" i="31"/>
  <c r="O22" i="31"/>
  <c r="O21" i="31"/>
  <c r="O20" i="31"/>
  <c r="O19" i="31"/>
  <c r="O18" i="31"/>
  <c r="O17" i="31"/>
  <c r="O16" i="31"/>
  <c r="O15" i="31"/>
  <c r="O14" i="31"/>
  <c r="O13" i="31"/>
  <c r="J33" i="31"/>
  <c r="K33" i="31"/>
  <c r="F12" i="42" s="1"/>
  <c r="G33" i="31"/>
  <c r="E12" i="41" s="1"/>
  <c r="H33" i="31"/>
  <c r="E12" i="42" s="1"/>
  <c r="S33" i="30"/>
  <c r="I11" i="41" s="1"/>
  <c r="P33" i="30"/>
  <c r="H11" i="41" s="1"/>
  <c r="M33" i="30"/>
  <c r="G11" i="41" s="1"/>
  <c r="T33" i="30"/>
  <c r="I11" i="42" s="1"/>
  <c r="U32" i="30"/>
  <c r="U31" i="30"/>
  <c r="U30" i="30"/>
  <c r="U29" i="30"/>
  <c r="U28" i="30"/>
  <c r="U27" i="30"/>
  <c r="U26" i="30"/>
  <c r="U25" i="30"/>
  <c r="U24" i="30"/>
  <c r="U23" i="30"/>
  <c r="U22" i="30"/>
  <c r="U21" i="30"/>
  <c r="U20" i="30"/>
  <c r="U19" i="30"/>
  <c r="U18" i="30"/>
  <c r="U17" i="30"/>
  <c r="U16" i="30"/>
  <c r="U15" i="30"/>
  <c r="U14" i="30"/>
  <c r="U13" i="30"/>
  <c r="Q33" i="30"/>
  <c r="R32" i="30"/>
  <c r="R31" i="30"/>
  <c r="R30" i="30"/>
  <c r="R29" i="30"/>
  <c r="R28" i="30"/>
  <c r="R27" i="30"/>
  <c r="R26" i="30"/>
  <c r="R25" i="30"/>
  <c r="R24" i="30"/>
  <c r="R23" i="30"/>
  <c r="R22" i="30"/>
  <c r="R21" i="30"/>
  <c r="R20" i="30"/>
  <c r="R19" i="30"/>
  <c r="R18" i="30"/>
  <c r="R17" i="30"/>
  <c r="R16" i="30"/>
  <c r="R15" i="30"/>
  <c r="R14" i="30"/>
  <c r="R13" i="30"/>
  <c r="N33" i="30"/>
  <c r="O32" i="30"/>
  <c r="O31" i="30"/>
  <c r="O30" i="30"/>
  <c r="O29" i="30"/>
  <c r="O28" i="30"/>
  <c r="O27" i="30"/>
  <c r="O26" i="30"/>
  <c r="O25" i="30"/>
  <c r="O24" i="30"/>
  <c r="O23" i="30"/>
  <c r="O22" i="30"/>
  <c r="O21" i="30"/>
  <c r="O20" i="30"/>
  <c r="O19" i="30"/>
  <c r="O18" i="30"/>
  <c r="O17" i="30"/>
  <c r="O16" i="30"/>
  <c r="O15" i="30"/>
  <c r="O14" i="30"/>
  <c r="O13" i="30"/>
  <c r="J33" i="30"/>
  <c r="F11" i="41" s="1"/>
  <c r="K33" i="30"/>
  <c r="F11" i="42" s="1"/>
  <c r="G33" i="30"/>
  <c r="H33" i="30"/>
  <c r="I33" i="30" s="1"/>
  <c r="D33" i="30"/>
  <c r="D11" i="41" s="1"/>
  <c r="V15" i="34"/>
  <c r="V16" i="34"/>
  <c r="V17" i="34"/>
  <c r="V18" i="34"/>
  <c r="V19" i="34"/>
  <c r="V20" i="34"/>
  <c r="V21" i="34"/>
  <c r="V22" i="34"/>
  <c r="V23" i="34"/>
  <c r="V24" i="34"/>
  <c r="V25" i="34"/>
  <c r="V26" i="34"/>
  <c r="V27" i="34"/>
  <c r="V28" i="34"/>
  <c r="V29" i="34"/>
  <c r="V30" i="34"/>
  <c r="V31" i="34"/>
  <c r="V32" i="34"/>
  <c r="V33" i="34"/>
  <c r="V14" i="34"/>
  <c r="S33" i="34"/>
  <c r="S32" i="34"/>
  <c r="S31" i="34"/>
  <c r="S30" i="34"/>
  <c r="S29" i="34"/>
  <c r="S28" i="34"/>
  <c r="S27" i="34"/>
  <c r="S26" i="34"/>
  <c r="S25" i="34"/>
  <c r="S24" i="34"/>
  <c r="S23" i="34"/>
  <c r="S22" i="34"/>
  <c r="S21" i="34"/>
  <c r="S20" i="34"/>
  <c r="S19" i="34"/>
  <c r="S18" i="34"/>
  <c r="S17" i="34"/>
  <c r="S16" i="34"/>
  <c r="S15" i="34"/>
  <c r="S14" i="34"/>
  <c r="P33" i="34"/>
  <c r="P32" i="34"/>
  <c r="P31" i="34"/>
  <c r="P30" i="34"/>
  <c r="P29" i="34"/>
  <c r="P28" i="34"/>
  <c r="P27" i="34"/>
  <c r="P26" i="34"/>
  <c r="P25" i="34"/>
  <c r="P24" i="34"/>
  <c r="P23" i="34"/>
  <c r="P22" i="34"/>
  <c r="P21" i="34"/>
  <c r="P20" i="34"/>
  <c r="P19" i="34"/>
  <c r="P18" i="34"/>
  <c r="P17" i="34"/>
  <c r="P16" i="34"/>
  <c r="P15" i="34"/>
  <c r="P14" i="34"/>
  <c r="W17" i="28"/>
  <c r="W18" i="28"/>
  <c r="W19" i="28"/>
  <c r="W20" i="28"/>
  <c r="W21" i="28"/>
  <c r="W22" i="28"/>
  <c r="W23" i="28"/>
  <c r="W24" i="28"/>
  <c r="W25" i="28"/>
  <c r="W26" i="28"/>
  <c r="W27" i="28"/>
  <c r="W28" i="28"/>
  <c r="W29" i="28"/>
  <c r="W30" i="28"/>
  <c r="W31" i="28"/>
  <c r="W32" i="28"/>
  <c r="W33" i="28"/>
  <c r="W34" i="28"/>
  <c r="W35" i="28"/>
  <c r="W16" i="28"/>
  <c r="U36" i="28"/>
  <c r="U37" i="28"/>
  <c r="U38" i="28"/>
  <c r="V36" i="28"/>
  <c r="V37" i="28"/>
  <c r="V38" i="28"/>
  <c r="R36" i="28"/>
  <c r="R37" i="28"/>
  <c r="T37" i="28" s="1"/>
  <c r="R38" i="28"/>
  <c r="S36" i="28"/>
  <c r="S37" i="28"/>
  <c r="S38" i="28"/>
  <c r="T35" i="28"/>
  <c r="T34" i="28"/>
  <c r="T33" i="28"/>
  <c r="T32" i="28"/>
  <c r="T31" i="28"/>
  <c r="T30" i="28"/>
  <c r="T29" i="28"/>
  <c r="T28" i="28"/>
  <c r="T27" i="28"/>
  <c r="T26" i="28"/>
  <c r="T25" i="28"/>
  <c r="T24" i="28"/>
  <c r="T23" i="28"/>
  <c r="T22" i="28"/>
  <c r="T21" i="28"/>
  <c r="T20" i="28"/>
  <c r="T19" i="28"/>
  <c r="T18" i="28"/>
  <c r="T17" i="28"/>
  <c r="T16" i="28"/>
  <c r="O36" i="28"/>
  <c r="O37" i="28"/>
  <c r="O38" i="28"/>
  <c r="P36" i="28"/>
  <c r="P37" i="28"/>
  <c r="P38" i="28"/>
  <c r="Q35" i="28"/>
  <c r="Q34" i="28"/>
  <c r="Q33" i="28"/>
  <c r="Q32" i="28"/>
  <c r="Q31" i="28"/>
  <c r="Q30" i="28"/>
  <c r="Q29" i="28"/>
  <c r="Q28" i="28"/>
  <c r="Q27" i="28"/>
  <c r="Q26" i="28"/>
  <c r="Q25" i="28"/>
  <c r="Q24" i="28"/>
  <c r="Q23" i="28"/>
  <c r="Q22" i="28"/>
  <c r="Q21" i="28"/>
  <c r="Q20" i="28"/>
  <c r="Q19" i="28"/>
  <c r="Q18" i="28"/>
  <c r="Q17" i="28"/>
  <c r="Q16" i="28"/>
  <c r="F36" i="28"/>
  <c r="F37" i="28"/>
  <c r="H37" i="28" s="1"/>
  <c r="F38" i="28"/>
  <c r="G36" i="28"/>
  <c r="G37" i="28"/>
  <c r="G38" i="28"/>
  <c r="G39" i="28" s="1"/>
  <c r="D13" i="42" s="1"/>
  <c r="L36" i="28"/>
  <c r="L37" i="28"/>
  <c r="L38" i="28"/>
  <c r="M36" i="28"/>
  <c r="M37" i="28"/>
  <c r="N37" i="28" s="1"/>
  <c r="M38" i="28"/>
  <c r="I36" i="28"/>
  <c r="I37" i="28"/>
  <c r="I38" i="28"/>
  <c r="J36" i="28"/>
  <c r="J37" i="28"/>
  <c r="J38" i="28"/>
  <c r="D8" i="42"/>
  <c r="E8" i="42" s="1"/>
  <c r="F8" i="42" s="1"/>
  <c r="G8" i="42" s="1"/>
  <c r="H8" i="42" s="1"/>
  <c r="I8" i="42" s="1"/>
  <c r="D8" i="41"/>
  <c r="E8" i="41" s="1"/>
  <c r="F8" i="41" s="1"/>
  <c r="G8" i="41" s="1"/>
  <c r="H8" i="41" s="1"/>
  <c r="I8" i="41" s="1"/>
  <c r="D9" i="40"/>
  <c r="E9" i="40" s="1"/>
  <c r="F9" i="40" s="1"/>
  <c r="G9" i="40" s="1"/>
  <c r="H9" i="40" s="1"/>
  <c r="I9" i="40" s="1"/>
  <c r="I15" i="39"/>
  <c r="I13" i="39"/>
  <c r="I12" i="39"/>
  <c r="I11" i="39"/>
  <c r="L34" i="32"/>
  <c r="L33" i="32"/>
  <c r="L32" i="32"/>
  <c r="L31" i="32"/>
  <c r="L30" i="32"/>
  <c r="L29" i="32"/>
  <c r="L28" i="32"/>
  <c r="L27" i="32"/>
  <c r="L26" i="32"/>
  <c r="L25" i="32"/>
  <c r="L24" i="32"/>
  <c r="L23" i="32"/>
  <c r="L22" i="32"/>
  <c r="L21" i="32"/>
  <c r="L20" i="32"/>
  <c r="L19" i="32"/>
  <c r="L18" i="32"/>
  <c r="L17" i="32"/>
  <c r="L16" i="32"/>
  <c r="L15" i="32"/>
  <c r="I34" i="32"/>
  <c r="I33" i="32"/>
  <c r="I32" i="32"/>
  <c r="I31" i="32"/>
  <c r="I30" i="32"/>
  <c r="I29" i="32"/>
  <c r="I28" i="32"/>
  <c r="I27" i="32"/>
  <c r="I26" i="32"/>
  <c r="I25" i="32"/>
  <c r="I24" i="32"/>
  <c r="I23" i="32"/>
  <c r="I22" i="32"/>
  <c r="I21" i="32"/>
  <c r="I20" i="32"/>
  <c r="I19" i="32"/>
  <c r="I18" i="32"/>
  <c r="I17" i="32"/>
  <c r="I16" i="32"/>
  <c r="I15" i="32"/>
  <c r="F34" i="32"/>
  <c r="F33" i="32"/>
  <c r="F32" i="32"/>
  <c r="F31" i="32"/>
  <c r="F30" i="32"/>
  <c r="F29" i="32"/>
  <c r="F28" i="32"/>
  <c r="F27" i="32"/>
  <c r="F26" i="32"/>
  <c r="F25" i="32"/>
  <c r="F24" i="32"/>
  <c r="F23" i="32"/>
  <c r="F22" i="32"/>
  <c r="F21" i="32"/>
  <c r="F20" i="32"/>
  <c r="F19" i="32"/>
  <c r="F18" i="32"/>
  <c r="F17" i="32"/>
  <c r="F15" i="32"/>
  <c r="L32" i="31"/>
  <c r="L31" i="31"/>
  <c r="L30" i="31"/>
  <c r="L29" i="31"/>
  <c r="L28" i="31"/>
  <c r="L27" i="31"/>
  <c r="L26" i="31"/>
  <c r="L25" i="31"/>
  <c r="L24" i="31"/>
  <c r="L23" i="31"/>
  <c r="L22" i="31"/>
  <c r="L21" i="31"/>
  <c r="L20" i="31"/>
  <c r="L19" i="31"/>
  <c r="L18" i="31"/>
  <c r="L17" i="31"/>
  <c r="L16" i="31"/>
  <c r="L15" i="31"/>
  <c r="L14" i="31"/>
  <c r="L13" i="31"/>
  <c r="I32" i="31"/>
  <c r="I31" i="31"/>
  <c r="I30" i="31"/>
  <c r="I29" i="31"/>
  <c r="I28" i="31"/>
  <c r="I27" i="31"/>
  <c r="I26" i="31"/>
  <c r="I25" i="31"/>
  <c r="I24" i="31"/>
  <c r="I23" i="31"/>
  <c r="I22" i="31"/>
  <c r="I21" i="31"/>
  <c r="I20" i="31"/>
  <c r="I19" i="31"/>
  <c r="I18" i="31"/>
  <c r="I17" i="31"/>
  <c r="I16" i="31"/>
  <c r="I15" i="31"/>
  <c r="I14" i="31"/>
  <c r="I13" i="31"/>
  <c r="F32" i="31"/>
  <c r="F31" i="31"/>
  <c r="F30" i="31"/>
  <c r="F29" i="31"/>
  <c r="F28" i="31"/>
  <c r="F27" i="31"/>
  <c r="F26" i="31"/>
  <c r="F25" i="31"/>
  <c r="F24" i="31"/>
  <c r="F23" i="31"/>
  <c r="F22" i="31"/>
  <c r="F21" i="31"/>
  <c r="F20" i="31"/>
  <c r="F19" i="31"/>
  <c r="F18" i="31"/>
  <c r="F17" i="31"/>
  <c r="F16" i="31"/>
  <c r="F15" i="31"/>
  <c r="F14" i="31"/>
  <c r="F13" i="31"/>
  <c r="L32" i="30"/>
  <c r="L31" i="30"/>
  <c r="L30" i="30"/>
  <c r="L29" i="30"/>
  <c r="L28" i="30"/>
  <c r="L27" i="30"/>
  <c r="L26" i="30"/>
  <c r="L25" i="30"/>
  <c r="L24" i="30"/>
  <c r="L23" i="30"/>
  <c r="L22" i="30"/>
  <c r="L21" i="30"/>
  <c r="L20" i="30"/>
  <c r="L19" i="30"/>
  <c r="L18" i="30"/>
  <c r="L17" i="30"/>
  <c r="L16" i="30"/>
  <c r="L15" i="30"/>
  <c r="L14" i="30"/>
  <c r="L13" i="30"/>
  <c r="I32" i="30"/>
  <c r="I31" i="30"/>
  <c r="I30" i="30"/>
  <c r="I29" i="30"/>
  <c r="I28" i="30"/>
  <c r="I27" i="30"/>
  <c r="I26" i="30"/>
  <c r="I25" i="30"/>
  <c r="I24" i="30"/>
  <c r="I23" i="30"/>
  <c r="I22" i="30"/>
  <c r="I21" i="30"/>
  <c r="I20" i="30"/>
  <c r="I19" i="30"/>
  <c r="I18" i="30"/>
  <c r="I17" i="30"/>
  <c r="I16" i="30"/>
  <c r="I15" i="30"/>
  <c r="I14" i="30"/>
  <c r="F32" i="30"/>
  <c r="F31" i="30"/>
  <c r="F30" i="30"/>
  <c r="F29" i="30"/>
  <c r="F28" i="30"/>
  <c r="F27" i="30"/>
  <c r="F26" i="30"/>
  <c r="F25" i="30"/>
  <c r="F24" i="30"/>
  <c r="F23" i="30"/>
  <c r="F22" i="30"/>
  <c r="F21" i="30"/>
  <c r="F20" i="30"/>
  <c r="F19" i="30"/>
  <c r="F18" i="30"/>
  <c r="F17" i="30"/>
  <c r="F16" i="30"/>
  <c r="F15" i="30"/>
  <c r="F14" i="30"/>
  <c r="F13" i="30"/>
  <c r="M33" i="34"/>
  <c r="M32" i="34"/>
  <c r="M31" i="34"/>
  <c r="M30" i="34"/>
  <c r="M29" i="34"/>
  <c r="M28" i="34"/>
  <c r="M27" i="34"/>
  <c r="M26" i="34"/>
  <c r="M25" i="34"/>
  <c r="M24" i="34"/>
  <c r="M23" i="34"/>
  <c r="M22" i="34"/>
  <c r="M21" i="34"/>
  <c r="M20" i="34"/>
  <c r="M19" i="34"/>
  <c r="M18" i="34"/>
  <c r="M17" i="34"/>
  <c r="M16" i="34"/>
  <c r="M15" i="34"/>
  <c r="M14" i="34"/>
  <c r="J33" i="34"/>
  <c r="J32" i="34"/>
  <c r="J31" i="34"/>
  <c r="J30" i="34"/>
  <c r="J29" i="34"/>
  <c r="J28" i="34"/>
  <c r="J27" i="34"/>
  <c r="J26" i="34"/>
  <c r="J25" i="34"/>
  <c r="J24" i="34"/>
  <c r="J23" i="34"/>
  <c r="J22" i="34"/>
  <c r="J21" i="34"/>
  <c r="J20" i="34"/>
  <c r="J19" i="34"/>
  <c r="J18" i="34"/>
  <c r="J17" i="34"/>
  <c r="J16" i="34"/>
  <c r="J15" i="34"/>
  <c r="J14" i="34"/>
  <c r="N35" i="28"/>
  <c r="N34" i="28"/>
  <c r="N33" i="28"/>
  <c r="N32" i="28"/>
  <c r="N31" i="28"/>
  <c r="N30" i="28"/>
  <c r="N29" i="28"/>
  <c r="N28" i="28"/>
  <c r="N27" i="28"/>
  <c r="N26" i="28"/>
  <c r="N25" i="28"/>
  <c r="N24" i="28"/>
  <c r="N23" i="28"/>
  <c r="N22" i="28"/>
  <c r="N21" i="28"/>
  <c r="N20" i="28"/>
  <c r="N19" i="28"/>
  <c r="N18" i="28"/>
  <c r="N17" i="28"/>
  <c r="N16" i="28"/>
  <c r="K35" i="28"/>
  <c r="K34" i="28"/>
  <c r="K33" i="28"/>
  <c r="K32" i="28"/>
  <c r="K31" i="28"/>
  <c r="K30" i="28"/>
  <c r="K29" i="28"/>
  <c r="K28" i="28"/>
  <c r="K27" i="28"/>
  <c r="K26" i="28"/>
  <c r="K25" i="28"/>
  <c r="K24" i="28"/>
  <c r="K23" i="28"/>
  <c r="K22" i="28"/>
  <c r="K21" i="28"/>
  <c r="K20" i="28"/>
  <c r="K19" i="28"/>
  <c r="K18" i="28"/>
  <c r="K17" i="28"/>
  <c r="K16" i="28"/>
  <c r="H35" i="28"/>
  <c r="H34" i="28"/>
  <c r="H33" i="28"/>
  <c r="H32" i="28"/>
  <c r="H31" i="28"/>
  <c r="H30" i="28"/>
  <c r="H29" i="28"/>
  <c r="H28" i="28"/>
  <c r="H27" i="28"/>
  <c r="H26" i="28"/>
  <c r="H25" i="28"/>
  <c r="H24" i="28"/>
  <c r="H23" i="28"/>
  <c r="H22" i="28"/>
  <c r="H21" i="28"/>
  <c r="H20" i="28"/>
  <c r="H19" i="28"/>
  <c r="H18" i="28"/>
  <c r="H17" i="28"/>
  <c r="C64" i="38"/>
  <c r="C65" i="38" s="1"/>
  <c r="C66" i="38" s="1"/>
  <c r="C67" i="38" s="1"/>
  <c r="C68" i="38" s="1"/>
  <c r="C69" i="38" s="1"/>
  <c r="C70" i="38" s="1"/>
  <c r="C71" i="38" s="1"/>
  <c r="C72" i="38" s="1"/>
  <c r="C51" i="38"/>
  <c r="C52" i="38" s="1"/>
  <c r="C53" i="38" s="1"/>
  <c r="C54" i="38" s="1"/>
  <c r="C55" i="38" s="1"/>
  <c r="C56" i="38" s="1"/>
  <c r="C57" i="38" s="1"/>
  <c r="C58" i="38" s="1"/>
  <c r="C59" i="38" s="1"/>
  <c r="C35" i="38"/>
  <c r="C36" i="38" s="1"/>
  <c r="C37" i="38" s="1"/>
  <c r="C38" i="38" s="1"/>
  <c r="C39" i="38" s="1"/>
  <c r="C40" i="38" s="1"/>
  <c r="C41" i="38" s="1"/>
  <c r="C42" i="38" s="1"/>
  <c r="C43" i="38" s="1"/>
  <c r="D13" i="32"/>
  <c r="G13" i="32" s="1"/>
  <c r="J13" i="32" s="1"/>
  <c r="M13" i="32" s="1"/>
  <c r="P13" i="32" s="1"/>
  <c r="S13" i="32" s="1"/>
  <c r="D11" i="31"/>
  <c r="G11" i="31" s="1"/>
  <c r="J11" i="31" s="1"/>
  <c r="M11" i="31" s="1"/>
  <c r="P11" i="31" s="1"/>
  <c r="S11" i="31" s="1"/>
  <c r="D11" i="30"/>
  <c r="G11" i="30" s="1"/>
  <c r="J11" i="30" s="1"/>
  <c r="M11" i="30" s="1"/>
  <c r="P11" i="30" s="1"/>
  <c r="S11" i="30" s="1"/>
  <c r="E12" i="34"/>
  <c r="H12" i="34" s="1"/>
  <c r="K12" i="34" s="1"/>
  <c r="N12" i="34" s="1"/>
  <c r="Q12" i="34" s="1"/>
  <c r="T12" i="34" s="1"/>
  <c r="F14" i="28"/>
  <c r="I14" i="28" s="1"/>
  <c r="L14" i="28" s="1"/>
  <c r="O14" i="28" s="1"/>
  <c r="R14" i="28" s="1"/>
  <c r="U14" i="28" s="1"/>
  <c r="E33" i="30"/>
  <c r="D11" i="42" s="1"/>
  <c r="B14" i="31"/>
  <c r="B15" i="31" s="1"/>
  <c r="B16" i="31" s="1"/>
  <c r="B17" i="31" s="1"/>
  <c r="B18" i="31" s="1"/>
  <c r="B19" i="31" s="1"/>
  <c r="B20" i="31" s="1"/>
  <c r="B21" i="31" s="1"/>
  <c r="B22" i="31" s="1"/>
  <c r="B23" i="31" s="1"/>
  <c r="B24" i="31" s="1"/>
  <c r="B25" i="31" s="1"/>
  <c r="B26" i="31" s="1"/>
  <c r="B27" i="31" s="1"/>
  <c r="B28" i="31" s="1"/>
  <c r="B29" i="31" s="1"/>
  <c r="B30" i="31" s="1"/>
  <c r="B31" i="31" s="1"/>
  <c r="B32" i="31" s="1"/>
  <c r="B14" i="30"/>
  <c r="B15" i="30" s="1"/>
  <c r="B16" i="30" s="1"/>
  <c r="B17" i="30" s="1"/>
  <c r="B18" i="30" s="1"/>
  <c r="B19" i="30" s="1"/>
  <c r="B20" i="30" s="1"/>
  <c r="B21" i="30" s="1"/>
  <c r="B22" i="30" s="1"/>
  <c r="B23" i="30" s="1"/>
  <c r="B24" i="30" s="1"/>
  <c r="B25" i="30" s="1"/>
  <c r="B26" i="30" s="1"/>
  <c r="B27" i="30" s="1"/>
  <c r="B28" i="30" s="1"/>
  <c r="B29" i="30" s="1"/>
  <c r="B30" i="30" s="1"/>
  <c r="B31" i="30" s="1"/>
  <c r="B32" i="30" s="1"/>
  <c r="B17" i="28"/>
  <c r="B18" i="28" s="1"/>
  <c r="B19" i="28" s="1"/>
  <c r="B20" i="28" s="1"/>
  <c r="B21" i="28" s="1"/>
  <c r="B22" i="28" s="1"/>
  <c r="B23" i="28" s="1"/>
  <c r="B24" i="28" s="1"/>
  <c r="B25" i="28" s="1"/>
  <c r="B26" i="28" s="1"/>
  <c r="B27" i="28" s="1"/>
  <c r="B28" i="28" s="1"/>
  <c r="B29" i="28" s="1"/>
  <c r="B30" i="28" s="1"/>
  <c r="B31" i="28" s="1"/>
  <c r="B32" i="28" s="1"/>
  <c r="B33" i="28" s="1"/>
  <c r="B34" i="28" s="1"/>
  <c r="B35" i="28" s="1"/>
  <c r="D15" i="41"/>
  <c r="D12" i="41"/>
  <c r="O33" i="43"/>
  <c r="U33" i="43"/>
  <c r="G19" i="40"/>
  <c r="I19" i="40"/>
  <c r="R35" i="32"/>
  <c r="D9" i="42"/>
  <c r="H11" i="42"/>
  <c r="F18" i="41"/>
  <c r="F19" i="40"/>
  <c r="L33" i="43"/>
  <c r="E11" i="41"/>
  <c r="K41" i="27" l="1"/>
  <c r="I33" i="43"/>
  <c r="K38" i="28"/>
  <c r="I39" i="28"/>
  <c r="E13" i="41" s="1"/>
  <c r="E14" i="40" s="1"/>
  <c r="N36" i="28"/>
  <c r="Q36" i="28"/>
  <c r="T38" i="28"/>
  <c r="W36" i="28"/>
  <c r="H36" i="28"/>
  <c r="F12" i="40"/>
  <c r="D16" i="40"/>
  <c r="E11" i="42"/>
  <c r="K36" i="28"/>
  <c r="U39" i="28"/>
  <c r="I13" i="41" s="1"/>
  <c r="N38" i="28"/>
  <c r="W37" i="28"/>
  <c r="F35" i="32"/>
  <c r="L35" i="32"/>
  <c r="F15" i="41"/>
  <c r="F16" i="40" s="1"/>
  <c r="U35" i="32"/>
  <c r="AH41" i="27"/>
  <c r="AD40" i="27"/>
  <c r="K112" i="38"/>
  <c r="K86" i="38"/>
  <c r="K31" i="38"/>
  <c r="K44" i="38"/>
  <c r="S34" i="34"/>
  <c r="M34" i="34"/>
  <c r="V34" i="34"/>
  <c r="P34" i="34"/>
  <c r="J34" i="34"/>
  <c r="F14" i="42"/>
  <c r="H14" i="41"/>
  <c r="H14" i="42"/>
  <c r="E14" i="41"/>
  <c r="G14" i="42"/>
  <c r="I14" i="42"/>
  <c r="E14" i="42"/>
  <c r="J39" i="28"/>
  <c r="E13" i="42" s="1"/>
  <c r="K37" i="28"/>
  <c r="Q37" i="28"/>
  <c r="L39" i="28"/>
  <c r="H38" i="28"/>
  <c r="O35" i="32"/>
  <c r="H16" i="40"/>
  <c r="G16" i="40"/>
  <c r="I16" i="40"/>
  <c r="R33" i="31"/>
  <c r="O33" i="31"/>
  <c r="F33" i="31"/>
  <c r="I33" i="31"/>
  <c r="F33" i="30"/>
  <c r="G13" i="40"/>
  <c r="H13" i="40"/>
  <c r="U33" i="30"/>
  <c r="D12" i="40"/>
  <c r="D14" i="42"/>
  <c r="D16" i="42" s="1"/>
  <c r="F13" i="41"/>
  <c r="F39" i="28"/>
  <c r="H39" i="28" s="1"/>
  <c r="M39" i="28"/>
  <c r="F13" i="42" s="1"/>
  <c r="P39" i="28"/>
  <c r="G13" i="42" s="1"/>
  <c r="X41" i="27"/>
  <c r="Y40" i="27"/>
  <c r="AC41" i="27"/>
  <c r="D9" i="41"/>
  <c r="D10" i="40" s="1"/>
  <c r="K134" i="38"/>
  <c r="K99" i="38"/>
  <c r="K60" i="38"/>
  <c r="E13" i="40"/>
  <c r="D13" i="40"/>
  <c r="H12" i="40"/>
  <c r="E12" i="40"/>
  <c r="I12" i="40"/>
  <c r="F16" i="39"/>
  <c r="J16" i="39" s="1"/>
  <c r="I16" i="39"/>
  <c r="AI39" i="27"/>
  <c r="AA41" i="27"/>
  <c r="O39" i="27"/>
  <c r="I9" i="41"/>
  <c r="I10" i="40" s="1"/>
  <c r="V41" i="27"/>
  <c r="E9" i="42"/>
  <c r="G41" i="27"/>
  <c r="J41" i="27" s="1"/>
  <c r="T39" i="27"/>
  <c r="G9" i="41"/>
  <c r="G10" i="40" s="1"/>
  <c r="S41" i="27"/>
  <c r="AE41" i="27"/>
  <c r="Y39" i="27"/>
  <c r="U41" i="27"/>
  <c r="D10" i="41"/>
  <c r="D11" i="40" s="1"/>
  <c r="AF41" i="27"/>
  <c r="F41" i="27"/>
  <c r="L41" i="27"/>
  <c r="O41" i="27" s="1"/>
  <c r="T40" i="27"/>
  <c r="AD39" i="27"/>
  <c r="Z41" i="27"/>
  <c r="Q41" i="27"/>
  <c r="H9" i="41"/>
  <c r="H10" i="40" s="1"/>
  <c r="AI40" i="27"/>
  <c r="O40" i="27"/>
  <c r="F10" i="40"/>
  <c r="Q38" i="28"/>
  <c r="D19" i="40"/>
  <c r="D18" i="41"/>
  <c r="L33" i="30"/>
  <c r="L33" i="31"/>
  <c r="F12" i="41"/>
  <c r="I12" i="42"/>
  <c r="U33" i="31"/>
  <c r="R33" i="30"/>
  <c r="O39" i="28"/>
  <c r="T36" i="28"/>
  <c r="S39" i="28"/>
  <c r="H13" i="42" s="1"/>
  <c r="V39" i="28"/>
  <c r="I13" i="42" s="1"/>
  <c r="W38" i="28"/>
  <c r="I14" i="41"/>
  <c r="G11" i="42"/>
  <c r="O33" i="30"/>
  <c r="J114" i="38"/>
  <c r="H18" i="41"/>
  <c r="R33" i="43"/>
  <c r="H19" i="40"/>
  <c r="R39" i="28"/>
  <c r="F33" i="43"/>
  <c r="I35" i="32"/>
  <c r="E15" i="41"/>
  <c r="E16" i="40" s="1"/>
  <c r="I114" i="38"/>
  <c r="K73" i="38"/>
  <c r="AI41" i="27" l="1"/>
  <c r="K39" i="28"/>
  <c r="W39" i="28"/>
  <c r="D13" i="41"/>
  <c r="D14" i="40" s="1"/>
  <c r="K114" i="38"/>
  <c r="F16" i="42"/>
  <c r="E15" i="40"/>
  <c r="H15" i="40"/>
  <c r="I15" i="40"/>
  <c r="I14" i="40"/>
  <c r="Y41" i="27"/>
  <c r="E16" i="42"/>
  <c r="G14" i="41"/>
  <c r="G15" i="40" s="1"/>
  <c r="H16" i="42"/>
  <c r="N39" i="28"/>
  <c r="F14" i="40"/>
  <c r="AD41" i="27"/>
  <c r="I16" i="42"/>
  <c r="I13" i="40"/>
  <c r="E10" i="40"/>
  <c r="T41" i="27"/>
  <c r="F13" i="40"/>
  <c r="G13" i="41"/>
  <c r="Q39" i="28"/>
  <c r="D14" i="41"/>
  <c r="D15" i="40" s="1"/>
  <c r="G16" i="42"/>
  <c r="G12" i="40"/>
  <c r="T39" i="28"/>
  <c r="H13" i="41"/>
  <c r="E16" i="41"/>
  <c r="F14" i="41"/>
  <c r="F15" i="40" s="1"/>
  <c r="I16" i="41"/>
  <c r="D17" i="40" l="1"/>
  <c r="E17" i="40"/>
  <c r="I17" i="40"/>
  <c r="D16" i="41"/>
  <c r="G14" i="40"/>
  <c r="G17" i="40" s="1"/>
  <c r="G16" i="41"/>
  <c r="F17" i="40"/>
  <c r="H14" i="40"/>
  <c r="H17" i="40" s="1"/>
  <c r="H16" i="41"/>
  <c r="F16" i="41"/>
</calcChain>
</file>

<file path=xl/sharedStrings.xml><?xml version="1.0" encoding="utf-8"?>
<sst xmlns="http://schemas.openxmlformats.org/spreadsheetml/2006/main" count="499" uniqueCount="193">
  <si>
    <t xml:space="preserve"> Nombre</t>
  </si>
  <si>
    <t xml:space="preserve"> Código
 Recurso</t>
  </si>
  <si>
    <t>TOTAL</t>
  </si>
  <si>
    <t xml:space="preserve"> Titulación</t>
  </si>
  <si>
    <t>Coste/Gasto TOTAL</t>
  </si>
  <si>
    <t>2.2 COLABORACIONES EXTERNAS</t>
  </si>
  <si>
    <t>Coste/Gasto I+D</t>
  </si>
  <si>
    <t>Coste/Gasto
I+D</t>
  </si>
  <si>
    <t>Coste/Gasto
TOTAL</t>
  </si>
  <si>
    <t>2.5 OTROS GASTOS</t>
  </si>
  <si>
    <t xml:space="preserve"> Código Fungible</t>
  </si>
  <si>
    <t>TOTAL PERSONAL</t>
  </si>
  <si>
    <t>I+D</t>
  </si>
  <si>
    <t>UNI</t>
  </si>
  <si>
    <t>OPI</t>
  </si>
  <si>
    <t>2.2.2 Otros (Empresas Privadas, Asociaciones, etc.)</t>
  </si>
  <si>
    <t>TOTAL COLABORACIONES EXTERNAS contratadas / encargadas a UNIVERSIDADES</t>
  </si>
  <si>
    <t>TOTAL COLABORACIONES EXTERNAS contratadas / encargadas a ORGANISMOS PÚBLICOS DE INVESTIGACIÓN</t>
  </si>
  <si>
    <t>TOTAL COLABORACIONES EXTERNAS contratadas / encargadas a CENTROS DE INNOVACIÓN Y TECNOLOGÍA</t>
  </si>
  <si>
    <t xml:space="preserve"> PRESUPUESTO TOTAL DEL PROYECTO (en Euros)</t>
  </si>
  <si>
    <t xml:space="preserve"> EJERCICIO FISCAL</t>
  </si>
  <si>
    <t>Personal investigador cualificado de adscripción exclusiva (sólo proyectos I+D)</t>
  </si>
  <si>
    <t>Material fungible</t>
  </si>
  <si>
    <t xml:space="preserve">Otras colaboraciones externas </t>
  </si>
  <si>
    <t>TOTAL COSTES / GASTOS</t>
  </si>
  <si>
    <t>PRESUPUESTO EN INVESTIGACIÓN Y DESARROLLO DEL PROYECTO (en Euros)</t>
  </si>
  <si>
    <t>PRESUPUESTO EN INNOVACIÓN TECNOLÓGICA DEL PROYECTO (en Euros)</t>
  </si>
  <si>
    <t>CIT</t>
  </si>
  <si>
    <t>Otros gastos</t>
  </si>
  <si>
    <t xml:space="preserve">   TOTAL DE COSTES/GASTOS</t>
  </si>
  <si>
    <t>CONCEPTO</t>
  </si>
  <si>
    <t>IDENTIFICACIÓN</t>
  </si>
  <si>
    <t>Coste/Gasto total</t>
  </si>
  <si>
    <t>ENUMERACIÓN DE LAS DESVIACIONES SUPERIORES AL 20% DEL PRESUPUESTO DEL PROYECTO:</t>
  </si>
  <si>
    <t>Presupuesto de Proyecto</t>
  </si>
  <si>
    <t>Efectivamente Incurrido</t>
  </si>
  <si>
    <t>Total</t>
  </si>
  <si>
    <t>NOMBRE</t>
  </si>
  <si>
    <t>Nº/TIPO DE DOCUMENTO</t>
  </si>
  <si>
    <t>FECHA</t>
  </si>
  <si>
    <t>TITULACIÓN</t>
  </si>
  <si>
    <t>IMPORTE (€)</t>
  </si>
  <si>
    <t>IT</t>
  </si>
  <si>
    <t>ORIGEN/PROVEEDOR</t>
  </si>
  <si>
    <t>Nº DOC./FACTURA</t>
  </si>
  <si>
    <t>Material Fungible</t>
  </si>
  <si>
    <t>5.1</t>
  </si>
  <si>
    <t>5.2</t>
  </si>
  <si>
    <t>5.3</t>
  </si>
  <si>
    <t>5.4</t>
  </si>
  <si>
    <t>5.5</t>
  </si>
  <si>
    <t>5.6</t>
  </si>
  <si>
    <t>5.7</t>
  </si>
  <si>
    <t>5.8</t>
  </si>
  <si>
    <t>5.9</t>
  </si>
  <si>
    <t>5.10</t>
  </si>
  <si>
    <t>8.1</t>
  </si>
  <si>
    <t>8.2</t>
  </si>
  <si>
    <t>8.3</t>
  </si>
  <si>
    <t>8.4</t>
  </si>
  <si>
    <t>8.5</t>
  </si>
  <si>
    <t>8.6</t>
  </si>
  <si>
    <t>8.7</t>
  </si>
  <si>
    <t>8.8</t>
  </si>
  <si>
    <t>8.9</t>
  </si>
  <si>
    <t>8.10</t>
  </si>
  <si>
    <t>Otras colaboraciones externas</t>
  </si>
  <si>
    <t>9.1</t>
  </si>
  <si>
    <t>9.2</t>
  </si>
  <si>
    <t>9.3</t>
  </si>
  <si>
    <t>9.4</t>
  </si>
  <si>
    <t>9.5</t>
  </si>
  <si>
    <t>9.6</t>
  </si>
  <si>
    <t>9.7</t>
  </si>
  <si>
    <t>9.8</t>
  </si>
  <si>
    <t>9.9</t>
  </si>
  <si>
    <t>9.10</t>
  </si>
  <si>
    <t>FICHA DE DESVIACIONES (sólo en caso de solicitud de informe del tipo a)</t>
  </si>
  <si>
    <t>NIF</t>
  </si>
  <si>
    <t>2.1 PERSONAL INVESTIGADOR</t>
  </si>
  <si>
    <t>Código Elemento</t>
  </si>
  <si>
    <t>2.4 MATERIAL FUNGIBLE</t>
  </si>
  <si>
    <t>2.3 AMORTIZACIÓN DE ELEMENTOS DE INMOVILIZADO MATERIAL E INTANGIBLE</t>
  </si>
  <si>
    <t>PRESUPUESTO TOTAL DEL PROYECTO</t>
  </si>
  <si>
    <t>TOTAL INVERSIÓN EN ELEMENTOS DE INMOVILIZADO MATERIAL E INTANGIBLE</t>
  </si>
  <si>
    <t>PRESUPUESTO EN INVESTIGACIÓN Y DESARROLLO DEL PROYECTO</t>
  </si>
  <si>
    <t>PRESUPUESTO EN INNOVACIÓN TECNOLÓGICA DEL PROYECTO</t>
  </si>
  <si>
    <t>Amortización de elementos de inmovilizado material e Intangible</t>
  </si>
  <si>
    <t>Personal aplicado a actividades de I+D+i</t>
  </si>
  <si>
    <t>Personal Investigador cualificado y aplicado en exclusiva a actividades de I+D</t>
  </si>
  <si>
    <t>Amortización de elementos de inmovilizado material e intangible</t>
  </si>
  <si>
    <t>10.1</t>
  </si>
  <si>
    <t>10.2</t>
  </si>
  <si>
    <t>10.3</t>
  </si>
  <si>
    <t>10.4</t>
  </si>
  <si>
    <t>10.5</t>
  </si>
  <si>
    <t>10.6</t>
  </si>
  <si>
    <t>10.7</t>
  </si>
  <si>
    <t>10.8</t>
  </si>
  <si>
    <t>10.9</t>
  </si>
  <si>
    <t>10.10</t>
  </si>
  <si>
    <t>Inversión en elementos de inmovilizado material e intangible (I+D)</t>
  </si>
  <si>
    <t>Personal investigador cualificado y en exclusiva a I+D</t>
  </si>
  <si>
    <t>Horas
imputadas
I+D</t>
  </si>
  <si>
    <t>TOTAL personal NO ADSCRITO EN EXCLUSIVA a Actividades de I+D</t>
  </si>
  <si>
    <t>TOTAL personal ADSCRITO EN EXCLUSIVA a Actividades de I+D</t>
  </si>
  <si>
    <t>Excl I+D
(SÍ/NO)</t>
  </si>
  <si>
    <t>Nº</t>
  </si>
  <si>
    <t>NO</t>
  </si>
  <si>
    <t>DATOS RELATIVOS A LA SOLICITUD DE INFORME MOTIVADO</t>
  </si>
  <si>
    <t>TÍTULO DEL PROYECTO:</t>
  </si>
  <si>
    <t>RAZÓN SOCIAL ENTIDAD:</t>
  </si>
  <si>
    <t>INSTRUCCIONES</t>
  </si>
  <si>
    <t>AÑO DE INICIO DEL PROYECTO:</t>
  </si>
  <si>
    <t xml:space="preserve"> Código
 Persona</t>
  </si>
  <si>
    <t>Código 
Otros</t>
  </si>
  <si>
    <t>(Personal, Colaboraciones, etc.)</t>
  </si>
  <si>
    <t>(Nombre de la persona, entidad, material, etc.)</t>
  </si>
  <si>
    <t>Porcentaje</t>
  </si>
  <si>
    <t>(%)</t>
  </si>
  <si>
    <t xml:space="preserve"> - Es obligatorio indicar la 'Tipología' de la colaboración (UNI, OPI o CIT).</t>
  </si>
  <si>
    <t>FECHA INICIO:</t>
  </si>
  <si>
    <t>FECHA FIN:</t>
  </si>
  <si>
    <t>EJERCICIO FISCAL DE SOLICITUD (dd/mm/aaaa):</t>
  </si>
  <si>
    <t>Tipo</t>
  </si>
  <si>
    <t>TOTAL COL. EXTERNAS CONTRATADAS /ENCARGADAS A UNIVERSIDADES, OPIs y CCTT</t>
  </si>
  <si>
    <t>Colaboraciones Externas: Universidades, OPIs y/o CITs</t>
  </si>
  <si>
    <t>2.2.1 Universidades, Organismos Públicos de Investigación y Centros de Innovación y Tecnología (reconocidos y registrados como tales)</t>
  </si>
  <si>
    <t>Nº DE EXPEDIENTE (INFORME MOTIVADO):</t>
  </si>
  <si>
    <t xml:space="preserve"> - Por cada una de las entidades de colaboración, se cumplimentará/n su/s correspondiente/s ficha/s de ampliación del apartado 2.2 y el resto de Fichas "adicionales" cuando proceda.</t>
  </si>
  <si>
    <t>TOTAL COLABORACIONES EXTERNAS</t>
  </si>
  <si>
    <t xml:space="preserve"> - Por cada uno de los elementos de inmovilizado, se cumplimentará su correspondiente Ficha de ampliación del apartado 2.3.</t>
  </si>
  <si>
    <t xml:space="preserve"> - Para cada uno de los conceptos recogidos, que superen en una cuantía del 5% a la suma total del gasto de personal, o que sumados los de un mismo proveedor o modalidad superen dicha cuantía, se cumplimentará la Ficha de ampliación del apartado 2.5.</t>
  </si>
  <si>
    <t>LISTADO DE LOS DOCUMENTOS JUSTIFICATIVOS DE LA INVERSIÓN EN ELEMENTOS DE INMOVILIZADO MATERIAL E INTANGIBLE (I+D)</t>
  </si>
  <si>
    <t>LISTADO DE LOS DOCUMENTOS JUSTIFICATIVOS DE LOS GASTOS O COSTES INCURRIDOS EN EL PROYECTO</t>
  </si>
  <si>
    <t>2.3 INVERSIÓN EN ELEMENTOS DE INMOVILIZADO MATERIAL E INTANGIBLE</t>
  </si>
  <si>
    <t xml:space="preserve"> - Por cada una de las entidades colaboradoras, se cumplimentará/n su/s correspondiente/s Ficha/s de ampliación del apartado 2.2 y el resto de Fichas "adicionales" cuando proceda.</t>
  </si>
  <si>
    <t xml:space="preserve"> Código
Colaboración</t>
  </si>
  <si>
    <t>Horas
imputadas
IT</t>
  </si>
  <si>
    <t>Coste/Gasto
IT</t>
  </si>
  <si>
    <r>
      <t xml:space="preserve">1- Debe entregarse un único documento PDF que incluya, por lo menos, todas las Hojas del Formulario </t>
    </r>
    <r>
      <rPr>
        <u/>
        <sz val="10"/>
        <rFont val="Arial"/>
        <family val="2"/>
      </rPr>
      <t>donde se hayan introducido datos</t>
    </r>
    <r>
      <rPr>
        <sz val="10"/>
        <rFont val="Arial"/>
        <family val="2"/>
      </rPr>
      <t xml:space="preserve">. Las Hojas deben presentarse en el orden establecido en esta plantilla. </t>
    </r>
    <r>
      <rPr>
        <u/>
        <sz val="10"/>
        <rFont val="Arial"/>
        <family val="2"/>
      </rPr>
      <t>La primera página del PDF debe ser la Hoja 'Datos solicitud' con los datos de la solicitante. No agregue al documento PDF resultante otras páginas diferentes a las expuestas en este Formulario</t>
    </r>
    <r>
      <rPr>
        <sz val="10"/>
        <rFont val="Arial"/>
        <family val="2"/>
      </rPr>
      <t xml:space="preserve">. No es necesario que la presente Hoja con instrucciones se incluya en el PDF resultante que ha de entregarse, pero, si se muestra, debe ser escalada ajustando la hoja en una única página. </t>
    </r>
    <r>
      <rPr>
        <u/>
        <sz val="10"/>
        <rFont val="Arial"/>
        <family val="2"/>
      </rPr>
      <t>Deben seguirse</t>
    </r>
    <r>
      <rPr>
        <sz val="10"/>
        <rFont val="Arial"/>
        <family val="2"/>
      </rPr>
      <t xml:space="preserve"> las instrucciones concretas marcadas en fuente roja que se exponen al inicio de algunas de las Hojas del Formulario. Las Hojas 'I+D' e 'IT' deberán ser incluidas en función de la calificación que haya sido consignada en las Hojas restantes. La Hoja 'TOTAL' debe ser incluida obligatoriamente en todos los casos.
2- Para solicitudes tipo 'A' es </t>
    </r>
    <r>
      <rPr>
        <u/>
        <sz val="10"/>
        <rFont val="Arial"/>
        <family val="2"/>
      </rPr>
      <t>obligatorio</t>
    </r>
    <r>
      <rPr>
        <sz val="10"/>
        <rFont val="Arial"/>
        <family val="2"/>
      </rPr>
      <t xml:space="preserve"> incluir la Hoja con la “Ficha de desviaciones” y describir aquellas desviaciones que sean superiores al 20%. Así mismo, para solicitudes tipo 'A' es </t>
    </r>
    <r>
      <rPr>
        <u/>
        <sz val="10"/>
        <rFont val="Arial"/>
        <family val="2"/>
      </rPr>
      <t>obligatorio</t>
    </r>
    <r>
      <rPr>
        <sz val="10"/>
        <rFont val="Arial"/>
        <family val="2"/>
      </rPr>
      <t xml:space="preserve"> incluir la Hoja con el Listado de documentos justificativos de los gastos correctamente cumplimentado en cada fila/celda (incluso para los Formularios "adicionales" que deben presentarse en solicitudes de AIEs).
3- En cada Hoja, deben añadirse tantas filas como se consideren necesarias. En cada fila añadida deben reproducirse las Fórmulas existentes en la Hoja para que se efectúen los cálculos automáticos. No deben realizarse modificaciones en las Fórmulas. Debe respetarse la estructura general del Formulario. No elimine las Filas que no utilice, deje en blanco las que no considere oportunas.
4- Los gastos reflejados en cada una de las Hojas deben guardar correspondencia entre sí. A su vez, los gastos mostrados en el presente Formulario deben coincidir con </t>
    </r>
    <r>
      <rPr>
        <u/>
        <sz val="10"/>
        <rFont val="Arial"/>
        <family val="2"/>
      </rPr>
      <t>los 'Gastos Presentados/Presupuestados'</t>
    </r>
    <r>
      <rPr>
        <sz val="10"/>
        <rFont val="Arial"/>
        <family val="2"/>
      </rPr>
      <t xml:space="preserve"> que se muestren en el 'Informe Técnico de la EC' y en el 'Informe Técnico XSIG (XML)' que deben acompañar a su Solicitud. Es decir, deben mostrarse los valores de los gastos presentados a Certificación, no los gastos resultantes de dicha Certificación (salvo que sean idénticos). De igual forma, los gastos mostrados deben coincidir con </t>
    </r>
    <r>
      <rPr>
        <u/>
        <sz val="10"/>
        <rFont val="Arial"/>
        <family val="2"/>
      </rPr>
      <t>los 'Gastos Presentados/Presupuestados'</t>
    </r>
    <r>
      <rPr>
        <sz val="10"/>
        <rFont val="Arial"/>
        <family val="2"/>
      </rPr>
      <t xml:space="preserve"> que se muestren en la Memoria Técnica/Económica.
5- Si el proyecto tiene una duración mayor de 6 anualidades, deberán entregarse dos o más Formularios. Uno que abarque las anualidades 1-6, otro 7-12, y así sucesivamente. En estos casos, en cada Formulario deberá indicarse como 'Año de Inicio' el primero de los años empleados en ese rango. En cualquier caso, no se deben añadir/eliminar columnas.
6- Los datos del Ejercicio fiscal y del Título del proyecto </t>
    </r>
    <r>
      <rPr>
        <u/>
        <sz val="10"/>
        <rFont val="Arial"/>
        <family val="2"/>
      </rPr>
      <t>deben responder con exactitud a lo asociado a la solicitud de informe motivado.</t>
    </r>
    <r>
      <rPr>
        <sz val="10"/>
        <rFont val="Arial"/>
        <family val="2"/>
      </rPr>
      <t xml:space="preserve"> El Título </t>
    </r>
    <r>
      <rPr>
        <u/>
        <sz val="10"/>
        <rFont val="Arial"/>
        <family val="2"/>
      </rPr>
      <t>no puede superar los 100 caracteres.</t>
    </r>
    <r>
      <rPr>
        <sz val="10"/>
        <rFont val="Arial"/>
        <family val="2"/>
      </rPr>
      <t xml:space="preserve">
7- Debe respetarse la estructura y el formato del documento. El contenido descriptivo de cada línea de gasto ha de ser reflejado </t>
    </r>
    <r>
      <rPr>
        <u/>
        <sz val="10"/>
        <rFont val="Arial"/>
        <family val="2"/>
      </rPr>
      <t>obligatoriamente</t>
    </r>
    <r>
      <rPr>
        <sz val="10"/>
        <rFont val="Arial"/>
        <family val="2"/>
      </rPr>
      <t xml:space="preserve"> en Castellano, incluyendo los campos 'Concepto' y 'Titulación' del 'Listado de los documentos justificativos...'. No se admite incluir más de 400 caracteres en cada uno de los campos del Formulario. Si se incluyen más de 400 caracteres el documento no se considerará válido.
8- En el campo 'CONCEPTO' de cada Línea de gasto (incluyendo al 'Listado de los documentos justificativos...') deberá describirse sintéticamente el gasto, sin limitarse a una mera descripción genérica como “servicios profesionales”, “materiales varios”, “gastos según pedido X”, etc.). Es decir, el contenido de cada Fila ha de ser representativo del Gasto asociado.
9- Al transformar el documento en PDF se debe asegurar que el contenido incluido en las celdas no se oculta en la transformación, ya que, en dicho caso, el documento no se considerará válido. Si es necesario se pueden separar las Filas de una tabla en diferentes páginas, pero NO se admite separar las Columnas de una misma tabla en diferentes páginas. Verifique que, para cada tabla, se muestran todas las columnas.
10- En caso de tratarse de un Formulario "adicional", en el campo "Razón social entidad", a la </t>
    </r>
    <r>
      <rPr>
        <u/>
        <sz val="10"/>
        <rFont val="Arial"/>
        <family val="2"/>
      </rPr>
      <t>derecha del dato de la AIE solicitante, se debe reflejar entre paréntesis</t>
    </r>
    <r>
      <rPr>
        <sz val="10"/>
        <rFont val="Arial"/>
        <family val="2"/>
      </rPr>
      <t>, la Razón Social de la entidad subcontratada de la que se aporta el Formulario "adicional".</t>
    </r>
  </si>
  <si>
    <t xml:space="preserve"> - Para cada una de las personas participantes en el proyecto, se cumplimentará su correspondiente Ficha de ampliación del apartado 2.1.</t>
  </si>
  <si>
    <t>Amortización de Elementos de Inmovilizado Material e Intangible (Concepto específico detallado)</t>
  </si>
  <si>
    <r>
      <t xml:space="preserve"> - Para anualidades no finalizadas</t>
    </r>
    <r>
      <rPr>
        <b/>
        <u/>
        <sz val="11"/>
        <color rgb="FFFF0000"/>
        <rFont val="Arial"/>
        <family val="2"/>
      </rPr>
      <t xml:space="preserve"> en la fecha de la entrega del documento</t>
    </r>
    <r>
      <rPr>
        <b/>
        <sz val="11"/>
        <color rgb="FFFF0000"/>
        <rFont val="Arial"/>
        <family val="2"/>
      </rPr>
      <t>, si aún no se conocen los datos concretos de una persona, en el campo "Nombre y apellidos" se reflejará el "Perfil profesional". También aplica para solicitudes registradas por una AGRUPACIÓN DE INTERÉS ECONÓMICO (AIE), para personas participantes en el proyecto de una colaboradora de “segundo nivel” o sucesivos.</t>
    </r>
  </si>
  <si>
    <t>Inversión en Elementos de Inmovilizado Material e Intangible (Concepto específico detallado)</t>
  </si>
  <si>
    <t>Nombre y Apellidos</t>
  </si>
  <si>
    <t>Razón Social de Entidad Colaboradora</t>
  </si>
  <si>
    <t>Material Fungible (Concepto específico detallado)</t>
  </si>
  <si>
    <t xml:space="preserve"> - En la columna 'Excl I+D`se indicará si se trata o no de un investigador adscrito en exclusiva a I+D.</t>
  </si>
  <si>
    <r>
      <t xml:space="preserve"> - Para anualidades no finalizadas </t>
    </r>
    <r>
      <rPr>
        <b/>
        <u/>
        <sz val="11"/>
        <color rgb="FFFF0000"/>
        <rFont val="Arial"/>
        <family val="2"/>
      </rPr>
      <t>en la fecha de la entrega del documento</t>
    </r>
    <r>
      <rPr>
        <b/>
        <sz val="11"/>
        <color rgb="FFFF0000"/>
        <rFont val="Arial"/>
        <family val="2"/>
      </rPr>
      <t>, si aún no se conocen los datos específicos de la entidad colaboradora, en el campo "Razón social" se reflejarán los trabajos/actividades principales que va a acometer.</t>
    </r>
  </si>
  <si>
    <r>
      <t xml:space="preserve"> - Para anualidades no finalizadas </t>
    </r>
    <r>
      <rPr>
        <b/>
        <u/>
        <sz val="11"/>
        <color rgb="FFFF0000"/>
        <rFont val="Arial"/>
        <family val="2"/>
      </rPr>
      <t>en la fecha de la entrega del documento</t>
    </r>
    <r>
      <rPr>
        <b/>
        <sz val="11"/>
        <color rgb="FFFF0000"/>
        <rFont val="Arial"/>
        <family val="2"/>
      </rPr>
      <t>, si aún no se conocen los datos específicos de un elemento de inmovilizado, en el campo "Amortización" se reflejarán los trabajos/actividades principales para los que va a ser empleado.</t>
    </r>
  </si>
  <si>
    <r>
      <t xml:space="preserve"> - Para anualidades no finalizadas </t>
    </r>
    <r>
      <rPr>
        <b/>
        <u/>
        <sz val="11"/>
        <color rgb="FFFF0000"/>
        <rFont val="Arial"/>
        <family val="2"/>
      </rPr>
      <t>en la fecha de la entrega del documento</t>
    </r>
    <r>
      <rPr>
        <b/>
        <sz val="11"/>
        <color rgb="FFFF0000"/>
        <rFont val="Arial"/>
        <family val="2"/>
      </rPr>
      <t>, si aún no se conocen los datos específicos de un elemento de inmovilizado, en el campo "Inversión" se reflejarán los trabajos/actividades principales para los que va a ser empleado.</t>
    </r>
  </si>
  <si>
    <r>
      <t xml:space="preserve"> - Para anualidades no finalizadas </t>
    </r>
    <r>
      <rPr>
        <b/>
        <u/>
        <sz val="11"/>
        <color rgb="FFFF0000"/>
        <rFont val="Arial"/>
        <family val="2"/>
      </rPr>
      <t>en la fecha de la entrega del documento</t>
    </r>
    <r>
      <rPr>
        <b/>
        <sz val="11"/>
        <color rgb="FFFF0000"/>
        <rFont val="Arial"/>
        <family val="2"/>
      </rPr>
      <t>, si aún no se conocen los datos específicos de un material, en el campo "Material fungible" se reflejarán los trabajos/actividades principales para los que va a ser empleado.</t>
    </r>
  </si>
  <si>
    <t xml:space="preserve"> - Por cada una de las partidas correspondientes a un mismo proveedor o un concepto, cuya suma sea superior a 30.000 €, se cumplimentará/n su/s correspondiente/s Ficha/s de ampliación del apartado 2.4.</t>
  </si>
  <si>
    <t>Otros Gastos (Concepto específico detallado)</t>
  </si>
  <si>
    <r>
      <t xml:space="preserve"> - Para anualidades no finalizadas </t>
    </r>
    <r>
      <rPr>
        <b/>
        <u/>
        <sz val="11"/>
        <color rgb="FFFF0000"/>
        <rFont val="Arial"/>
        <family val="2"/>
      </rPr>
      <t>en la fecha de la entrega del documento</t>
    </r>
    <r>
      <rPr>
        <b/>
        <sz val="11"/>
        <color rgb="FFFF0000"/>
        <rFont val="Arial"/>
        <family val="2"/>
      </rPr>
      <t>, si aún no se conocen los datos específicos de un elemento considerado como “otros gastos”, en el campo "Otros gastos" se reflejarán los trabajos/actividades principales para los que va a ser empleado.</t>
    </r>
  </si>
  <si>
    <t xml:space="preserve"> - Dentro de la partida de “Otros gastos” solo se pueden incluir aquellos conceptos que por su naturaleza NO puedan ser encuadrados en ninguna de las partidas restantes habilitadas. No es admisible consignar en esta partida costes de conceptos que puedan ser atribuibles a otras partidas.</t>
  </si>
  <si>
    <t xml:space="preserve">GLOBAL SOFTWARE PARTNER, S.L </t>
  </si>
  <si>
    <t>DESARROLLO DE UN NUEVO SISTEMA PARA LA MEJORA DE PROCESOS DIGITALES Y AUTOMATIZACIÓN DOCUMENTAL</t>
  </si>
  <si>
    <t>IDI-2025-235888-a</t>
  </si>
  <si>
    <t>ADRIA COMAS SALVIDE</t>
  </si>
  <si>
    <t>Ingenieria tecnica informatica gestion</t>
  </si>
  <si>
    <t>ALBERT SOLES AYMA</t>
  </si>
  <si>
    <t>Ingeniero informatico</t>
  </si>
  <si>
    <t>CARLOS MARTINEZ FUXA</t>
  </si>
  <si>
    <t>DAVID MILLAN BARBA</t>
  </si>
  <si>
    <t>Ingenieria tecnica informatica getion</t>
  </si>
  <si>
    <t>EUDALD FONT RUBAU</t>
  </si>
  <si>
    <t>Tecnico superior en Desarrollo aplicaciones multiplataforma</t>
  </si>
  <si>
    <t>FRANCESC PUIGDEMONT COMPANY</t>
  </si>
  <si>
    <t>GENIS PUIGDEMONT GRABULOSA</t>
  </si>
  <si>
    <t>JAVIER MARINI BONILLA</t>
  </si>
  <si>
    <t>JORDI MERCADER OLLER</t>
  </si>
  <si>
    <t>JOSE ANDRES GOMEZ MARTIN</t>
  </si>
  <si>
    <t>JOSE ANTONIO BALLESTEROS ABALOS</t>
  </si>
  <si>
    <t>JOSU UGALDE MENDIZABAL</t>
  </si>
  <si>
    <t>Ingeniero Informatico</t>
  </si>
  <si>
    <t>JUAN CARLOS MERINO FERMAN</t>
  </si>
  <si>
    <t>Tecnico superior desarrollo aplicaciones infoirmaticas</t>
  </si>
  <si>
    <t>MARC PALLEJA REGAS</t>
  </si>
  <si>
    <t>MARC SERRA CLAPAROLS</t>
  </si>
  <si>
    <t>MARTI GASULL MORCILLO</t>
  </si>
  <si>
    <t>MOHAMED MAHOUTI BENAMAR</t>
  </si>
  <si>
    <t>Licenciado Economia/Administracion</t>
  </si>
  <si>
    <t>NESTOR LACRAMPE SORIANO</t>
  </si>
  <si>
    <t>OLIVER PARRA SALVADOR</t>
  </si>
  <si>
    <t>PEDRO BALLESTEROS VIDA</t>
  </si>
  <si>
    <t>XAVIER GAMBIN ROMERO</t>
  </si>
  <si>
    <t>XAVIER MIRALPEIX ROVIRA</t>
  </si>
  <si>
    <t>Personal 2025</t>
  </si>
  <si>
    <t xml:space="preserve">Titulados en ingenierías técnicas </t>
  </si>
  <si>
    <t xml:space="preserve">Personal 2026 </t>
  </si>
  <si>
    <t>RNT - IDC - CCRR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</si>
</sst>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7">
    <numFmt numFmtId="8" formatCode="#,##0.00\ &quot;€&quot;;[Red]\-#,##0.00\ &quot;€&quot;"/>
    <numFmt numFmtId="44" formatCode="_-* #,##0.00\ &quot;€&quot;_-;\-* #,##0.00\ &quot;€&quot;_-;_-* &quot;-&quot;??\ &quot;€&quot;_-;_-@_-"/>
    <numFmt numFmtId="164" formatCode="00"/>
    <numFmt numFmtId="165" formatCode="#,##0.00\ &quot;€ &quot;"/>
    <numFmt numFmtId="166" formatCode="#,##0.00\ &quot;€ &quot;;;"/>
    <numFmt numFmtId="167" formatCode="#,##0.00\ &quot;€ &quot;;"/>
    <numFmt numFmtId="168" formatCode="#,##0.00\ &quot;€ &quot;;\-#,##0.00\ &quot;€ &quot;;0.00\ &quot;€ &quot;"/>
    <numFmt numFmtId="169" formatCode="#,##0.00\ &quot;€&quot;;\-#,##0.00\ &quot;€&quot;;0.00\ &quot;€&quot;"/>
    <numFmt numFmtId="170" formatCode="#,##0\ "/>
    <numFmt numFmtId="171" formatCode="&quot;1.&quot;0"/>
    <numFmt numFmtId="172" formatCode="&quot;2.&quot;0"/>
    <numFmt numFmtId="173" formatCode="&quot;3.&quot;0"/>
    <numFmt numFmtId="174" formatCode="&quot;4.&quot;0"/>
    <numFmt numFmtId="175" formatCode="&quot;5.&quot;0"/>
    <numFmt numFmtId="176" formatCode="General;;"/>
    <numFmt numFmtId="177" formatCode="#,##0.00\ &quot;h &quot;"/>
    <numFmt numFmtId="178" formatCode="#,##0.00_ ;[Red]\-#,##0.00\ "/>
  </numFmts>
  <fonts count="23" x14ac:knownFonts="1">
    <font>
      <sz val="10"/>
      <name val="Arial"/>
    </font>
    <font>
      <sz val="10"/>
      <name val="Arial"/>
      <family val="2"/>
    </font>
    <font>
      <sz val="8"/>
      <name val="Arial"/>
      <family val="2"/>
    </font>
    <font>
      <sz val="11"/>
      <name val="Arial"/>
      <family val="2"/>
    </font>
    <font>
      <b/>
      <sz val="11"/>
      <name val="Arial"/>
      <family val="2"/>
    </font>
    <font>
      <sz val="11"/>
      <color indexed="9"/>
      <name val="Arial"/>
      <family val="2"/>
    </font>
    <font>
      <sz val="10"/>
      <name val="Arial Narrow"/>
      <family val="2"/>
    </font>
    <font>
      <b/>
      <sz val="12"/>
      <name val="Arial"/>
      <family val="2"/>
    </font>
    <font>
      <sz val="12"/>
      <name val="Arial"/>
      <family val="2"/>
    </font>
    <font>
      <i/>
      <sz val="9"/>
      <name val="Arial"/>
      <family val="2"/>
    </font>
    <font>
      <sz val="10"/>
      <name val="Arial"/>
      <family val="2"/>
    </font>
    <font>
      <b/>
      <sz val="10"/>
      <name val="Arial"/>
      <family val="2"/>
    </font>
    <font>
      <sz val="12"/>
      <name val="Arial"/>
      <family val="2"/>
    </font>
    <font>
      <b/>
      <u/>
      <sz val="11"/>
      <name val="Arial"/>
      <family val="2"/>
    </font>
    <font>
      <b/>
      <u/>
      <sz val="10"/>
      <name val="Arial"/>
      <family val="2"/>
    </font>
    <font>
      <b/>
      <u/>
      <sz val="12"/>
      <name val="Arial"/>
      <family val="2"/>
    </font>
    <font>
      <i/>
      <sz val="11"/>
      <name val="Arial"/>
      <family val="2"/>
    </font>
    <font>
      <i/>
      <sz val="10"/>
      <name val="Arial"/>
      <family val="2"/>
    </font>
    <font>
      <b/>
      <u/>
      <sz val="13"/>
      <name val="Arial"/>
      <family val="2"/>
    </font>
    <font>
      <b/>
      <u/>
      <sz val="14"/>
      <name val="Arial"/>
      <family val="2"/>
    </font>
    <font>
      <b/>
      <sz val="11"/>
      <color rgb="FFFF0000"/>
      <name val="Arial"/>
      <family val="2"/>
    </font>
    <font>
      <u/>
      <sz val="10"/>
      <name val="Arial"/>
      <family val="2"/>
    </font>
    <font>
      <b/>
      <u/>
      <sz val="11"/>
      <color rgb="FFFF0000"/>
      <name val="Arial"/>
      <family val="2"/>
    </font>
  </fonts>
  <fills count="6">
    <fill>
      <patternFill patternType="none"/>
    </fill>
    <fill>
      <patternFill patternType="gray125"/>
    </fill>
    <fill>
      <patternFill patternType="solid">
        <fgColor indexed="22"/>
        <bgColor indexed="64"/>
      </patternFill>
    </fill>
    <fill>
      <patternFill patternType="solid">
        <fgColor theme="0" tint="-0.499984740745262"/>
        <bgColor indexed="64"/>
      </patternFill>
    </fill>
    <fill>
      <patternFill patternType="solid">
        <fgColor theme="0" tint="-0.24994659260841701"/>
        <bgColor indexed="64"/>
      </patternFill>
    </fill>
    <fill>
      <patternFill patternType="solid">
        <fgColor theme="8" tint="0.79998168889431442"/>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bottom/>
      <diagonal/>
    </border>
    <border>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s>
  <cellStyleXfs count="14">
    <xf numFmtId="0" fontId="0" fillId="0" borderId="0"/>
    <xf numFmtId="44" fontId="1"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0" fillId="0" borderId="0"/>
  </cellStyleXfs>
  <cellXfs count="311">
    <xf numFmtId="0" fontId="0" fillId="0" borderId="0" xfId="0"/>
    <xf numFmtId="0" fontId="10" fillId="0" borderId="0" xfId="0" applyFont="1"/>
    <xf numFmtId="0" fontId="10" fillId="0" borderId="0" xfId="0" applyFont="1" applyAlignment="1">
      <alignment vertical="center"/>
    </xf>
    <xf numFmtId="169" fontId="10" fillId="0" borderId="1" xfId="0" applyNumberFormat="1" applyFont="1" applyBorder="1" applyAlignment="1">
      <alignment horizontal="right" vertical="center" wrapText="1"/>
    </xf>
    <xf numFmtId="169" fontId="10" fillId="2" borderId="1" xfId="0" applyNumberFormat="1" applyFont="1" applyFill="1" applyBorder="1" applyAlignment="1">
      <alignment horizontal="right" vertical="center" wrapText="1"/>
    </xf>
    <xf numFmtId="176" fontId="3" fillId="0" borderId="2" xfId="0" applyNumberFormat="1" applyFont="1" applyBorder="1" applyAlignment="1" applyProtection="1">
      <alignment horizontal="center" vertical="center"/>
      <protection locked="0"/>
    </xf>
    <xf numFmtId="0" fontId="3"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14" fontId="3" fillId="0" borderId="5" xfId="0" applyNumberFormat="1" applyFont="1" applyBorder="1" applyAlignment="1" applyProtection="1">
      <alignment horizontal="center" vertical="center"/>
      <protection locked="0"/>
    </xf>
    <xf numFmtId="0" fontId="3" fillId="0" borderId="5" xfId="0" quotePrefix="1" applyFont="1" applyBorder="1" applyAlignment="1" applyProtection="1">
      <alignment horizontal="center" vertical="center"/>
      <protection locked="0"/>
    </xf>
    <xf numFmtId="1" fontId="3" fillId="0" borderId="5" xfId="0" applyNumberFormat="1" applyFont="1" applyBorder="1" applyAlignment="1" applyProtection="1">
      <alignment horizontal="center" vertical="center"/>
      <protection locked="0"/>
    </xf>
    <xf numFmtId="0" fontId="7" fillId="0" borderId="0" xfId="0" applyFont="1" applyAlignment="1">
      <alignment horizontal="center" vertical="center"/>
    </xf>
    <xf numFmtId="0" fontId="7" fillId="0" borderId="0" xfId="0" applyFont="1" applyAlignment="1">
      <alignment vertical="center"/>
    </xf>
    <xf numFmtId="0" fontId="7" fillId="0" borderId="0" xfId="0" applyFont="1" applyAlignment="1">
      <alignment wrapText="1"/>
    </xf>
    <xf numFmtId="0" fontId="7" fillId="0" borderId="0" xfId="0" applyFont="1" applyAlignment="1">
      <alignment vertical="center" wrapText="1"/>
    </xf>
    <xf numFmtId="0" fontId="8" fillId="0" borderId="0" xfId="0" applyFont="1" applyAlignment="1">
      <alignment vertical="center"/>
    </xf>
    <xf numFmtId="0" fontId="3" fillId="0" borderId="0" xfId="0" applyFont="1" applyAlignment="1">
      <alignment vertical="center"/>
    </xf>
    <xf numFmtId="0" fontId="9" fillId="0" borderId="0" xfId="0" applyFont="1" applyAlignment="1">
      <alignment horizontal="center" vertical="center"/>
    </xf>
    <xf numFmtId="0" fontId="9" fillId="0" borderId="0" xfId="0" applyFont="1" applyAlignment="1">
      <alignment vertical="center"/>
    </xf>
    <xf numFmtId="0" fontId="3" fillId="0" borderId="0" xfId="0" applyFont="1" applyAlignment="1">
      <alignment horizontal="center" vertical="center"/>
    </xf>
    <xf numFmtId="0" fontId="4" fillId="0" borderId="0" xfId="0" applyFont="1" applyAlignment="1">
      <alignment horizontal="center" vertical="center" textRotation="90" wrapText="1"/>
    </xf>
    <xf numFmtId="0" fontId="4" fillId="0" borderId="0" xfId="0" applyFont="1" applyAlignment="1">
      <alignment vertical="center"/>
    </xf>
    <xf numFmtId="0" fontId="5" fillId="0" borderId="0" xfId="0" applyFont="1" applyAlignment="1">
      <alignment vertical="center"/>
    </xf>
    <xf numFmtId="170" fontId="8" fillId="0" borderId="12" xfId="0" applyNumberFormat="1" applyFont="1" applyBorder="1" applyAlignment="1" applyProtection="1">
      <alignment horizontal="left" vertical="center" wrapText="1"/>
      <protection locked="0"/>
    </xf>
    <xf numFmtId="170" fontId="8" fillId="0" borderId="13" xfId="0" applyNumberFormat="1" applyFont="1" applyBorder="1" applyAlignment="1" applyProtection="1">
      <alignment horizontal="left" vertical="center" wrapText="1"/>
      <protection locked="0"/>
    </xf>
    <xf numFmtId="170" fontId="8" fillId="0" borderId="14" xfId="0" applyNumberFormat="1" applyFont="1" applyBorder="1" applyAlignment="1" applyProtection="1">
      <alignment horizontal="left" vertical="center" wrapText="1"/>
      <protection locked="0"/>
    </xf>
    <xf numFmtId="0" fontId="3" fillId="0" borderId="1" xfId="0" applyFont="1" applyBorder="1" applyAlignment="1" applyProtection="1">
      <alignment horizontal="center" vertical="center"/>
      <protection locked="0"/>
    </xf>
    <xf numFmtId="14" fontId="3" fillId="0" borderId="1" xfId="0" applyNumberFormat="1" applyFont="1" applyBorder="1" applyAlignment="1" applyProtection="1">
      <alignment horizontal="center" vertical="center"/>
      <protection locked="0"/>
    </xf>
    <xf numFmtId="0" fontId="7" fillId="0" borderId="0" xfId="0" applyFont="1" applyAlignment="1">
      <alignment horizontal="left" vertical="center"/>
    </xf>
    <xf numFmtId="0" fontId="3" fillId="0" borderId="5" xfId="0" applyFont="1" applyBorder="1" applyAlignment="1" applyProtection="1">
      <alignment horizontal="center" vertical="center"/>
      <protection locked="0"/>
    </xf>
    <xf numFmtId="0" fontId="3" fillId="0" borderId="16" xfId="0" applyFont="1" applyBorder="1" applyAlignment="1" applyProtection="1">
      <alignment horizontal="center" vertical="center"/>
      <protection locked="0"/>
    </xf>
    <xf numFmtId="165" fontId="3" fillId="0" borderId="16" xfId="0" applyNumberFormat="1" applyFont="1" applyBorder="1" applyAlignment="1" applyProtection="1">
      <alignment horizontal="right" vertical="center"/>
      <protection locked="0"/>
    </xf>
    <xf numFmtId="165" fontId="3" fillId="0" borderId="14" xfId="0" applyNumberFormat="1" applyFont="1" applyBorder="1" applyAlignment="1" applyProtection="1">
      <alignment horizontal="right" vertical="center"/>
      <protection locked="0"/>
    </xf>
    <xf numFmtId="165" fontId="3" fillId="0" borderId="12" xfId="0" applyNumberFormat="1" applyFont="1" applyBorder="1" applyAlignment="1" applyProtection="1">
      <alignment horizontal="right" vertical="center"/>
      <protection locked="0"/>
    </xf>
    <xf numFmtId="165" fontId="3" fillId="0" borderId="17" xfId="0" applyNumberFormat="1" applyFont="1" applyBorder="1" applyAlignment="1" applyProtection="1">
      <alignment horizontal="right" vertical="center"/>
      <protection locked="0"/>
    </xf>
    <xf numFmtId="165" fontId="3" fillId="2" borderId="14" xfId="0" applyNumberFormat="1" applyFont="1" applyFill="1" applyBorder="1" applyAlignment="1">
      <alignment horizontal="right" vertical="center"/>
    </xf>
    <xf numFmtId="165" fontId="3" fillId="2" borderId="12" xfId="0" applyNumberFormat="1" applyFont="1" applyFill="1" applyBorder="1" applyAlignment="1">
      <alignment horizontal="right" vertical="center"/>
    </xf>
    <xf numFmtId="165" fontId="3" fillId="0" borderId="18" xfId="0" applyNumberFormat="1" applyFont="1" applyBorder="1" applyAlignment="1" applyProtection="1">
      <alignment horizontal="right" vertical="center"/>
      <protection locked="0"/>
    </xf>
    <xf numFmtId="167" fontId="4" fillId="2" borderId="7" xfId="0" applyNumberFormat="1" applyFont="1" applyFill="1" applyBorder="1" applyAlignment="1">
      <alignment horizontal="right" vertical="center"/>
    </xf>
    <xf numFmtId="165" fontId="7" fillId="2" borderId="6" xfId="0" applyNumberFormat="1" applyFont="1" applyFill="1" applyBorder="1" applyAlignment="1">
      <alignment horizontal="right" vertical="center"/>
    </xf>
    <xf numFmtId="0" fontId="3" fillId="0" borderId="19" xfId="0" applyFont="1" applyBorder="1" applyAlignment="1" applyProtection="1">
      <alignment horizontal="center" vertical="center"/>
      <protection locked="0"/>
    </xf>
    <xf numFmtId="0" fontId="3" fillId="0" borderId="20" xfId="0" applyFont="1" applyBorder="1" applyAlignment="1" applyProtection="1">
      <alignment horizontal="center" vertical="center"/>
      <protection locked="0"/>
    </xf>
    <xf numFmtId="170" fontId="8" fillId="0" borderId="21" xfId="0" applyNumberFormat="1" applyFont="1" applyBorder="1" applyAlignment="1" applyProtection="1">
      <alignment horizontal="left" vertical="center" wrapText="1"/>
      <protection locked="0"/>
    </xf>
    <xf numFmtId="176" fontId="11" fillId="0" borderId="16" xfId="0" applyNumberFormat="1" applyFont="1" applyBorder="1" applyAlignment="1" applyProtection="1">
      <alignment horizontal="center" vertical="center" wrapText="1"/>
      <protection locked="0"/>
    </xf>
    <xf numFmtId="176" fontId="11" fillId="0" borderId="22" xfId="0" applyNumberFormat="1" applyFont="1" applyBorder="1" applyAlignment="1" applyProtection="1">
      <alignment horizontal="center" vertical="center" wrapText="1"/>
      <protection locked="0"/>
    </xf>
    <xf numFmtId="8" fontId="10" fillId="0" borderId="23" xfId="1" applyNumberFormat="1" applyFont="1" applyBorder="1" applyAlignment="1" applyProtection="1">
      <alignment horizontal="right" vertical="center" wrapText="1"/>
      <protection locked="0"/>
    </xf>
    <xf numFmtId="8" fontId="10" fillId="0" borderId="19" xfId="1" applyNumberFormat="1" applyFont="1" applyBorder="1" applyAlignment="1" applyProtection="1">
      <alignment horizontal="right" vertical="center" wrapText="1"/>
      <protection locked="0"/>
    </xf>
    <xf numFmtId="8" fontId="10" fillId="0" borderId="24" xfId="1" applyNumberFormat="1" applyFont="1" applyBorder="1" applyAlignment="1" applyProtection="1">
      <alignment horizontal="right" vertical="center" wrapText="1"/>
      <protection locked="0"/>
    </xf>
    <xf numFmtId="8" fontId="10" fillId="0" borderId="20" xfId="1" applyNumberFormat="1" applyFont="1" applyBorder="1" applyAlignment="1" applyProtection="1">
      <alignment horizontal="right" vertical="center" wrapText="1"/>
      <protection locked="0"/>
    </xf>
    <xf numFmtId="0" fontId="12" fillId="0" borderId="0" xfId="0" applyFont="1" applyAlignment="1">
      <alignment vertical="center"/>
    </xf>
    <xf numFmtId="0" fontId="11" fillId="0" borderId="0" xfId="0" applyFont="1" applyAlignment="1">
      <alignment vertical="center"/>
    </xf>
    <xf numFmtId="0" fontId="0" fillId="0" borderId="0" xfId="0" applyAlignment="1">
      <alignment vertical="center"/>
    </xf>
    <xf numFmtId="0" fontId="11" fillId="0" borderId="0" xfId="0" applyFont="1" applyAlignment="1">
      <alignment horizontal="left" vertical="center"/>
    </xf>
    <xf numFmtId="165" fontId="4" fillId="0" borderId="26" xfId="0" applyNumberFormat="1" applyFont="1" applyBorder="1" applyAlignment="1">
      <alignment horizontal="right" vertical="center"/>
    </xf>
    <xf numFmtId="165" fontId="4" fillId="0" borderId="29" xfId="0" applyNumberFormat="1" applyFont="1" applyBorder="1" applyAlignment="1">
      <alignment horizontal="right" vertical="center"/>
    </xf>
    <xf numFmtId="165" fontId="4" fillId="0" borderId="30" xfId="0" applyNumberFormat="1" applyFont="1" applyBorder="1" applyAlignment="1">
      <alignment horizontal="right" vertical="center"/>
    </xf>
    <xf numFmtId="0" fontId="4" fillId="0" borderId="0" xfId="0" applyFont="1" applyAlignment="1">
      <alignment horizontal="center" vertical="center" textRotation="90"/>
    </xf>
    <xf numFmtId="176" fontId="3" fillId="0" borderId="31" xfId="0" applyNumberFormat="1" applyFont="1" applyBorder="1" applyAlignment="1" applyProtection="1">
      <alignment horizontal="left" vertical="center"/>
      <protection locked="0"/>
    </xf>
    <xf numFmtId="165" fontId="3" fillId="0" borderId="23" xfId="0" applyNumberFormat="1" applyFont="1" applyBorder="1" applyAlignment="1" applyProtection="1">
      <alignment horizontal="right" vertical="center"/>
      <protection locked="0"/>
    </xf>
    <xf numFmtId="165" fontId="3" fillId="0" borderId="32" xfId="0" applyNumberFormat="1" applyFont="1" applyBorder="1" applyAlignment="1" applyProtection="1">
      <alignment horizontal="right" vertical="center"/>
      <protection locked="0"/>
    </xf>
    <xf numFmtId="176" fontId="3" fillId="0" borderId="23" xfId="0" applyNumberFormat="1" applyFont="1" applyBorder="1" applyAlignment="1" applyProtection="1">
      <alignment horizontal="left" vertical="center"/>
      <protection locked="0"/>
    </xf>
    <xf numFmtId="168" fontId="4" fillId="0" borderId="30" xfId="0" applyNumberFormat="1" applyFont="1" applyBorder="1" applyAlignment="1">
      <alignment horizontal="right" vertical="center"/>
    </xf>
    <xf numFmtId="168" fontId="4" fillId="0" borderId="26" xfId="0" applyNumberFormat="1" applyFont="1" applyBorder="1" applyAlignment="1">
      <alignment horizontal="right" vertical="center"/>
    </xf>
    <xf numFmtId="0" fontId="3" fillId="0" borderId="34" xfId="0" applyFont="1" applyBorder="1" applyAlignment="1" applyProtection="1">
      <alignment horizontal="left" vertical="center"/>
      <protection locked="0"/>
    </xf>
    <xf numFmtId="165" fontId="3" fillId="0" borderId="35" xfId="0" applyNumberFormat="1" applyFont="1" applyBorder="1" applyAlignment="1" applyProtection="1">
      <alignment horizontal="right" vertical="center"/>
      <protection locked="0"/>
    </xf>
    <xf numFmtId="0" fontId="3" fillId="0" borderId="24" xfId="0" applyFont="1" applyBorder="1" applyAlignment="1" applyProtection="1">
      <alignment horizontal="left" vertical="center"/>
      <protection locked="0"/>
    </xf>
    <xf numFmtId="176" fontId="3" fillId="0" borderId="34" xfId="0" applyNumberFormat="1" applyFont="1" applyBorder="1" applyAlignment="1" applyProtection="1">
      <alignment horizontal="left" vertical="center"/>
      <protection locked="0"/>
    </xf>
    <xf numFmtId="176" fontId="3" fillId="0" borderId="34" xfId="0" applyNumberFormat="1" applyFont="1" applyBorder="1" applyAlignment="1" applyProtection="1">
      <alignment horizontal="center" vertical="center"/>
      <protection locked="0"/>
    </xf>
    <xf numFmtId="176" fontId="3" fillId="0" borderId="38" xfId="0" applyNumberFormat="1" applyFont="1" applyBorder="1" applyAlignment="1" applyProtection="1">
      <alignment horizontal="left" vertical="center"/>
      <protection locked="0"/>
    </xf>
    <xf numFmtId="176" fontId="3" fillId="0" borderId="12" xfId="0" applyNumberFormat="1" applyFont="1" applyBorder="1" applyAlignment="1" applyProtection="1">
      <alignment horizontal="center" vertical="center"/>
      <protection locked="0"/>
    </xf>
    <xf numFmtId="166" fontId="3" fillId="0" borderId="23" xfId="0" applyNumberFormat="1" applyFont="1" applyBorder="1" applyAlignment="1" applyProtection="1">
      <alignment horizontal="right" vertical="center"/>
      <protection locked="0"/>
    </xf>
    <xf numFmtId="166" fontId="3" fillId="0" borderId="32" xfId="0" applyNumberFormat="1" applyFont="1" applyBorder="1" applyAlignment="1" applyProtection="1">
      <alignment horizontal="right" vertical="center"/>
      <protection locked="0"/>
    </xf>
    <xf numFmtId="176" fontId="3" fillId="0" borderId="39" xfId="0" applyNumberFormat="1" applyFont="1" applyBorder="1" applyAlignment="1" applyProtection="1">
      <alignment horizontal="left" vertical="center"/>
      <protection locked="0"/>
    </xf>
    <xf numFmtId="165" fontId="3" fillId="0" borderId="40" xfId="0" applyNumberFormat="1" applyFont="1" applyBorder="1" applyAlignment="1" applyProtection="1">
      <alignment horizontal="right" vertical="center"/>
      <protection locked="0"/>
    </xf>
    <xf numFmtId="166" fontId="3" fillId="0" borderId="36" xfId="0" applyNumberFormat="1" applyFont="1" applyBorder="1" applyAlignment="1" applyProtection="1">
      <alignment horizontal="right" vertical="center"/>
      <protection locked="0"/>
    </xf>
    <xf numFmtId="166" fontId="3" fillId="0" borderId="40" xfId="0" applyNumberFormat="1" applyFont="1" applyBorder="1" applyAlignment="1" applyProtection="1">
      <alignment horizontal="right" vertical="center"/>
      <protection locked="0"/>
    </xf>
    <xf numFmtId="165" fontId="3" fillId="0" borderId="26" xfId="0" applyNumberFormat="1" applyFont="1" applyBorder="1" applyAlignment="1">
      <alignment horizontal="right" vertical="center"/>
    </xf>
    <xf numFmtId="165" fontId="3" fillId="0" borderId="29" xfId="0" applyNumberFormat="1" applyFont="1" applyBorder="1" applyAlignment="1">
      <alignment horizontal="right" vertical="center"/>
    </xf>
    <xf numFmtId="165" fontId="4" fillId="0" borderId="41" xfId="0" applyNumberFormat="1" applyFont="1" applyBorder="1" applyAlignment="1">
      <alignment horizontal="right" vertical="center"/>
    </xf>
    <xf numFmtId="176" fontId="3" fillId="0" borderId="17" xfId="0" applyNumberFormat="1" applyFont="1" applyBorder="1" applyAlignment="1" applyProtection="1">
      <alignment horizontal="left" vertical="center"/>
      <protection locked="0"/>
    </xf>
    <xf numFmtId="176" fontId="3" fillId="0" borderId="3" xfId="0" applyNumberFormat="1" applyFont="1" applyBorder="1" applyAlignment="1" applyProtection="1">
      <alignment horizontal="center" vertical="center"/>
      <protection locked="0"/>
    </xf>
    <xf numFmtId="176" fontId="3" fillId="0" borderId="12" xfId="0" applyNumberFormat="1" applyFont="1" applyBorder="1" applyAlignment="1" applyProtection="1">
      <alignment horizontal="left" vertical="center"/>
      <protection locked="0"/>
    </xf>
    <xf numFmtId="176" fontId="3" fillId="0" borderId="4" xfId="0" applyNumberFormat="1" applyFont="1" applyBorder="1" applyAlignment="1" applyProtection="1">
      <alignment horizontal="center" vertical="center"/>
      <protection locked="0"/>
    </xf>
    <xf numFmtId="0" fontId="0" fillId="0" borderId="42" xfId="0" applyBorder="1" applyAlignment="1" applyProtection="1">
      <alignment horizontal="left" vertical="center" wrapText="1"/>
      <protection locked="0"/>
    </xf>
    <xf numFmtId="0" fontId="0" fillId="0" borderId="43" xfId="0" applyBorder="1" applyAlignment="1" applyProtection="1">
      <alignment horizontal="center" vertical="center" wrapText="1"/>
      <protection locked="0"/>
    </xf>
    <xf numFmtId="0" fontId="0" fillId="0" borderId="21" xfId="0" applyBorder="1" applyAlignment="1" applyProtection="1">
      <alignment horizontal="left" vertical="center" wrapText="1"/>
      <protection locked="0"/>
    </xf>
    <xf numFmtId="0" fontId="0" fillId="0" borderId="1" xfId="0" applyBorder="1" applyAlignment="1" applyProtection="1">
      <alignment horizontal="center" vertical="center" wrapText="1"/>
      <protection locked="0"/>
    </xf>
    <xf numFmtId="0" fontId="4" fillId="0" borderId="0" xfId="0" applyFont="1" applyAlignment="1">
      <alignment horizontal="center" vertical="center"/>
    </xf>
    <xf numFmtId="0" fontId="20" fillId="0" borderId="0" xfId="0" applyFont="1" applyAlignment="1">
      <alignment horizontal="left" vertical="center"/>
    </xf>
    <xf numFmtId="0" fontId="4" fillId="0" borderId="0" xfId="0" applyFont="1" applyAlignment="1">
      <alignment horizontal="center" vertical="center" wrapText="1"/>
    </xf>
    <xf numFmtId="0" fontId="4" fillId="0" borderId="22" xfId="0" applyFont="1" applyBorder="1" applyAlignment="1">
      <alignment vertical="center" wrapText="1"/>
    </xf>
    <xf numFmtId="0" fontId="0" fillId="0" borderId="22" xfId="0" applyBorder="1" applyAlignment="1">
      <alignment vertical="center"/>
    </xf>
    <xf numFmtId="0" fontId="4" fillId="0" borderId="0" xfId="0" applyFont="1" applyAlignment="1">
      <alignment vertical="center" wrapText="1"/>
    </xf>
    <xf numFmtId="0" fontId="13" fillId="0" borderId="0" xfId="0" applyFont="1" applyAlignment="1">
      <alignment vertical="center"/>
    </xf>
    <xf numFmtId="0" fontId="14" fillId="0" borderId="0" xfId="0" applyFont="1"/>
    <xf numFmtId="0" fontId="12" fillId="0" borderId="0" xfId="0" applyFont="1" applyAlignment="1">
      <alignment horizontal="left" vertical="center"/>
    </xf>
    <xf numFmtId="0" fontId="15" fillId="0" borderId="0" xfId="0" applyFont="1" applyAlignment="1">
      <alignment vertical="center"/>
    </xf>
    <xf numFmtId="165" fontId="4" fillId="3" borderId="29" xfId="0" applyNumberFormat="1" applyFont="1" applyFill="1" applyBorder="1" applyAlignment="1">
      <alignment horizontal="right" vertical="center"/>
    </xf>
    <xf numFmtId="2" fontId="4" fillId="0" borderId="31" xfId="0" applyNumberFormat="1" applyFont="1" applyBorder="1" applyAlignment="1">
      <alignment horizontal="right" vertical="center"/>
    </xf>
    <xf numFmtId="2" fontId="4" fillId="0" borderId="44" xfId="0" applyNumberFormat="1" applyFont="1" applyBorder="1" applyAlignment="1">
      <alignment horizontal="right" vertical="center"/>
    </xf>
    <xf numFmtId="165" fontId="3" fillId="0" borderId="1" xfId="0" applyNumberFormat="1" applyFont="1" applyBorder="1" applyAlignment="1" applyProtection="1">
      <alignment vertical="center"/>
      <protection locked="0"/>
    </xf>
    <xf numFmtId="165" fontId="4" fillId="0" borderId="43" xfId="0" applyNumberFormat="1" applyFont="1" applyBorder="1" applyAlignment="1">
      <alignment vertical="center"/>
    </xf>
    <xf numFmtId="2" fontId="4" fillId="0" borderId="43" xfId="0" applyNumberFormat="1" applyFont="1" applyBorder="1" applyAlignment="1">
      <alignment horizontal="right" vertical="center"/>
    </xf>
    <xf numFmtId="165" fontId="4" fillId="0" borderId="43" xfId="0" applyNumberFormat="1" applyFont="1" applyBorder="1" applyAlignment="1">
      <alignment horizontal="right" vertical="center"/>
    </xf>
    <xf numFmtId="2" fontId="4" fillId="0" borderId="24" xfId="0" applyNumberFormat="1" applyFont="1" applyBorder="1" applyAlignment="1">
      <alignment horizontal="right" vertical="center"/>
    </xf>
    <xf numFmtId="165" fontId="4" fillId="0" borderId="1" xfId="0" applyNumberFormat="1" applyFont="1" applyBorder="1" applyAlignment="1">
      <alignment vertical="center"/>
    </xf>
    <xf numFmtId="164" fontId="4" fillId="4" borderId="1" xfId="0" applyNumberFormat="1" applyFont="1" applyFill="1" applyBorder="1" applyAlignment="1">
      <alignment horizontal="center" vertical="center"/>
    </xf>
    <xf numFmtId="165" fontId="4" fillId="2" borderId="1" xfId="0" applyNumberFormat="1" applyFont="1" applyFill="1" applyBorder="1" applyAlignment="1">
      <alignment horizontal="right" vertical="center"/>
    </xf>
    <xf numFmtId="165" fontId="4" fillId="0" borderId="45" xfId="0" applyNumberFormat="1" applyFont="1" applyBorder="1" applyAlignment="1">
      <alignment horizontal="right" vertical="center"/>
    </xf>
    <xf numFmtId="165" fontId="4" fillId="0" borderId="46" xfId="0" applyNumberFormat="1" applyFont="1" applyBorder="1" applyAlignment="1">
      <alignment vertical="center"/>
    </xf>
    <xf numFmtId="2" fontId="4" fillId="0" borderId="46" xfId="0" applyNumberFormat="1" applyFont="1" applyBorder="1" applyAlignment="1">
      <alignment horizontal="right" vertical="center"/>
    </xf>
    <xf numFmtId="165" fontId="4" fillId="0" borderId="46" xfId="0" applyNumberFormat="1" applyFont="1" applyBorder="1" applyAlignment="1">
      <alignment horizontal="right" vertical="center"/>
    </xf>
    <xf numFmtId="165" fontId="4" fillId="0" borderId="47" xfId="0" applyNumberFormat="1" applyFont="1" applyBorder="1" applyAlignment="1">
      <alignment horizontal="right" vertical="center"/>
    </xf>
    <xf numFmtId="177" fontId="3" fillId="0" borderId="1" xfId="0" applyNumberFormat="1" applyFont="1" applyBorder="1" applyAlignment="1" applyProtection="1">
      <alignment vertical="center"/>
      <protection locked="0"/>
    </xf>
    <xf numFmtId="165" fontId="4" fillId="0" borderId="33" xfId="0" applyNumberFormat="1" applyFont="1" applyBorder="1" applyAlignment="1">
      <alignment horizontal="right" vertical="center" wrapText="1"/>
    </xf>
    <xf numFmtId="164" fontId="4" fillId="0" borderId="0" xfId="0" applyNumberFormat="1" applyFont="1" applyAlignment="1">
      <alignment vertical="center"/>
    </xf>
    <xf numFmtId="14" fontId="16" fillId="0" borderId="0" xfId="0" applyNumberFormat="1" applyFont="1" applyAlignment="1">
      <alignment horizontal="center" vertical="center"/>
    </xf>
    <xf numFmtId="14" fontId="17" fillId="0" borderId="0" xfId="0" applyNumberFormat="1" applyFont="1" applyAlignment="1">
      <alignment horizontal="center"/>
    </xf>
    <xf numFmtId="0" fontId="18" fillId="0" borderId="0" xfId="0" applyFont="1" applyAlignment="1">
      <alignment vertical="center"/>
    </xf>
    <xf numFmtId="0" fontId="7" fillId="0" borderId="0" xfId="0" applyFont="1" applyAlignment="1">
      <alignment horizontal="left"/>
    </xf>
    <xf numFmtId="0" fontId="10" fillId="0" borderId="0" xfId="0" applyFont="1" applyAlignment="1">
      <alignment horizontal="left" vertical="center"/>
    </xf>
    <xf numFmtId="0" fontId="10" fillId="0" borderId="0" xfId="0" applyFont="1" applyAlignment="1">
      <alignment horizontal="center" vertical="center"/>
    </xf>
    <xf numFmtId="0" fontId="19" fillId="0" borderId="0" xfId="0" applyFont="1" applyAlignment="1">
      <alignment vertical="center"/>
    </xf>
    <xf numFmtId="0" fontId="3" fillId="0" borderId="1" xfId="0" applyFont="1" applyBorder="1" applyAlignment="1" applyProtection="1">
      <alignment horizontal="left" vertical="center"/>
      <protection locked="0"/>
    </xf>
    <xf numFmtId="14" fontId="3" fillId="0" borderId="1" xfId="0" applyNumberFormat="1" applyFont="1" applyBorder="1" applyAlignment="1" applyProtection="1">
      <alignment horizontal="left" vertical="center"/>
      <protection locked="0"/>
    </xf>
    <xf numFmtId="8" fontId="1" fillId="0" borderId="23" xfId="1" applyNumberFormat="1" applyFont="1" applyBorder="1" applyAlignment="1" applyProtection="1">
      <alignment horizontal="right" vertical="center" wrapText="1"/>
      <protection locked="0"/>
    </xf>
    <xf numFmtId="0" fontId="20" fillId="0" borderId="0" xfId="0" applyFont="1" applyAlignment="1">
      <alignment vertical="center"/>
    </xf>
    <xf numFmtId="0" fontId="4" fillId="0" borderId="0" xfId="0" applyFont="1" applyAlignment="1">
      <alignment horizontal="left" vertical="center"/>
    </xf>
    <xf numFmtId="14" fontId="4" fillId="5" borderId="1" xfId="0" applyNumberFormat="1" applyFont="1" applyFill="1" applyBorder="1" applyAlignment="1">
      <alignment horizontal="left" vertical="center"/>
    </xf>
    <xf numFmtId="164" fontId="4" fillId="5" borderId="17" xfId="0" applyNumberFormat="1" applyFont="1" applyFill="1" applyBorder="1" applyAlignment="1" applyProtection="1">
      <alignment horizontal="center" vertical="center"/>
      <protection locked="0"/>
    </xf>
    <xf numFmtId="164" fontId="4" fillId="5" borderId="14" xfId="0" applyNumberFormat="1" applyFont="1" applyFill="1" applyBorder="1" applyAlignment="1" applyProtection="1">
      <alignment horizontal="center" vertical="center"/>
      <protection locked="0"/>
    </xf>
    <xf numFmtId="0" fontId="4" fillId="5" borderId="31" xfId="0" applyFont="1" applyFill="1" applyBorder="1" applyAlignment="1">
      <alignment horizontal="center" vertical="center" wrapText="1"/>
    </xf>
    <xf numFmtId="0" fontId="4" fillId="5" borderId="43" xfId="0" applyFont="1" applyFill="1" applyBorder="1" applyAlignment="1">
      <alignment horizontal="center" vertical="center" wrapText="1"/>
    </xf>
    <xf numFmtId="0" fontId="4" fillId="5" borderId="41" xfId="0" applyFont="1" applyFill="1" applyBorder="1" applyAlignment="1">
      <alignment horizontal="center" vertical="center" wrapText="1"/>
    </xf>
    <xf numFmtId="164" fontId="4" fillId="5" borderId="7" xfId="0" applyNumberFormat="1" applyFont="1" applyFill="1" applyBorder="1" applyAlignment="1">
      <alignment vertical="center"/>
    </xf>
    <xf numFmtId="164" fontId="4" fillId="5" borderId="28" xfId="0" applyNumberFormat="1" applyFont="1" applyFill="1" applyBorder="1" applyAlignment="1">
      <alignment vertical="center"/>
    </xf>
    <xf numFmtId="164" fontId="4" fillId="5" borderId="15" xfId="0" applyNumberFormat="1" applyFont="1" applyFill="1" applyBorder="1" applyAlignment="1" applyProtection="1">
      <alignment horizontal="center" vertical="center"/>
      <protection locked="0"/>
    </xf>
    <xf numFmtId="164" fontId="4" fillId="5" borderId="13" xfId="0" applyNumberFormat="1" applyFont="1" applyFill="1" applyBorder="1" applyAlignment="1" applyProtection="1">
      <alignment horizontal="center" vertical="center"/>
      <protection locked="0"/>
    </xf>
    <xf numFmtId="0" fontId="4" fillId="5" borderId="8"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4" fillId="5" borderId="10" xfId="0" applyFont="1" applyFill="1" applyBorder="1" applyAlignment="1">
      <alignment horizontal="center" vertical="center" wrapText="1"/>
    </xf>
    <xf numFmtId="164" fontId="4" fillId="5" borderId="6" xfId="0" applyNumberFormat="1" applyFont="1" applyFill="1" applyBorder="1" applyAlignment="1">
      <alignment horizontal="center" vertical="center"/>
    </xf>
    <xf numFmtId="0" fontId="4" fillId="5" borderId="11" xfId="0" applyFont="1" applyFill="1" applyBorder="1" applyAlignment="1">
      <alignment horizontal="center" vertical="center" wrapText="1"/>
    </xf>
    <xf numFmtId="0" fontId="11" fillId="5" borderId="1" xfId="0" applyFont="1" applyFill="1" applyBorder="1" applyAlignment="1">
      <alignment horizontal="center" vertical="center" wrapText="1"/>
    </xf>
    <xf numFmtId="169" fontId="11" fillId="5" borderId="1" xfId="0" applyNumberFormat="1" applyFont="1" applyFill="1" applyBorder="1" applyAlignment="1">
      <alignment horizontal="right" vertical="center" wrapText="1"/>
    </xf>
    <xf numFmtId="0" fontId="11" fillId="5" borderId="7" xfId="0" applyFont="1" applyFill="1" applyBorder="1" applyAlignment="1">
      <alignment horizontal="center" vertical="center" wrapText="1"/>
    </xf>
    <xf numFmtId="0" fontId="11" fillId="5" borderId="28" xfId="0" applyFont="1" applyFill="1" applyBorder="1" applyAlignment="1">
      <alignment horizontal="center" vertical="center" wrapText="1"/>
    </xf>
    <xf numFmtId="0" fontId="11" fillId="5" borderId="7" xfId="0" applyFont="1" applyFill="1" applyBorder="1" applyAlignment="1">
      <alignment horizontal="left" vertical="center" wrapText="1"/>
    </xf>
    <xf numFmtId="0" fontId="11" fillId="5" borderId="26" xfId="0" applyFont="1" applyFill="1" applyBorder="1" applyAlignment="1">
      <alignment horizontal="center" vertical="center" wrapText="1"/>
    </xf>
    <xf numFmtId="0" fontId="11" fillId="5" borderId="27" xfId="0" applyFont="1" applyFill="1" applyBorder="1" applyAlignment="1">
      <alignment horizontal="center" vertical="center" wrapText="1"/>
    </xf>
    <xf numFmtId="0" fontId="11" fillId="5" borderId="6" xfId="0" applyFont="1" applyFill="1" applyBorder="1" applyAlignment="1">
      <alignment horizontal="center" vertical="center" wrapText="1"/>
    </xf>
    <xf numFmtId="0" fontId="11" fillId="5" borderId="51" xfId="0" applyFont="1" applyFill="1" applyBorder="1" applyAlignment="1">
      <alignment horizontal="center" vertical="center" wrapText="1"/>
    </xf>
    <xf numFmtId="8" fontId="11" fillId="5" borderId="26" xfId="1" applyNumberFormat="1" applyFont="1" applyFill="1" applyBorder="1" applyAlignment="1" applyProtection="1">
      <alignment horizontal="right" vertical="center" wrapText="1"/>
    </xf>
    <xf numFmtId="8" fontId="11" fillId="5" borderId="27" xfId="1" applyNumberFormat="1" applyFont="1" applyFill="1" applyBorder="1" applyAlignment="1" applyProtection="1">
      <alignment horizontal="right" vertical="center" wrapText="1"/>
    </xf>
    <xf numFmtId="8" fontId="11" fillId="5" borderId="7" xfId="1" applyNumberFormat="1" applyFont="1" applyFill="1" applyBorder="1" applyAlignment="1" applyProtection="1">
      <alignment horizontal="right" vertical="center" wrapText="1"/>
    </xf>
    <xf numFmtId="8" fontId="11" fillId="5" borderId="6" xfId="1" applyNumberFormat="1" applyFont="1" applyFill="1" applyBorder="1" applyAlignment="1" applyProtection="1">
      <alignment horizontal="right" vertical="center" wrapText="1"/>
    </xf>
    <xf numFmtId="0" fontId="4" fillId="5" borderId="7" xfId="0" applyFont="1" applyFill="1" applyBorder="1" applyAlignment="1">
      <alignment horizontal="center" vertical="center" wrapText="1"/>
    </xf>
    <xf numFmtId="167" fontId="4" fillId="5" borderId="7" xfId="0" applyNumberFormat="1" applyFont="1" applyFill="1" applyBorder="1" applyAlignment="1">
      <alignment horizontal="right" vertical="center"/>
    </xf>
    <xf numFmtId="165" fontId="3" fillId="0" borderId="36" xfId="0" applyNumberFormat="1" applyFont="1" applyBorder="1" applyAlignment="1" applyProtection="1">
      <alignment horizontal="right" vertical="center"/>
      <protection locked="0"/>
    </xf>
    <xf numFmtId="168" fontId="4" fillId="0" borderId="29" xfId="0" applyNumberFormat="1" applyFont="1" applyBorder="1" applyAlignment="1">
      <alignment horizontal="right" vertical="center"/>
    </xf>
    <xf numFmtId="168" fontId="4" fillId="0" borderId="27" xfId="0" applyNumberFormat="1" applyFont="1" applyBorder="1" applyAlignment="1">
      <alignment horizontal="right" vertical="center"/>
    </xf>
    <xf numFmtId="168" fontId="4" fillId="0" borderId="66" xfId="0" applyNumberFormat="1" applyFont="1" applyBorder="1" applyAlignment="1">
      <alignment horizontal="right" vertical="center"/>
    </xf>
    <xf numFmtId="0" fontId="3" fillId="0" borderId="17" xfId="0" applyFont="1" applyBorder="1" applyAlignment="1" applyProtection="1">
      <alignment horizontal="left" vertical="center"/>
      <protection locked="0"/>
    </xf>
    <xf numFmtId="0" fontId="3" fillId="0" borderId="12" xfId="0" applyFont="1" applyBorder="1" applyAlignment="1" applyProtection="1">
      <alignment horizontal="left" vertical="center"/>
      <protection locked="0"/>
    </xf>
    <xf numFmtId="0" fontId="3" fillId="0" borderId="14" xfId="0" applyFont="1" applyBorder="1" applyAlignment="1" applyProtection="1">
      <alignment horizontal="left" vertical="center"/>
      <protection locked="0"/>
    </xf>
    <xf numFmtId="0" fontId="3" fillId="0" borderId="56" xfId="0" applyFont="1" applyBorder="1" applyAlignment="1" applyProtection="1">
      <alignment horizontal="left" vertical="center"/>
      <protection locked="0"/>
    </xf>
    <xf numFmtId="164" fontId="4" fillId="5" borderId="6" xfId="0" applyNumberFormat="1" applyFont="1" applyFill="1" applyBorder="1" applyAlignment="1">
      <alignment horizontal="left" vertical="center"/>
    </xf>
    <xf numFmtId="0" fontId="3" fillId="0" borderId="0" xfId="0" applyFont="1" applyAlignment="1">
      <alignment horizontal="left" vertical="center"/>
    </xf>
    <xf numFmtId="0" fontId="11" fillId="5" borderId="25" xfId="0" applyFont="1" applyFill="1" applyBorder="1" applyAlignment="1">
      <alignment horizontal="center" vertical="center" wrapText="1"/>
    </xf>
    <xf numFmtId="0" fontId="4" fillId="0" borderId="0" xfId="0" applyFont="1" applyAlignment="1">
      <alignment horizontal="right" vertical="center"/>
    </xf>
    <xf numFmtId="177" fontId="3" fillId="0" borderId="24" xfId="0" applyNumberFormat="1" applyFont="1" applyBorder="1" applyAlignment="1" applyProtection="1">
      <alignment horizontal="right" vertical="center" wrapText="1"/>
      <protection locked="0"/>
    </xf>
    <xf numFmtId="165" fontId="3" fillId="0" borderId="1" xfId="0" applyNumberFormat="1" applyFont="1" applyBorder="1" applyAlignment="1" applyProtection="1">
      <alignment horizontal="right" vertical="center" wrapText="1"/>
      <protection locked="0"/>
    </xf>
    <xf numFmtId="165" fontId="3" fillId="0" borderId="33" xfId="0" applyNumberFormat="1" applyFont="1" applyBorder="1" applyAlignment="1">
      <alignment horizontal="right" vertical="center"/>
    </xf>
    <xf numFmtId="165" fontId="3" fillId="0" borderId="37" xfId="0" applyNumberFormat="1" applyFont="1" applyBorder="1" applyAlignment="1">
      <alignment horizontal="right" vertical="center"/>
    </xf>
    <xf numFmtId="165" fontId="3" fillId="3" borderId="32" xfId="0" applyNumberFormat="1" applyFont="1" applyFill="1" applyBorder="1" applyAlignment="1">
      <alignment horizontal="right" vertical="center"/>
    </xf>
    <xf numFmtId="0" fontId="1" fillId="0" borderId="17" xfId="0" applyFont="1" applyBorder="1" applyAlignment="1">
      <alignment horizontal="center" vertical="center"/>
    </xf>
    <xf numFmtId="176" fontId="11" fillId="0" borderId="3" xfId="0" applyNumberFormat="1" applyFont="1" applyBorder="1" applyAlignment="1">
      <alignment vertical="center" wrapText="1"/>
    </xf>
    <xf numFmtId="8" fontId="10" fillId="0" borderId="14" xfId="1" applyNumberFormat="1" applyFont="1" applyBorder="1" applyAlignment="1" applyProtection="1">
      <alignment horizontal="right" vertical="center" wrapText="1"/>
    </xf>
    <xf numFmtId="8" fontId="10" fillId="0" borderId="62" xfId="1" applyNumberFormat="1" applyFont="1" applyBorder="1" applyAlignment="1" applyProtection="1">
      <alignment horizontal="right" vertical="center" wrapText="1"/>
    </xf>
    <xf numFmtId="178" fontId="10" fillId="0" borderId="17" xfId="1" applyNumberFormat="1" applyFont="1" applyBorder="1" applyAlignment="1" applyProtection="1">
      <alignment horizontal="right" vertical="center" wrapText="1"/>
    </xf>
    <xf numFmtId="0" fontId="1" fillId="0" borderId="14" xfId="0" applyFont="1" applyBorder="1" applyAlignment="1">
      <alignment horizontal="center" vertical="center"/>
    </xf>
    <xf numFmtId="176" fontId="11" fillId="0" borderId="5" xfId="0" applyNumberFormat="1" applyFont="1" applyBorder="1" applyAlignment="1">
      <alignment vertical="center" wrapText="1"/>
    </xf>
    <xf numFmtId="178" fontId="10" fillId="0" borderId="12" xfId="1" applyNumberFormat="1" applyFont="1" applyBorder="1" applyAlignment="1" applyProtection="1">
      <alignment horizontal="right" vertical="center" wrapText="1"/>
    </xf>
    <xf numFmtId="0" fontId="1" fillId="0" borderId="12" xfId="0" applyFont="1" applyBorder="1" applyAlignment="1">
      <alignment horizontal="center" vertical="center"/>
    </xf>
    <xf numFmtId="176" fontId="11" fillId="0" borderId="4" xfId="0" applyNumberFormat="1" applyFont="1" applyBorder="1" applyAlignment="1">
      <alignment vertical="center" wrapText="1"/>
    </xf>
    <xf numFmtId="8" fontId="10" fillId="0" borderId="12" xfId="1" applyNumberFormat="1" applyFont="1" applyBorder="1" applyAlignment="1" applyProtection="1">
      <alignment horizontal="right" vertical="center" wrapText="1"/>
    </xf>
    <xf numFmtId="8" fontId="10" fillId="0" borderId="38" xfId="1" applyNumberFormat="1" applyFont="1" applyBorder="1" applyAlignment="1" applyProtection="1">
      <alignment horizontal="right" vertical="center" wrapText="1"/>
    </xf>
    <xf numFmtId="178" fontId="10" fillId="0" borderId="15" xfId="1" applyNumberFormat="1" applyFont="1" applyBorder="1" applyAlignment="1" applyProtection="1">
      <alignment horizontal="right" vertical="center" wrapText="1"/>
    </xf>
    <xf numFmtId="178" fontId="10" fillId="5" borderId="7" xfId="1" applyNumberFormat="1" applyFont="1" applyFill="1" applyBorder="1" applyAlignment="1" applyProtection="1">
      <alignment horizontal="right" vertical="center" wrapText="1"/>
    </xf>
    <xf numFmtId="0" fontId="1" fillId="0" borderId="0" xfId="0" applyFont="1" applyAlignment="1">
      <alignment horizontal="left" vertical="center" wrapText="1"/>
    </xf>
    <xf numFmtId="0" fontId="20" fillId="0" borderId="0" xfId="0" applyFont="1" applyAlignment="1">
      <alignment vertical="center" wrapText="1"/>
    </xf>
    <xf numFmtId="0" fontId="4" fillId="5" borderId="6" xfId="0" applyFont="1" applyFill="1" applyBorder="1" applyAlignment="1">
      <alignment horizontal="left" vertical="center"/>
    </xf>
    <xf numFmtId="0" fontId="4" fillId="5" borderId="28" xfId="0" applyFont="1" applyFill="1" applyBorder="1" applyAlignment="1">
      <alignment horizontal="left" vertical="center"/>
    </xf>
    <xf numFmtId="0" fontId="3" fillId="0" borderId="20" xfId="0" applyFont="1" applyBorder="1" applyAlignment="1" applyProtection="1">
      <alignment horizontal="left" vertical="center"/>
      <protection locked="0"/>
    </xf>
    <xf numFmtId="0" fontId="3" fillId="0" borderId="22" xfId="0" applyFont="1" applyBorder="1" applyAlignment="1" applyProtection="1">
      <alignment horizontal="left" vertical="center"/>
      <protection locked="0"/>
    </xf>
    <xf numFmtId="0" fontId="3" fillId="0" borderId="21" xfId="0" applyFont="1" applyBorder="1" applyAlignment="1" applyProtection="1">
      <alignment horizontal="left" vertical="center"/>
      <protection locked="0"/>
    </xf>
    <xf numFmtId="0" fontId="4" fillId="5" borderId="54" xfId="0" applyFont="1" applyFill="1" applyBorder="1" applyAlignment="1">
      <alignment horizontal="left" vertical="center"/>
    </xf>
    <xf numFmtId="0" fontId="4" fillId="5" borderId="52" xfId="0" applyFont="1" applyFill="1" applyBorder="1" applyAlignment="1">
      <alignment horizontal="left" vertical="center"/>
    </xf>
    <xf numFmtId="0" fontId="4" fillId="5" borderId="55" xfId="0" applyFont="1" applyFill="1" applyBorder="1" applyAlignment="1">
      <alignment horizontal="left" vertical="center"/>
    </xf>
    <xf numFmtId="0" fontId="4" fillId="5" borderId="53" xfId="0" applyFont="1" applyFill="1" applyBorder="1" applyAlignment="1">
      <alignment horizontal="left" vertical="center"/>
    </xf>
    <xf numFmtId="0" fontId="3" fillId="0" borderId="64" xfId="0" applyFont="1" applyBorder="1" applyAlignment="1" applyProtection="1">
      <alignment horizontal="left" vertical="top" wrapText="1"/>
      <protection locked="0"/>
    </xf>
    <xf numFmtId="0" fontId="3" fillId="0" borderId="63" xfId="0" applyFont="1" applyBorder="1" applyAlignment="1" applyProtection="1">
      <alignment horizontal="left" vertical="top" wrapText="1"/>
      <protection locked="0"/>
    </xf>
    <xf numFmtId="0" fontId="3" fillId="0" borderId="65" xfId="0" applyFont="1" applyBorder="1" applyAlignment="1" applyProtection="1">
      <alignment horizontal="left" vertical="top" wrapText="1"/>
      <protection locked="0"/>
    </xf>
    <xf numFmtId="0" fontId="3" fillId="0" borderId="19" xfId="0" applyFont="1" applyBorder="1" applyAlignment="1" applyProtection="1">
      <alignment horizontal="left" vertical="top" wrapText="1"/>
      <protection locked="0"/>
    </xf>
    <xf numFmtId="0" fontId="3" fillId="0" borderId="16" xfId="0" applyFont="1" applyBorder="1" applyAlignment="1" applyProtection="1">
      <alignment horizontal="left" vertical="top" wrapText="1"/>
      <protection locked="0"/>
    </xf>
    <xf numFmtId="0" fontId="3" fillId="0" borderId="35" xfId="0" applyFont="1" applyBorder="1" applyAlignment="1" applyProtection="1">
      <alignment horizontal="left" vertical="top" wrapText="1"/>
      <protection locked="0"/>
    </xf>
    <xf numFmtId="0" fontId="4" fillId="5" borderId="7" xfId="0" applyFont="1" applyFill="1" applyBorder="1" applyAlignment="1">
      <alignment horizontal="center" vertical="center"/>
    </xf>
    <xf numFmtId="164" fontId="4" fillId="5" borderId="34" xfId="0" applyNumberFormat="1" applyFont="1" applyFill="1" applyBorder="1" applyAlignment="1">
      <alignment horizontal="left" vertical="center"/>
    </xf>
    <xf numFmtId="164" fontId="4" fillId="5" borderId="3" xfId="0" applyNumberFormat="1" applyFont="1" applyFill="1" applyBorder="1" applyAlignment="1">
      <alignment horizontal="left" vertical="center"/>
    </xf>
    <xf numFmtId="164" fontId="4" fillId="5" borderId="49" xfId="0" applyNumberFormat="1" applyFont="1" applyFill="1" applyBorder="1" applyAlignment="1">
      <alignment horizontal="left" vertical="center"/>
    </xf>
    <xf numFmtId="164" fontId="4" fillId="5" borderId="50" xfId="0" applyNumberFormat="1" applyFont="1" applyFill="1" applyBorder="1" applyAlignment="1">
      <alignment horizontal="left" vertical="center"/>
    </xf>
    <xf numFmtId="0" fontId="4" fillId="5" borderId="51" xfId="0" applyFont="1" applyFill="1" applyBorder="1" applyAlignment="1">
      <alignment horizontal="center" vertical="center" wrapText="1"/>
    </xf>
    <xf numFmtId="0" fontId="4" fillId="5" borderId="18" xfId="0" applyFont="1" applyFill="1" applyBorder="1" applyAlignment="1">
      <alignment horizontal="center" vertical="center" wrapText="1"/>
    </xf>
    <xf numFmtId="0" fontId="4" fillId="5" borderId="52" xfId="0" applyFont="1" applyFill="1" applyBorder="1" applyAlignment="1">
      <alignment horizontal="center" vertical="center" wrapText="1"/>
    </xf>
    <xf numFmtId="0" fontId="4" fillId="5" borderId="53" xfId="0" applyFont="1" applyFill="1" applyBorder="1" applyAlignment="1">
      <alignment horizontal="center" vertical="center" wrapText="1"/>
    </xf>
    <xf numFmtId="0" fontId="20" fillId="0" borderId="0" xfId="0" applyFont="1" applyAlignment="1">
      <alignment horizontal="left" vertical="center" wrapText="1"/>
    </xf>
    <xf numFmtId="0" fontId="4" fillId="5" borderId="6" xfId="0" applyFont="1" applyFill="1" applyBorder="1" applyAlignment="1">
      <alignment horizontal="center" vertical="center"/>
    </xf>
    <xf numFmtId="0" fontId="4" fillId="5" borderId="25" xfId="0" applyFont="1" applyFill="1" applyBorder="1" applyAlignment="1">
      <alignment horizontal="center" vertical="center"/>
    </xf>
    <xf numFmtId="0" fontId="4" fillId="5" borderId="28" xfId="0" applyFont="1" applyFill="1" applyBorder="1" applyAlignment="1">
      <alignment horizontal="center" vertical="center"/>
    </xf>
    <xf numFmtId="0" fontId="7" fillId="0" borderId="0" xfId="0" applyFont="1" applyAlignment="1">
      <alignment horizontal="center" vertical="center"/>
    </xf>
    <xf numFmtId="164" fontId="4" fillId="5" borderId="6" xfId="0" applyNumberFormat="1" applyFont="1" applyFill="1" applyBorder="1" applyAlignment="1">
      <alignment horizontal="left" vertical="center" wrapText="1"/>
    </xf>
    <xf numFmtId="164" fontId="4" fillId="5" borderId="25" xfId="0" applyNumberFormat="1" applyFont="1" applyFill="1" applyBorder="1" applyAlignment="1">
      <alignment horizontal="left" vertical="center" wrapText="1"/>
    </xf>
    <xf numFmtId="164" fontId="4" fillId="5" borderId="28" xfId="0" applyNumberFormat="1" applyFont="1" applyFill="1" applyBorder="1" applyAlignment="1">
      <alignment horizontal="left" vertical="center" wrapText="1"/>
    </xf>
    <xf numFmtId="0" fontId="4" fillId="0" borderId="0" xfId="0" applyFont="1" applyAlignment="1">
      <alignment horizontal="left" vertical="center" wrapText="1"/>
    </xf>
    <xf numFmtId="0" fontId="4" fillId="5" borderId="54" xfId="0" applyFont="1" applyFill="1" applyBorder="1" applyAlignment="1">
      <alignment horizontal="center" vertical="center" wrapText="1"/>
    </xf>
    <xf numFmtId="0" fontId="4" fillId="5" borderId="55" xfId="0" applyFont="1" applyFill="1" applyBorder="1" applyAlignment="1">
      <alignment horizontal="center" vertical="center" wrapText="1"/>
    </xf>
    <xf numFmtId="164" fontId="4" fillId="5" borderId="6" xfId="0" applyNumberFormat="1" applyFont="1" applyFill="1" applyBorder="1" applyAlignment="1">
      <alignment horizontal="left" vertical="center"/>
    </xf>
    <xf numFmtId="164" fontId="4" fillId="5" borderId="28" xfId="0" applyNumberFormat="1" applyFont="1" applyFill="1" applyBorder="1" applyAlignment="1">
      <alignment horizontal="left" vertical="center"/>
    </xf>
    <xf numFmtId="0" fontId="4" fillId="5" borderId="54" xfId="13" applyFont="1" applyFill="1" applyBorder="1" applyAlignment="1">
      <alignment horizontal="center" vertical="center" wrapText="1"/>
    </xf>
    <xf numFmtId="0" fontId="4" fillId="5" borderId="55" xfId="13" applyFont="1" applyFill="1" applyBorder="1" applyAlignment="1">
      <alignment horizontal="center" vertical="center" wrapText="1"/>
    </xf>
    <xf numFmtId="0" fontId="3" fillId="0" borderId="0" xfId="0" applyFont="1" applyAlignment="1">
      <alignment horizontal="left" vertical="center"/>
    </xf>
    <xf numFmtId="0" fontId="11" fillId="5" borderId="1" xfId="0" applyFont="1" applyFill="1" applyBorder="1" applyAlignment="1">
      <alignment vertical="center" wrapText="1"/>
    </xf>
    <xf numFmtId="0" fontId="14" fillId="0" borderId="0" xfId="0" applyFont="1" applyAlignment="1">
      <alignment horizontal="left"/>
    </xf>
    <xf numFmtId="0" fontId="6" fillId="0" borderId="1" xfId="0" applyFont="1" applyBorder="1" applyAlignment="1">
      <alignment vertical="center" wrapText="1"/>
    </xf>
    <xf numFmtId="0" fontId="4" fillId="5" borderId="20" xfId="0" applyFont="1" applyFill="1" applyBorder="1" applyAlignment="1">
      <alignment vertical="center" wrapText="1"/>
    </xf>
    <xf numFmtId="0" fontId="4" fillId="5" borderId="22" xfId="0" applyFont="1" applyFill="1" applyBorder="1" applyAlignment="1">
      <alignment vertical="center" wrapText="1"/>
    </xf>
    <xf numFmtId="0" fontId="0" fillId="5" borderId="22" xfId="0" applyFill="1" applyBorder="1" applyAlignment="1">
      <alignment vertical="center"/>
    </xf>
    <xf numFmtId="0" fontId="0" fillId="5" borderId="21" xfId="0" applyFill="1" applyBorder="1" applyAlignment="1">
      <alignment vertical="center"/>
    </xf>
    <xf numFmtId="0" fontId="4" fillId="0" borderId="0" xfId="0" applyFont="1" applyAlignment="1">
      <alignment horizontal="center" vertical="center" wrapText="1"/>
    </xf>
    <xf numFmtId="0" fontId="4" fillId="5" borderId="1" xfId="0" applyFont="1" applyFill="1" applyBorder="1" applyAlignment="1">
      <alignment vertical="center" wrapText="1"/>
    </xf>
    <xf numFmtId="0" fontId="0" fillId="5" borderId="1" xfId="0" applyFill="1" applyBorder="1" applyAlignment="1">
      <alignment vertical="center"/>
    </xf>
    <xf numFmtId="0" fontId="7" fillId="0" borderId="0" xfId="0" applyFont="1" applyAlignment="1">
      <alignment horizontal="left" vertical="center"/>
    </xf>
    <xf numFmtId="0" fontId="11" fillId="5" borderId="51" xfId="0" applyFont="1" applyFill="1" applyBorder="1" applyAlignment="1">
      <alignment horizontal="center" vertical="center"/>
    </xf>
    <xf numFmtId="0" fontId="11" fillId="5" borderId="56" xfId="0" applyFont="1" applyFill="1" applyBorder="1" applyAlignment="1">
      <alignment horizontal="center" vertical="center"/>
    </xf>
    <xf numFmtId="0" fontId="11" fillId="5" borderId="6" xfId="0" applyFont="1" applyFill="1" applyBorder="1" applyAlignment="1">
      <alignment horizontal="left" vertical="center" wrapText="1"/>
    </xf>
    <xf numFmtId="0" fontId="11" fillId="5" borderId="25" xfId="0" applyFont="1" applyFill="1" applyBorder="1" applyAlignment="1">
      <alignment horizontal="left" vertical="center" wrapText="1"/>
    </xf>
    <xf numFmtId="0" fontId="11" fillId="5" borderId="54" xfId="0" applyFont="1" applyFill="1" applyBorder="1" applyAlignment="1">
      <alignment horizontal="center" vertical="center" wrapText="1"/>
    </xf>
    <xf numFmtId="0" fontId="11" fillId="5" borderId="57" xfId="0" applyFont="1" applyFill="1" applyBorder="1" applyAlignment="1">
      <alignment horizontal="center" vertical="center" wrapText="1"/>
    </xf>
    <xf numFmtId="0" fontId="11" fillId="5" borderId="52" xfId="0" applyFont="1" applyFill="1" applyBorder="1" applyAlignment="1">
      <alignment horizontal="center" vertical="center" wrapText="1"/>
    </xf>
    <xf numFmtId="0" fontId="11" fillId="5" borderId="25" xfId="0" applyFont="1" applyFill="1" applyBorder="1" applyAlignment="1">
      <alignment horizontal="center" vertical="center" wrapText="1"/>
    </xf>
    <xf numFmtId="171" fontId="8" fillId="0" borderId="38" xfId="0" applyNumberFormat="1" applyFont="1" applyBorder="1" applyAlignment="1" applyProtection="1">
      <alignment horizontal="center" vertical="center"/>
      <protection locked="0"/>
    </xf>
    <xf numFmtId="171" fontId="8" fillId="0" borderId="4" xfId="0" applyNumberFormat="1" applyFont="1" applyBorder="1" applyAlignment="1" applyProtection="1">
      <alignment horizontal="center" vertical="center"/>
      <protection locked="0"/>
    </xf>
    <xf numFmtId="172" fontId="8" fillId="0" borderId="58" xfId="0" applyNumberFormat="1" applyFont="1" applyBorder="1" applyAlignment="1" applyProtection="1">
      <alignment horizontal="center" vertical="center"/>
      <protection locked="0"/>
    </xf>
    <xf numFmtId="172" fontId="8" fillId="0" borderId="48" xfId="0" applyNumberFormat="1" applyFont="1" applyBorder="1" applyAlignment="1" applyProtection="1">
      <alignment horizontal="center" vertical="center"/>
      <protection locked="0"/>
    </xf>
    <xf numFmtId="0" fontId="4" fillId="5" borderId="6" xfId="0" applyFont="1" applyFill="1" applyBorder="1" applyAlignment="1">
      <alignment horizontal="left" vertical="center" wrapText="1"/>
    </xf>
    <xf numFmtId="0" fontId="0" fillId="5" borderId="25" xfId="0" applyFill="1" applyBorder="1" applyAlignment="1">
      <alignment horizontal="left" vertical="center" wrapText="1"/>
    </xf>
    <xf numFmtId="0" fontId="0" fillId="5" borderId="28" xfId="0" applyFill="1" applyBorder="1" applyAlignment="1">
      <alignment horizontal="left" vertical="center" wrapText="1"/>
    </xf>
    <xf numFmtId="0" fontId="4" fillId="5" borderId="7" xfId="0" applyFont="1" applyFill="1" applyBorder="1" applyAlignment="1">
      <alignment horizontal="center" vertical="center" wrapText="1"/>
    </xf>
    <xf numFmtId="0" fontId="0" fillId="5" borderId="7" xfId="0" applyFill="1" applyBorder="1" applyAlignment="1">
      <alignment horizontal="center" vertical="center" wrapText="1"/>
    </xf>
    <xf numFmtId="0" fontId="4" fillId="0" borderId="6" xfId="0" applyFont="1" applyBorder="1" applyAlignment="1">
      <alignment horizontal="center" vertical="center" wrapText="1"/>
    </xf>
    <xf numFmtId="0" fontId="0" fillId="0" borderId="25" xfId="0" applyBorder="1" applyAlignment="1">
      <alignment horizontal="center" vertical="center" wrapText="1"/>
    </xf>
    <xf numFmtId="0" fontId="0" fillId="0" borderId="28" xfId="0" applyBorder="1" applyAlignment="1">
      <alignment horizontal="center" vertical="center" wrapText="1"/>
    </xf>
    <xf numFmtId="172" fontId="8" fillId="0" borderId="38" xfId="0" applyNumberFormat="1" applyFont="1" applyBorder="1" applyAlignment="1" applyProtection="1">
      <alignment horizontal="center" vertical="center"/>
      <protection locked="0"/>
    </xf>
    <xf numFmtId="172" fontId="8" fillId="0" borderId="4" xfId="0" applyNumberFormat="1" applyFont="1" applyBorder="1" applyAlignment="1" applyProtection="1">
      <alignment horizontal="center" vertical="center"/>
      <protection locked="0"/>
    </xf>
    <xf numFmtId="171" fontId="8" fillId="0" borderId="62" xfId="0" applyNumberFormat="1" applyFont="1" applyBorder="1" applyAlignment="1" applyProtection="1">
      <alignment horizontal="center" vertical="center"/>
      <protection locked="0"/>
    </xf>
    <xf numFmtId="171" fontId="8" fillId="0" borderId="5" xfId="0" applyNumberFormat="1" applyFont="1" applyBorder="1" applyAlignment="1" applyProtection="1">
      <alignment horizontal="center" vertical="center"/>
      <protection locked="0"/>
    </xf>
    <xf numFmtId="0" fontId="4" fillId="5" borderId="7" xfId="0" applyFont="1" applyFill="1" applyBorder="1" applyAlignment="1">
      <alignment horizontal="left" vertical="center" wrapText="1"/>
    </xf>
    <xf numFmtId="0" fontId="0" fillId="5" borderId="7" xfId="0" applyFill="1" applyBorder="1" applyAlignment="1">
      <alignment horizontal="left" vertical="center" wrapText="1"/>
    </xf>
    <xf numFmtId="0" fontId="0" fillId="5" borderId="25" xfId="0" applyFill="1" applyBorder="1" applyAlignment="1">
      <alignment vertical="center"/>
    </xf>
    <xf numFmtId="0" fontId="0" fillId="5" borderId="28" xfId="0" applyFill="1" applyBorder="1" applyAlignment="1">
      <alignment vertical="center"/>
    </xf>
    <xf numFmtId="0" fontId="0" fillId="5" borderId="25" xfId="0" applyFill="1" applyBorder="1" applyAlignment="1">
      <alignment horizontal="left" vertical="center"/>
    </xf>
    <xf numFmtId="0" fontId="0" fillId="5" borderId="28" xfId="0" applyFill="1" applyBorder="1" applyAlignment="1">
      <alignment horizontal="left" vertical="center"/>
    </xf>
    <xf numFmtId="173" fontId="8" fillId="0" borderId="38" xfId="0" applyNumberFormat="1" applyFont="1" applyBorder="1" applyAlignment="1" applyProtection="1">
      <alignment horizontal="center" vertical="center"/>
      <protection locked="0"/>
    </xf>
    <xf numFmtId="173" fontId="8" fillId="0" borderId="4" xfId="0" applyNumberFormat="1" applyFont="1" applyBorder="1" applyAlignment="1" applyProtection="1">
      <alignment horizontal="center" vertical="center"/>
      <protection locked="0"/>
    </xf>
    <xf numFmtId="0" fontId="4" fillId="0" borderId="7" xfId="0" applyFont="1" applyBorder="1" applyAlignment="1">
      <alignment horizontal="center" vertical="center" wrapText="1"/>
    </xf>
    <xf numFmtId="0" fontId="0" fillId="0" borderId="7" xfId="0" applyBorder="1" applyAlignment="1">
      <alignment horizontal="center" vertical="center" wrapText="1"/>
    </xf>
    <xf numFmtId="173" fontId="8" fillId="0" borderId="58" xfId="0" applyNumberFormat="1" applyFont="1" applyBorder="1" applyAlignment="1" applyProtection="1">
      <alignment horizontal="center" vertical="center"/>
      <protection locked="0"/>
    </xf>
    <xf numFmtId="173" fontId="8" fillId="0" borderId="48" xfId="0" applyNumberFormat="1" applyFont="1" applyBorder="1" applyAlignment="1" applyProtection="1">
      <alignment horizontal="center" vertical="center"/>
      <protection locked="0"/>
    </xf>
    <xf numFmtId="175" fontId="8" fillId="0" borderId="24" xfId="0" applyNumberFormat="1" applyFont="1" applyBorder="1" applyAlignment="1" applyProtection="1">
      <alignment horizontal="center" vertical="center"/>
      <protection locked="0"/>
    </xf>
    <xf numFmtId="175" fontId="8" fillId="0" borderId="45" xfId="0" applyNumberFormat="1" applyFont="1" applyBorder="1" applyAlignment="1" applyProtection="1">
      <alignment horizontal="center" vertical="center"/>
      <protection locked="0"/>
    </xf>
    <xf numFmtId="0" fontId="8" fillId="0" borderId="6" xfId="0" applyFont="1" applyBorder="1" applyAlignment="1">
      <alignment horizontal="center" vertical="center" wrapText="1"/>
    </xf>
    <xf numFmtId="0" fontId="8" fillId="0" borderId="28" xfId="0" applyFont="1" applyBorder="1" applyAlignment="1">
      <alignment horizontal="center" vertical="center" wrapText="1"/>
    </xf>
    <xf numFmtId="174" fontId="8" fillId="0" borderId="38" xfId="0" applyNumberFormat="1" applyFont="1" applyBorder="1" applyAlignment="1" applyProtection="1">
      <alignment horizontal="center" vertical="center"/>
      <protection locked="0"/>
    </xf>
    <xf numFmtId="174" fontId="8" fillId="0" borderId="4" xfId="0" applyNumberFormat="1" applyFont="1" applyBorder="1" applyAlignment="1" applyProtection="1">
      <alignment horizontal="center" vertical="center"/>
      <protection locked="0"/>
    </xf>
    <xf numFmtId="0" fontId="0" fillId="5" borderId="57" xfId="0" applyFill="1" applyBorder="1" applyAlignment="1">
      <alignment horizontal="left" vertical="center"/>
    </xf>
    <xf numFmtId="174" fontId="8" fillId="0" borderId="54" xfId="0" applyNumberFormat="1" applyFont="1" applyBorder="1" applyAlignment="1" applyProtection="1">
      <alignment horizontal="center" vertical="center"/>
      <protection locked="0"/>
    </xf>
    <xf numFmtId="174" fontId="8" fillId="0" borderId="52" xfId="0" applyNumberFormat="1" applyFont="1" applyBorder="1" applyAlignment="1" applyProtection="1">
      <alignment horizontal="center" vertical="center"/>
      <protection locked="0"/>
    </xf>
    <xf numFmtId="170" fontId="7" fillId="2" borderId="55" xfId="0" applyNumberFormat="1" applyFont="1" applyFill="1" applyBorder="1" applyAlignment="1">
      <alignment horizontal="left" vertical="center"/>
    </xf>
    <xf numFmtId="170" fontId="7" fillId="2" borderId="59" xfId="0" applyNumberFormat="1" applyFont="1" applyFill="1" applyBorder="1" applyAlignment="1">
      <alignment horizontal="left" vertical="center"/>
    </xf>
    <xf numFmtId="170" fontId="7" fillId="2" borderId="25" xfId="0" applyNumberFormat="1" applyFont="1" applyFill="1" applyBorder="1" applyAlignment="1">
      <alignment horizontal="left" vertical="center"/>
    </xf>
    <xf numFmtId="170" fontId="7" fillId="2" borderId="28" xfId="0" applyNumberFormat="1" applyFont="1" applyFill="1" applyBorder="1" applyAlignment="1">
      <alignment horizontal="left" vertical="center"/>
    </xf>
    <xf numFmtId="0" fontId="7" fillId="5" borderId="51" xfId="0" applyFont="1" applyFill="1" applyBorder="1" applyAlignment="1">
      <alignment horizontal="center" vertical="center" wrapText="1"/>
    </xf>
    <xf numFmtId="0" fontId="7" fillId="5" borderId="18" xfId="0" applyFont="1" applyFill="1" applyBorder="1" applyAlignment="1">
      <alignment horizontal="center" vertical="center" wrapText="1"/>
    </xf>
    <xf numFmtId="0" fontId="4" fillId="5" borderId="25" xfId="0" applyFont="1" applyFill="1" applyBorder="1" applyAlignment="1">
      <alignment horizontal="left" vertical="center"/>
    </xf>
    <xf numFmtId="0" fontId="4" fillId="5" borderId="57" xfId="0" applyFont="1" applyFill="1" applyBorder="1" applyAlignment="1">
      <alignment horizontal="center" vertical="center" wrapText="1"/>
    </xf>
    <xf numFmtId="0" fontId="4" fillId="5" borderId="59" xfId="0" applyFont="1" applyFill="1" applyBorder="1" applyAlignment="1">
      <alignment horizontal="center" vertical="center" wrapText="1"/>
    </xf>
    <xf numFmtId="0" fontId="3" fillId="0" borderId="38" xfId="0" applyFont="1" applyBorder="1" applyAlignment="1" applyProtection="1">
      <alignment horizontal="left" vertical="center"/>
      <protection locked="0"/>
    </xf>
    <xf numFmtId="0" fontId="3" fillId="0" borderId="4" xfId="0" applyFont="1" applyBorder="1" applyAlignment="1" applyProtection="1">
      <alignment horizontal="left" vertical="center"/>
      <protection locked="0"/>
    </xf>
    <xf numFmtId="0" fontId="3" fillId="0" borderId="34" xfId="0" applyFont="1" applyBorder="1" applyAlignment="1" applyProtection="1">
      <alignment horizontal="left" vertical="center"/>
      <protection locked="0"/>
    </xf>
    <xf numFmtId="0" fontId="3" fillId="0" borderId="60" xfId="0" applyFont="1" applyBorder="1" applyAlignment="1" applyProtection="1">
      <alignment horizontal="left" vertical="center"/>
      <protection locked="0"/>
    </xf>
    <xf numFmtId="0" fontId="3" fillId="0" borderId="3" xfId="0" applyFont="1" applyBorder="1" applyAlignment="1" applyProtection="1">
      <alignment horizontal="left" vertical="center"/>
      <protection locked="0"/>
    </xf>
    <xf numFmtId="0" fontId="3" fillId="0" borderId="49" xfId="0" applyFont="1" applyBorder="1" applyAlignment="1" applyProtection="1">
      <alignment horizontal="left" vertical="center"/>
      <protection locked="0"/>
    </xf>
    <xf numFmtId="0" fontId="3" fillId="0" borderId="61" xfId="0" applyFont="1" applyBorder="1" applyAlignment="1" applyProtection="1">
      <alignment horizontal="left" vertical="center"/>
      <protection locked="0"/>
    </xf>
    <xf numFmtId="0" fontId="3" fillId="0" borderId="50" xfId="0" applyFont="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28" xfId="0" applyFont="1" applyFill="1" applyBorder="1" applyAlignment="1">
      <alignment horizontal="left" vertical="center" wrapText="1"/>
    </xf>
    <xf numFmtId="0" fontId="0" fillId="5" borderId="59" xfId="0" applyFill="1" applyBorder="1" applyAlignment="1">
      <alignment horizontal="left" vertical="center"/>
    </xf>
    <xf numFmtId="170" fontId="8" fillId="0" borderId="5" xfId="0" applyNumberFormat="1" applyFont="1" applyBorder="1" applyAlignment="1" applyProtection="1">
      <alignment horizontal="left" vertical="center" wrapText="1"/>
      <protection locked="0"/>
    </xf>
    <xf numFmtId="170" fontId="8" fillId="0" borderId="4" xfId="0" applyNumberFormat="1" applyFont="1" applyBorder="1" applyAlignment="1" applyProtection="1">
      <alignment horizontal="left" vertical="center" wrapText="1"/>
      <protection locked="0"/>
    </xf>
    <xf numFmtId="171" fontId="8" fillId="0" borderId="20" xfId="0" applyNumberFormat="1" applyFont="1" applyBorder="1" applyAlignment="1" applyProtection="1">
      <alignment horizontal="center" vertical="center"/>
      <protection locked="0"/>
    </xf>
    <xf numFmtId="171" fontId="8" fillId="0" borderId="21" xfId="0" applyNumberFormat="1" applyFont="1" applyBorder="1" applyAlignment="1" applyProtection="1">
      <alignment horizontal="center" vertical="center"/>
      <protection locked="0"/>
    </xf>
  </cellXfs>
  <cellStyles count="14">
    <cellStyle name="Euro" xfId="1"/>
    <cellStyle name="Euro 10" xfId="2"/>
    <cellStyle name="Euro 11" xfId="3"/>
    <cellStyle name="Euro 12" xfId="4"/>
    <cellStyle name="Euro 2" xfId="5"/>
    <cellStyle name="Euro 3" xfId="6"/>
    <cellStyle name="Euro 4" xfId="7"/>
    <cellStyle name="Euro 5" xfId="8"/>
    <cellStyle name="Euro 6" xfId="9"/>
    <cellStyle name="Euro 7" xfId="10"/>
    <cellStyle name="Euro 8" xfId="11"/>
    <cellStyle name="Euro 9" xfId="12"/>
    <cellStyle name="Normal" xfId="0" builtinId="0"/>
    <cellStyle name="Normal 2" xfId="13"/>
  </cellStyles>
  <dxfs count="2">
    <dxf>
      <fill>
        <patternFill>
          <bgColor indexed="22"/>
        </patternFill>
      </fill>
    </dxf>
    <dxf>
      <fill>
        <patternFill>
          <bgColor indexed="22"/>
        </patternFill>
      </fill>
    </dxf>
  </dxfs>
  <tableStyles count="0" defaultTableStyle="TableStyleMedium9" defaultPivotStyle="PivotStyleLight16"/>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617220</xdr:colOff>
      <xdr:row>0</xdr:row>
      <xdr:rowOff>777765</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629920</xdr:colOff>
      <xdr:row>1</xdr:row>
      <xdr:rowOff>151232</xdr:rowOff>
    </xdr:to>
    <xdr:pic>
      <xdr:nvPicPr>
        <xdr:cNvPr id="5" name="Imagen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477520</xdr:colOff>
      <xdr:row>1</xdr:row>
      <xdr:rowOff>151232</xdr:rowOff>
    </xdr:to>
    <xdr:pic>
      <xdr:nvPicPr>
        <xdr:cNvPr id="5" name="Imagen 4">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477520</xdr:colOff>
      <xdr:row>1</xdr:row>
      <xdr:rowOff>151232</xdr:rowOff>
    </xdr:to>
    <xdr:pic>
      <xdr:nvPicPr>
        <xdr:cNvPr id="5" name="Imagen 4">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731520</xdr:colOff>
      <xdr:row>0</xdr:row>
      <xdr:rowOff>777765</xdr:rowOff>
    </xdr:to>
    <xdr:pic>
      <xdr:nvPicPr>
        <xdr:cNvPr id="5" name="Imagen 4">
          <a:extLst>
            <a:ext uri="{FF2B5EF4-FFF2-40B4-BE49-F238E27FC236}">
              <a16:creationId xmlns:a16="http://schemas.microsoft.com/office/drawing/2014/main" id="{00000000-0008-0000-0C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60960</xdr:colOff>
      <xdr:row>0</xdr:row>
      <xdr:rowOff>777765</xdr:rowOff>
    </xdr:to>
    <xdr:pic>
      <xdr:nvPicPr>
        <xdr:cNvPr id="5" name="Imagen 4">
          <a:extLst>
            <a:ext uri="{FF2B5EF4-FFF2-40B4-BE49-F238E27FC236}">
              <a16:creationId xmlns:a16="http://schemas.microsoft.com/office/drawing/2014/main" id="{00000000-0008-0000-0D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18"/>
  <sheetViews>
    <sheetView showGridLines="0" zoomScale="75" zoomScaleNormal="75" workbookViewId="0">
      <pane xSplit="10" ySplit="17" topLeftCell="K18" activePane="bottomRight" state="frozen"/>
      <selection activeCell="C5" sqref="C5:D5"/>
      <selection pane="topRight" activeCell="C5" sqref="C5:D5"/>
      <selection pane="bottomLeft" activeCell="C5" sqref="C5:D5"/>
      <selection pane="bottomRight" activeCell="F21" sqref="F21"/>
    </sheetView>
  </sheetViews>
  <sheetFormatPr baseColWidth="10" defaultColWidth="11.453125" defaultRowHeight="14" x14ac:dyDescent="0.25"/>
  <cols>
    <col min="1" max="1" width="1.6328125" style="16" customWidth="1"/>
    <col min="2" max="2" width="14.6328125" style="16" customWidth="1"/>
    <col min="3" max="3" width="40.453125" style="16" customWidth="1"/>
    <col min="4" max="4" width="1.90625" style="16" customWidth="1"/>
    <col min="5" max="5" width="20.6328125" style="16" customWidth="1"/>
    <col min="6" max="8" width="22.36328125" style="16" customWidth="1"/>
    <col min="9" max="9" width="42.08984375" style="16" customWidth="1"/>
    <col min="10" max="10" width="5.08984375" style="16" customWidth="1"/>
    <col min="11" max="40" width="14.6328125" style="16" customWidth="1"/>
    <col min="41" max="16384" width="11.453125" style="16"/>
  </cols>
  <sheetData>
    <row r="1" spans="2:15" ht="66.75" customHeight="1" x14ac:dyDescent="0.35">
      <c r="F1" s="119"/>
      <c r="G1" s="119"/>
      <c r="H1" s="119"/>
      <c r="J1" s="11"/>
      <c r="K1" s="11"/>
      <c r="L1" s="11"/>
      <c r="M1" s="11"/>
      <c r="N1" s="11"/>
      <c r="O1" s="11"/>
    </row>
    <row r="2" spans="2:15" ht="14.5" x14ac:dyDescent="0.25">
      <c r="B2" s="116"/>
      <c r="C2" s="116"/>
      <c r="D2" s="116"/>
      <c r="E2" s="116"/>
    </row>
    <row r="3" spans="2:15" ht="18" x14ac:dyDescent="0.25">
      <c r="B3" s="122" t="s">
        <v>109</v>
      </c>
      <c r="C3" s="118"/>
      <c r="D3" s="118"/>
      <c r="E3" s="118"/>
    </row>
    <row r="4" spans="2:15" ht="17" thickBot="1" x14ac:dyDescent="0.3">
      <c r="B4" s="118"/>
      <c r="C4" s="118"/>
      <c r="D4" s="118"/>
      <c r="E4" s="118"/>
    </row>
    <row r="5" spans="2:15" ht="14.5" thickBot="1" x14ac:dyDescent="0.3">
      <c r="B5" s="191" t="s">
        <v>111</v>
      </c>
      <c r="C5" s="192"/>
      <c r="D5" s="21"/>
      <c r="E5" s="193" t="s">
        <v>157</v>
      </c>
      <c r="F5" s="194"/>
      <c r="G5" s="194"/>
      <c r="H5" s="194"/>
      <c r="I5" s="195"/>
    </row>
    <row r="6" spans="2:15" ht="14.5" thickBot="1" x14ac:dyDescent="0.3">
      <c r="B6" s="21"/>
      <c r="C6" s="21"/>
      <c r="D6" s="21"/>
      <c r="E6" s="21"/>
    </row>
    <row r="7" spans="2:15" x14ac:dyDescent="0.25">
      <c r="B7" s="196" t="s">
        <v>110</v>
      </c>
      <c r="C7" s="197"/>
      <c r="D7" s="21"/>
      <c r="E7" s="200" t="s">
        <v>158</v>
      </c>
      <c r="F7" s="201"/>
      <c r="G7" s="201"/>
      <c r="H7" s="201"/>
      <c r="I7" s="202"/>
    </row>
    <row r="8" spans="2:15" ht="14.5" thickBot="1" x14ac:dyDescent="0.3">
      <c r="B8" s="198"/>
      <c r="C8" s="199"/>
      <c r="D8" s="21"/>
      <c r="E8" s="203"/>
      <c r="F8" s="204"/>
      <c r="G8" s="204"/>
      <c r="H8" s="204"/>
      <c r="I8" s="205"/>
    </row>
    <row r="9" spans="2:15" ht="14.5" thickBot="1" x14ac:dyDescent="0.3">
      <c r="B9" s="21"/>
      <c r="C9" s="21"/>
      <c r="D9" s="21"/>
      <c r="E9" s="21"/>
    </row>
    <row r="10" spans="2:15" ht="14.5" thickBot="1" x14ac:dyDescent="0.3">
      <c r="B10" s="191" t="s">
        <v>123</v>
      </c>
      <c r="C10" s="192"/>
      <c r="D10" s="127"/>
      <c r="E10" s="128" t="s">
        <v>121</v>
      </c>
      <c r="F10" s="124">
        <v>45292</v>
      </c>
      <c r="G10" s="128" t="s">
        <v>122</v>
      </c>
      <c r="H10" s="124">
        <v>45657</v>
      </c>
    </row>
    <row r="11" spans="2:15" ht="14.5" thickBot="1" x14ac:dyDescent="0.3">
      <c r="B11" s="21"/>
      <c r="C11" s="21"/>
      <c r="D11" s="21"/>
      <c r="E11" s="21"/>
    </row>
    <row r="12" spans="2:15" ht="14.5" thickBot="1" x14ac:dyDescent="0.3">
      <c r="B12" s="191" t="s">
        <v>113</v>
      </c>
      <c r="C12" s="192"/>
      <c r="D12" s="127"/>
      <c r="E12" s="123">
        <v>2024</v>
      </c>
    </row>
    <row r="13" spans="2:15" ht="14.5" thickBot="1" x14ac:dyDescent="0.3">
      <c r="B13" s="21"/>
      <c r="C13" s="21"/>
      <c r="D13" s="21"/>
      <c r="E13" s="21"/>
    </row>
    <row r="14" spans="2:15" ht="14.5" thickBot="1" x14ac:dyDescent="0.3">
      <c r="B14" s="191" t="s">
        <v>128</v>
      </c>
      <c r="C14" s="192"/>
      <c r="D14" s="127"/>
      <c r="E14" s="123" t="s">
        <v>159</v>
      </c>
    </row>
    <row r="15" spans="2:15" x14ac:dyDescent="0.25">
      <c r="B15" s="21"/>
      <c r="C15" s="21"/>
      <c r="D15" s="21"/>
      <c r="E15" s="21"/>
    </row>
    <row r="16" spans="2:15" x14ac:dyDescent="0.25">
      <c r="B16" s="21"/>
      <c r="C16" s="21"/>
      <c r="D16" s="21"/>
      <c r="E16" s="21"/>
    </row>
    <row r="17" spans="2:8" x14ac:dyDescent="0.25">
      <c r="F17" s="87"/>
      <c r="G17" s="87"/>
      <c r="H17" s="87"/>
    </row>
    <row r="18" spans="2:8" x14ac:dyDescent="0.25">
      <c r="B18" s="127"/>
      <c r="C18" s="127"/>
      <c r="D18" s="127"/>
      <c r="E18" s="127"/>
      <c r="F18" s="87"/>
      <c r="G18" s="87"/>
      <c r="H18" s="87"/>
    </row>
  </sheetData>
  <sheetProtection algorithmName="SHA-512" hashValue="UcIcilBFZao0bFEmv6sn37HKuGEVt4yt6jYF/da3rRauuFExFsCLk/c7vpfP6taQBuZnyvArPnnimdpFdzvyRA==" saltValue="S22WXEchO9IVe7g//aK1+A==" spinCount="100000" sheet="1" objects="1" scenarios="1"/>
  <protectedRanges>
    <protectedRange password="CC9E" sqref="F17:H18 F1:H1 B18:E18 A1:E2 A3:A18 F2:I11 J1:IX18 B3:E11 B12:I16" name="Rango2"/>
    <protectedRange password="CC9E" sqref="J1:O1 A19:IX65537 F17:H18 F1:H1 B18:E18 F2:L2 A1:E2 M17:IX18 J3:L18 A3:A18 M1:M16 N2:O16 P1:IX16 B3:I16" name="Rango1"/>
  </protectedRanges>
  <mergeCells count="7">
    <mergeCell ref="B14:C14"/>
    <mergeCell ref="B10:C10"/>
    <mergeCell ref="B12:C12"/>
    <mergeCell ref="E5:I5"/>
    <mergeCell ref="B7:C8"/>
    <mergeCell ref="E7:I8"/>
    <mergeCell ref="B5:C5"/>
  </mergeCells>
  <pageMargins left="0.39370078740157483" right="0.39370078740157483" top="0.78740157480314965" bottom="0.78740157480314965" header="0" footer="0.39370078740157483"/>
  <pageSetup paperSize="9" scale="67" fitToHeight="0" orientation="landscape" r:id="rId1"/>
  <headerFooter alignWithMargins="0">
    <oddFooter xml:space="preserve">&amp;CP. &amp;P / &amp;N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5"/>
  <sheetViews>
    <sheetView zoomScale="85" zoomScaleNormal="85" workbookViewId="0">
      <selection activeCell="B1" sqref="B1"/>
    </sheetView>
  </sheetViews>
  <sheetFormatPr baseColWidth="10" defaultColWidth="11.453125" defaultRowHeight="14" x14ac:dyDescent="0.25"/>
  <cols>
    <col min="1" max="1" width="1.6328125" style="16" customWidth="1"/>
    <col min="2" max="2" width="255.6328125" style="16" customWidth="1"/>
    <col min="3" max="3" width="20.6328125" style="16" customWidth="1"/>
    <col min="4" max="6" width="22.36328125" style="16" customWidth="1"/>
    <col min="7" max="7" width="49.54296875" style="16" customWidth="1"/>
    <col min="8" max="8" width="5.08984375" style="16" customWidth="1"/>
    <col min="9" max="38" width="14.6328125" style="16" customWidth="1"/>
    <col min="39" max="16384" width="11.453125" style="16"/>
  </cols>
  <sheetData>
    <row r="1" spans="2:13" ht="66.75" customHeight="1" x14ac:dyDescent="0.35">
      <c r="D1" s="119"/>
      <c r="E1" s="119"/>
      <c r="F1" s="119"/>
      <c r="H1" s="11"/>
      <c r="I1" s="11"/>
      <c r="J1" s="11"/>
      <c r="K1" s="11"/>
      <c r="L1" s="11"/>
      <c r="M1" s="11"/>
    </row>
    <row r="2" spans="2:13" ht="14.5" x14ac:dyDescent="0.25">
      <c r="B2" s="116"/>
      <c r="C2" s="116"/>
    </row>
    <row r="3" spans="2:13" ht="18" x14ac:dyDescent="0.25">
      <c r="B3" s="122" t="s">
        <v>112</v>
      </c>
      <c r="C3" s="118"/>
    </row>
    <row r="4" spans="2:13" ht="16.5" x14ac:dyDescent="0.25">
      <c r="B4" s="118"/>
      <c r="C4" s="118"/>
    </row>
    <row r="5" spans="2:13" ht="409.25" customHeight="1" x14ac:dyDescent="0.25">
      <c r="B5" s="189" t="s">
        <v>140</v>
      </c>
      <c r="C5" s="127"/>
      <c r="D5" s="87"/>
      <c r="E5" s="87"/>
      <c r="F5" s="87"/>
    </row>
  </sheetData>
  <sheetProtection algorithmName="SHA-512" hashValue="PRy3pr5HO28OmOZiaY5PJjd1DWxD+CKV3+Q0/1SaJfBrlZ11hZ3Zxbjcm20bc3jIhm5cITNjutMQmkCmx5MWNA==" saltValue="POEe/QsnMflAHqwR0NgKsQ==" spinCount="100000" sheet="1" objects="1" scenarios="1"/>
  <protectedRanges>
    <protectedRange password="CC9E" sqref="D1:F1 D2:G4 C1:C4 C5:F5 H1:IV5 A1:B5" name="Rango2"/>
    <protectedRange password="CC9E" sqref="H1:M1 D1:F1 K1:K4 D2:J2 C1:C2 C3:J4 C7:IV7 A7 L2:M4 C5:F5 H5:IV5 N1:IV4 A1:B5 A8:IV65525" name="Rango1"/>
  </protectedRanges>
  <pageMargins left="0.7" right="0.7" top="0.75" bottom="0.75" header="0.3" footer="0.3"/>
  <pageSetup paperSize="9"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42"/>
  <sheetViews>
    <sheetView showGridLines="0" zoomScale="70" zoomScaleNormal="70" workbookViewId="0">
      <pane xSplit="5" ySplit="14" topLeftCell="F15" activePane="bottomRight" state="frozen"/>
      <selection activeCell="C5" sqref="C5:D5"/>
      <selection pane="topRight" activeCell="C5" sqref="C5:D5"/>
      <selection pane="bottomLeft" activeCell="C5" sqref="C5:D5"/>
      <selection pane="bottomRight" activeCell="R23" sqref="R23"/>
    </sheetView>
  </sheetViews>
  <sheetFormatPr baseColWidth="10" defaultColWidth="11.453125" defaultRowHeight="14" x14ac:dyDescent="0.25"/>
  <cols>
    <col min="1" max="1" width="1.6328125" style="16" customWidth="1"/>
    <col min="2" max="2" width="14.6328125" style="16" customWidth="1"/>
    <col min="3" max="3" width="55.453125" style="16" customWidth="1"/>
    <col min="4" max="4" width="61.54296875" style="16" customWidth="1"/>
    <col min="5" max="5" width="9" style="16" customWidth="1"/>
    <col min="6" max="35" width="14.6328125" style="16" customWidth="1"/>
    <col min="36" max="16384" width="11.453125" style="16"/>
  </cols>
  <sheetData>
    <row r="1" spans="1:35" ht="62.4" customHeight="1" x14ac:dyDescent="0.25">
      <c r="D1" s="11"/>
      <c r="E1" s="11"/>
      <c r="F1" s="11"/>
      <c r="G1" s="11"/>
      <c r="H1" s="11"/>
      <c r="I1" s="11"/>
      <c r="J1" s="11"/>
    </row>
    <row r="2" spans="1:35" ht="14.5" x14ac:dyDescent="0.25">
      <c r="B2" s="116"/>
    </row>
    <row r="4" spans="1:35" x14ac:dyDescent="0.25">
      <c r="B4" s="93" t="s">
        <v>79</v>
      </c>
    </row>
    <row r="5" spans="1:35" x14ac:dyDescent="0.25">
      <c r="B5" s="21"/>
    </row>
    <row r="6" spans="1:35" ht="45" customHeight="1" x14ac:dyDescent="0.25">
      <c r="B6" s="215" t="s">
        <v>143</v>
      </c>
      <c r="C6" s="215"/>
      <c r="D6" s="215"/>
      <c r="E6" s="215"/>
    </row>
    <row r="7" spans="1:35" x14ac:dyDescent="0.25">
      <c r="B7" s="126"/>
      <c r="C7" s="169"/>
    </row>
    <row r="8" spans="1:35" x14ac:dyDescent="0.25">
      <c r="B8" s="126" t="s">
        <v>148</v>
      </c>
      <c r="C8" s="169"/>
    </row>
    <row r="9" spans="1:35" x14ac:dyDescent="0.25">
      <c r="B9" s="126"/>
      <c r="C9" s="21"/>
    </row>
    <row r="10" spans="1:35" x14ac:dyDescent="0.25">
      <c r="B10" s="126" t="s">
        <v>141</v>
      </c>
      <c r="C10" s="169"/>
    </row>
    <row r="11" spans="1:35" x14ac:dyDescent="0.25">
      <c r="B11" s="21"/>
      <c r="C11" s="87"/>
      <c r="D11" s="87"/>
    </row>
    <row r="12" spans="1:35" ht="6" customHeight="1" thickBot="1" x14ac:dyDescent="0.3">
      <c r="A12" s="167"/>
    </row>
    <row r="13" spans="1:35" ht="14.5" thickBot="1" x14ac:dyDescent="0.3">
      <c r="B13" s="211" t="s">
        <v>114</v>
      </c>
      <c r="C13" s="211" t="s">
        <v>145</v>
      </c>
      <c r="D13" s="213" t="s">
        <v>3</v>
      </c>
      <c r="E13" s="213" t="s">
        <v>106</v>
      </c>
      <c r="F13" s="206">
        <f>'Datos solicitud'!E12</f>
        <v>2024</v>
      </c>
      <c r="G13" s="206"/>
      <c r="H13" s="206"/>
      <c r="I13" s="206"/>
      <c r="J13" s="206"/>
      <c r="K13" s="206">
        <f>F13+1</f>
        <v>2025</v>
      </c>
      <c r="L13" s="206"/>
      <c r="M13" s="206"/>
      <c r="N13" s="206"/>
      <c r="O13" s="206"/>
      <c r="P13" s="206">
        <f>K13+1</f>
        <v>2026</v>
      </c>
      <c r="Q13" s="206"/>
      <c r="R13" s="206"/>
      <c r="S13" s="206"/>
      <c r="T13" s="206"/>
      <c r="U13" s="206">
        <f>P13+1</f>
        <v>2027</v>
      </c>
      <c r="V13" s="206"/>
      <c r="W13" s="206"/>
      <c r="X13" s="206"/>
      <c r="Y13" s="206"/>
      <c r="Z13" s="206">
        <f>U13+1</f>
        <v>2028</v>
      </c>
      <c r="AA13" s="206"/>
      <c r="AB13" s="206"/>
      <c r="AC13" s="206"/>
      <c r="AD13" s="206"/>
      <c r="AE13" s="206">
        <f>Z13+1</f>
        <v>2029</v>
      </c>
      <c r="AF13" s="206"/>
      <c r="AG13" s="206"/>
      <c r="AH13" s="206"/>
      <c r="AI13" s="206"/>
    </row>
    <row r="14" spans="1:35" s="56" customFormat="1" ht="78.75" customHeight="1" thickBot="1" x14ac:dyDescent="0.3">
      <c r="B14" s="212"/>
      <c r="C14" s="212"/>
      <c r="D14" s="214"/>
      <c r="E14" s="214"/>
      <c r="F14" s="131" t="s">
        <v>103</v>
      </c>
      <c r="G14" s="132" t="s">
        <v>7</v>
      </c>
      <c r="H14" s="132" t="s">
        <v>138</v>
      </c>
      <c r="I14" s="132" t="s">
        <v>139</v>
      </c>
      <c r="J14" s="133" t="s">
        <v>4</v>
      </c>
      <c r="K14" s="131" t="s">
        <v>103</v>
      </c>
      <c r="L14" s="132" t="s">
        <v>7</v>
      </c>
      <c r="M14" s="132" t="s">
        <v>138</v>
      </c>
      <c r="N14" s="132" t="s">
        <v>139</v>
      </c>
      <c r="O14" s="133" t="s">
        <v>4</v>
      </c>
      <c r="P14" s="131" t="s">
        <v>103</v>
      </c>
      <c r="Q14" s="132" t="s">
        <v>7</v>
      </c>
      <c r="R14" s="132" t="s">
        <v>138</v>
      </c>
      <c r="S14" s="132" t="s">
        <v>139</v>
      </c>
      <c r="T14" s="133" t="s">
        <v>4</v>
      </c>
      <c r="U14" s="131" t="s">
        <v>103</v>
      </c>
      <c r="V14" s="132" t="s">
        <v>7</v>
      </c>
      <c r="W14" s="132" t="s">
        <v>138</v>
      </c>
      <c r="X14" s="132" t="s">
        <v>139</v>
      </c>
      <c r="Y14" s="133" t="s">
        <v>4</v>
      </c>
      <c r="Z14" s="131" t="s">
        <v>103</v>
      </c>
      <c r="AA14" s="132" t="s">
        <v>7</v>
      </c>
      <c r="AB14" s="132" t="s">
        <v>138</v>
      </c>
      <c r="AC14" s="132" t="s">
        <v>139</v>
      </c>
      <c r="AD14" s="133" t="s">
        <v>4</v>
      </c>
      <c r="AE14" s="131" t="s">
        <v>103</v>
      </c>
      <c r="AF14" s="132" t="s">
        <v>7</v>
      </c>
      <c r="AG14" s="132" t="s">
        <v>138</v>
      </c>
      <c r="AH14" s="132" t="s">
        <v>139</v>
      </c>
      <c r="AI14" s="133" t="s">
        <v>4</v>
      </c>
    </row>
    <row r="15" spans="1:35" ht="15.75" customHeight="1" x14ac:dyDescent="0.25">
      <c r="B15" s="129">
        <v>1</v>
      </c>
      <c r="C15" s="79" t="s">
        <v>160</v>
      </c>
      <c r="D15" s="80" t="s">
        <v>161</v>
      </c>
      <c r="E15" s="5" t="s">
        <v>108</v>
      </c>
      <c r="F15" s="170"/>
      <c r="G15" s="171"/>
      <c r="H15" s="113">
        <v>1760</v>
      </c>
      <c r="I15" s="100">
        <v>37400</v>
      </c>
      <c r="J15" s="114">
        <f>G15+I15</f>
        <v>37400</v>
      </c>
      <c r="K15" s="170"/>
      <c r="L15" s="171"/>
      <c r="M15" s="113"/>
      <c r="N15" s="100"/>
      <c r="O15" s="114">
        <f>L15+N15</f>
        <v>0</v>
      </c>
      <c r="P15" s="170"/>
      <c r="Q15" s="171"/>
      <c r="R15" s="113"/>
      <c r="S15" s="100"/>
      <c r="T15" s="114">
        <f>Q15+S15</f>
        <v>0</v>
      </c>
      <c r="U15" s="170"/>
      <c r="V15" s="171"/>
      <c r="W15" s="113"/>
      <c r="X15" s="100"/>
      <c r="Y15" s="114">
        <f>V15+X15</f>
        <v>0</v>
      </c>
      <c r="Z15" s="170"/>
      <c r="AA15" s="171"/>
      <c r="AB15" s="113"/>
      <c r="AC15" s="100"/>
      <c r="AD15" s="114">
        <f>AA15+AC15</f>
        <v>0</v>
      </c>
      <c r="AE15" s="170"/>
      <c r="AF15" s="171"/>
      <c r="AG15" s="113"/>
      <c r="AH15" s="100"/>
      <c r="AI15" s="114">
        <f>AF15+AH15</f>
        <v>0</v>
      </c>
    </row>
    <row r="16" spans="1:35" x14ac:dyDescent="0.25">
      <c r="B16" s="130">
        <f>B15+1</f>
        <v>2</v>
      </c>
      <c r="C16" s="81" t="s">
        <v>162</v>
      </c>
      <c r="D16" s="82" t="s">
        <v>163</v>
      </c>
      <c r="E16" s="5" t="s">
        <v>108</v>
      </c>
      <c r="F16" s="170"/>
      <c r="G16" s="171"/>
      <c r="H16" s="113">
        <v>821</v>
      </c>
      <c r="I16" s="100">
        <v>69770.55</v>
      </c>
      <c r="J16" s="114">
        <f t="shared" ref="J16:J38" si="0">G16+I16</f>
        <v>69770.55</v>
      </c>
      <c r="K16" s="170"/>
      <c r="L16" s="171"/>
      <c r="M16" s="113"/>
      <c r="N16" s="100"/>
      <c r="O16" s="114">
        <f t="shared" ref="O16:O38" si="1">L16+N16</f>
        <v>0</v>
      </c>
      <c r="P16" s="170"/>
      <c r="Q16" s="171"/>
      <c r="R16" s="113"/>
      <c r="S16" s="100"/>
      <c r="T16" s="114">
        <f t="shared" ref="T16:T38" si="2">Q16+S16</f>
        <v>0</v>
      </c>
      <c r="U16" s="170"/>
      <c r="V16" s="171"/>
      <c r="W16" s="113"/>
      <c r="X16" s="100"/>
      <c r="Y16" s="114">
        <f t="shared" ref="Y16:Y38" si="3">V16+X16</f>
        <v>0</v>
      </c>
      <c r="Z16" s="170"/>
      <c r="AA16" s="171"/>
      <c r="AB16" s="113"/>
      <c r="AC16" s="100"/>
      <c r="AD16" s="114">
        <f t="shared" ref="AD16:AD38" si="4">AA16+AC16</f>
        <v>0</v>
      </c>
      <c r="AE16" s="170"/>
      <c r="AF16" s="171"/>
      <c r="AG16" s="113"/>
      <c r="AH16" s="100"/>
      <c r="AI16" s="114">
        <f t="shared" ref="AI16:AI38" si="5">AF16+AH16</f>
        <v>0</v>
      </c>
    </row>
    <row r="17" spans="2:35" x14ac:dyDescent="0.25">
      <c r="B17" s="130">
        <f t="shared" ref="B17:B38" si="6">B16+1</f>
        <v>3</v>
      </c>
      <c r="C17" s="81" t="s">
        <v>164</v>
      </c>
      <c r="D17" s="82" t="s">
        <v>163</v>
      </c>
      <c r="E17" s="5" t="s">
        <v>108</v>
      </c>
      <c r="F17" s="170"/>
      <c r="G17" s="171"/>
      <c r="H17" s="113">
        <v>1760</v>
      </c>
      <c r="I17" s="100">
        <v>51480</v>
      </c>
      <c r="J17" s="114">
        <f t="shared" si="0"/>
        <v>51480</v>
      </c>
      <c r="K17" s="170"/>
      <c r="L17" s="171"/>
      <c r="M17" s="113"/>
      <c r="N17" s="100"/>
      <c r="O17" s="114">
        <f t="shared" si="1"/>
        <v>0</v>
      </c>
      <c r="P17" s="170"/>
      <c r="Q17" s="171"/>
      <c r="R17" s="113"/>
      <c r="S17" s="100"/>
      <c r="T17" s="114">
        <f t="shared" si="2"/>
        <v>0</v>
      </c>
      <c r="U17" s="170"/>
      <c r="V17" s="171"/>
      <c r="W17" s="113"/>
      <c r="X17" s="100"/>
      <c r="Y17" s="114">
        <f t="shared" si="3"/>
        <v>0</v>
      </c>
      <c r="Z17" s="170"/>
      <c r="AA17" s="171"/>
      <c r="AB17" s="113"/>
      <c r="AC17" s="100"/>
      <c r="AD17" s="114">
        <f t="shared" si="4"/>
        <v>0</v>
      </c>
      <c r="AE17" s="170"/>
      <c r="AF17" s="171"/>
      <c r="AG17" s="113"/>
      <c r="AH17" s="100"/>
      <c r="AI17" s="114">
        <f t="shared" si="5"/>
        <v>0</v>
      </c>
    </row>
    <row r="18" spans="2:35" x14ac:dyDescent="0.25">
      <c r="B18" s="130">
        <f>B17+1</f>
        <v>4</v>
      </c>
      <c r="C18" s="81" t="s">
        <v>165</v>
      </c>
      <c r="D18" s="82" t="s">
        <v>166</v>
      </c>
      <c r="E18" s="5" t="s">
        <v>108</v>
      </c>
      <c r="F18" s="170"/>
      <c r="G18" s="171"/>
      <c r="H18" s="113">
        <v>1760</v>
      </c>
      <c r="I18" s="100">
        <v>90217.600000000006</v>
      </c>
      <c r="J18" s="114">
        <f t="shared" si="0"/>
        <v>90217.600000000006</v>
      </c>
      <c r="K18" s="170"/>
      <c r="L18" s="171"/>
      <c r="M18" s="113"/>
      <c r="N18" s="100"/>
      <c r="O18" s="114">
        <f t="shared" si="1"/>
        <v>0</v>
      </c>
      <c r="P18" s="170"/>
      <c r="Q18" s="171"/>
      <c r="R18" s="113"/>
      <c r="S18" s="100"/>
      <c r="T18" s="114">
        <f t="shared" si="2"/>
        <v>0</v>
      </c>
      <c r="U18" s="170"/>
      <c r="V18" s="171"/>
      <c r="W18" s="113"/>
      <c r="X18" s="100"/>
      <c r="Y18" s="114">
        <f t="shared" si="3"/>
        <v>0</v>
      </c>
      <c r="Z18" s="170"/>
      <c r="AA18" s="171"/>
      <c r="AB18" s="113"/>
      <c r="AC18" s="100"/>
      <c r="AD18" s="114">
        <f t="shared" si="4"/>
        <v>0</v>
      </c>
      <c r="AE18" s="170"/>
      <c r="AF18" s="171"/>
      <c r="AG18" s="113"/>
      <c r="AH18" s="100"/>
      <c r="AI18" s="114">
        <f t="shared" si="5"/>
        <v>0</v>
      </c>
    </row>
    <row r="19" spans="2:35" x14ac:dyDescent="0.25">
      <c r="B19" s="130">
        <f t="shared" si="6"/>
        <v>5</v>
      </c>
      <c r="C19" s="81" t="s">
        <v>167</v>
      </c>
      <c r="D19" s="82" t="s">
        <v>168</v>
      </c>
      <c r="E19" s="5" t="s">
        <v>108</v>
      </c>
      <c r="F19" s="170"/>
      <c r="G19" s="171"/>
      <c r="H19" s="113">
        <v>1760</v>
      </c>
      <c r="I19" s="100">
        <v>43560</v>
      </c>
      <c r="J19" s="114">
        <f t="shared" si="0"/>
        <v>43560</v>
      </c>
      <c r="K19" s="170"/>
      <c r="L19" s="171"/>
      <c r="M19" s="113"/>
      <c r="N19" s="100"/>
      <c r="O19" s="114">
        <f t="shared" si="1"/>
        <v>0</v>
      </c>
      <c r="P19" s="170"/>
      <c r="Q19" s="171"/>
      <c r="R19" s="113"/>
      <c r="S19" s="100"/>
      <c r="T19" s="114">
        <f t="shared" si="2"/>
        <v>0</v>
      </c>
      <c r="U19" s="170"/>
      <c r="V19" s="171"/>
      <c r="W19" s="113"/>
      <c r="X19" s="100"/>
      <c r="Y19" s="114">
        <f t="shared" si="3"/>
        <v>0</v>
      </c>
      <c r="Z19" s="170"/>
      <c r="AA19" s="171"/>
      <c r="AB19" s="113"/>
      <c r="AC19" s="100"/>
      <c r="AD19" s="114">
        <f t="shared" si="4"/>
        <v>0</v>
      </c>
      <c r="AE19" s="170"/>
      <c r="AF19" s="171"/>
      <c r="AG19" s="113"/>
      <c r="AH19" s="100"/>
      <c r="AI19" s="114">
        <f t="shared" si="5"/>
        <v>0</v>
      </c>
    </row>
    <row r="20" spans="2:35" x14ac:dyDescent="0.25">
      <c r="B20" s="130">
        <f t="shared" si="6"/>
        <v>6</v>
      </c>
      <c r="C20" s="81" t="s">
        <v>169</v>
      </c>
      <c r="D20" s="82" t="s">
        <v>166</v>
      </c>
      <c r="E20" s="5" t="s">
        <v>108</v>
      </c>
      <c r="F20" s="170"/>
      <c r="G20" s="171"/>
      <c r="H20" s="113">
        <v>1760</v>
      </c>
      <c r="I20" s="100">
        <v>68692.800000000003</v>
      </c>
      <c r="J20" s="114">
        <f>G20+I20</f>
        <v>68692.800000000003</v>
      </c>
      <c r="K20" s="170"/>
      <c r="L20" s="171"/>
      <c r="M20" s="113"/>
      <c r="N20" s="100"/>
      <c r="O20" s="114">
        <f t="shared" si="1"/>
        <v>0</v>
      </c>
      <c r="P20" s="170"/>
      <c r="Q20" s="171"/>
      <c r="R20" s="113"/>
      <c r="S20" s="100"/>
      <c r="T20" s="114">
        <f t="shared" si="2"/>
        <v>0</v>
      </c>
      <c r="U20" s="170"/>
      <c r="V20" s="171"/>
      <c r="W20" s="113"/>
      <c r="X20" s="100"/>
      <c r="Y20" s="114">
        <f t="shared" si="3"/>
        <v>0</v>
      </c>
      <c r="Z20" s="170"/>
      <c r="AA20" s="171"/>
      <c r="AB20" s="113"/>
      <c r="AC20" s="100"/>
      <c r="AD20" s="114">
        <f t="shared" si="4"/>
        <v>0</v>
      </c>
      <c r="AE20" s="170"/>
      <c r="AF20" s="171"/>
      <c r="AG20" s="113"/>
      <c r="AH20" s="100"/>
      <c r="AI20" s="114">
        <f t="shared" si="5"/>
        <v>0</v>
      </c>
    </row>
    <row r="21" spans="2:35" x14ac:dyDescent="0.25">
      <c r="B21" s="130">
        <f t="shared" si="6"/>
        <v>7</v>
      </c>
      <c r="C21" s="81" t="s">
        <v>170</v>
      </c>
      <c r="D21" s="82" t="s">
        <v>161</v>
      </c>
      <c r="E21" s="5" t="s">
        <v>108</v>
      </c>
      <c r="F21" s="170"/>
      <c r="G21" s="171"/>
      <c r="H21" s="113">
        <v>1046</v>
      </c>
      <c r="I21" s="100">
        <v>16505.88</v>
      </c>
      <c r="J21" s="114">
        <f t="shared" ref="J21:J33" si="7">G21+I21</f>
        <v>16505.88</v>
      </c>
      <c r="K21" s="170"/>
      <c r="L21" s="171"/>
      <c r="M21" s="113"/>
      <c r="N21" s="100"/>
      <c r="O21" s="114">
        <f t="shared" si="1"/>
        <v>0</v>
      </c>
      <c r="P21" s="170"/>
      <c r="Q21" s="171"/>
      <c r="R21" s="113"/>
      <c r="S21" s="100"/>
      <c r="T21" s="114">
        <f t="shared" si="2"/>
        <v>0</v>
      </c>
      <c r="U21" s="170"/>
      <c r="V21" s="171"/>
      <c r="W21" s="113"/>
      <c r="X21" s="100"/>
      <c r="Y21" s="114"/>
      <c r="Z21" s="170"/>
      <c r="AA21" s="171"/>
      <c r="AB21" s="113"/>
      <c r="AC21" s="100"/>
      <c r="AD21" s="114"/>
      <c r="AE21" s="170"/>
      <c r="AF21" s="171"/>
      <c r="AG21" s="113"/>
      <c r="AH21" s="100"/>
      <c r="AI21" s="114"/>
    </row>
    <row r="22" spans="2:35" x14ac:dyDescent="0.25">
      <c r="B22" s="130">
        <f t="shared" si="6"/>
        <v>8</v>
      </c>
      <c r="C22" s="81" t="s">
        <v>171</v>
      </c>
      <c r="D22" s="82" t="s">
        <v>168</v>
      </c>
      <c r="E22" s="5" t="s">
        <v>108</v>
      </c>
      <c r="F22" s="170"/>
      <c r="G22" s="171"/>
      <c r="H22" s="113">
        <v>1760</v>
      </c>
      <c r="I22" s="100">
        <v>50864</v>
      </c>
      <c r="J22" s="114">
        <f t="shared" si="7"/>
        <v>50864</v>
      </c>
      <c r="K22" s="170"/>
      <c r="L22" s="171"/>
      <c r="M22" s="113"/>
      <c r="N22" s="100"/>
      <c r="O22" s="114">
        <f t="shared" si="1"/>
        <v>0</v>
      </c>
      <c r="P22" s="170"/>
      <c r="Q22" s="171"/>
      <c r="R22" s="113"/>
      <c r="S22" s="100"/>
      <c r="T22" s="114">
        <f t="shared" si="2"/>
        <v>0</v>
      </c>
      <c r="U22" s="170"/>
      <c r="V22" s="171"/>
      <c r="W22" s="113"/>
      <c r="X22" s="100"/>
      <c r="Y22" s="114"/>
      <c r="Z22" s="170"/>
      <c r="AA22" s="171"/>
      <c r="AB22" s="113"/>
      <c r="AC22" s="100"/>
      <c r="AD22" s="114"/>
      <c r="AE22" s="170"/>
      <c r="AF22" s="171"/>
      <c r="AG22" s="113"/>
      <c r="AH22" s="100"/>
      <c r="AI22" s="114"/>
    </row>
    <row r="23" spans="2:35" x14ac:dyDescent="0.25">
      <c r="B23" s="130">
        <f t="shared" si="6"/>
        <v>9</v>
      </c>
      <c r="C23" s="81" t="s">
        <v>172</v>
      </c>
      <c r="D23" s="82" t="s">
        <v>163</v>
      </c>
      <c r="E23" s="5" t="s">
        <v>108</v>
      </c>
      <c r="F23" s="170"/>
      <c r="G23" s="171"/>
      <c r="H23" s="113">
        <v>1760</v>
      </c>
      <c r="I23" s="100">
        <v>66422.399999999994</v>
      </c>
      <c r="J23" s="114">
        <f t="shared" si="7"/>
        <v>66422.399999999994</v>
      </c>
      <c r="K23" s="170"/>
      <c r="L23" s="171"/>
      <c r="M23" s="113"/>
      <c r="N23" s="100"/>
      <c r="O23" s="114">
        <f t="shared" si="1"/>
        <v>0</v>
      </c>
      <c r="P23" s="170"/>
      <c r="Q23" s="171"/>
      <c r="R23" s="113"/>
      <c r="S23" s="100"/>
      <c r="T23" s="114">
        <f t="shared" si="2"/>
        <v>0</v>
      </c>
      <c r="U23" s="170"/>
      <c r="V23" s="171"/>
      <c r="W23" s="113"/>
      <c r="X23" s="100"/>
      <c r="Y23" s="114"/>
      <c r="Z23" s="170"/>
      <c r="AA23" s="171"/>
      <c r="AB23" s="113"/>
      <c r="AC23" s="100"/>
      <c r="AD23" s="114"/>
      <c r="AE23" s="170"/>
      <c r="AF23" s="171"/>
      <c r="AG23" s="113"/>
      <c r="AH23" s="100"/>
      <c r="AI23" s="114"/>
    </row>
    <row r="24" spans="2:35" x14ac:dyDescent="0.25">
      <c r="B24" s="130">
        <f t="shared" si="6"/>
        <v>10</v>
      </c>
      <c r="C24" s="81" t="s">
        <v>173</v>
      </c>
      <c r="D24" s="82" t="s">
        <v>161</v>
      </c>
      <c r="E24" s="5" t="s">
        <v>108</v>
      </c>
      <c r="F24" s="170"/>
      <c r="G24" s="171"/>
      <c r="H24" s="113">
        <v>1511</v>
      </c>
      <c r="I24" s="100">
        <v>42995.35</v>
      </c>
      <c r="J24" s="114">
        <f t="shared" si="7"/>
        <v>42995.35</v>
      </c>
      <c r="K24" s="170"/>
      <c r="L24" s="171"/>
      <c r="M24" s="113"/>
      <c r="N24" s="100"/>
      <c r="O24" s="114">
        <f t="shared" si="1"/>
        <v>0</v>
      </c>
      <c r="P24" s="170"/>
      <c r="Q24" s="171"/>
      <c r="R24" s="113"/>
      <c r="S24" s="100"/>
      <c r="T24" s="114">
        <f t="shared" si="2"/>
        <v>0</v>
      </c>
      <c r="U24" s="170"/>
      <c r="V24" s="171"/>
      <c r="W24" s="113"/>
      <c r="X24" s="100"/>
      <c r="Y24" s="114"/>
      <c r="Z24" s="170"/>
      <c r="AA24" s="171"/>
      <c r="AB24" s="113"/>
      <c r="AC24" s="100"/>
      <c r="AD24" s="114"/>
      <c r="AE24" s="170"/>
      <c r="AF24" s="171"/>
      <c r="AG24" s="113"/>
      <c r="AH24" s="100"/>
      <c r="AI24" s="114"/>
    </row>
    <row r="25" spans="2:35" x14ac:dyDescent="0.25">
      <c r="B25" s="130">
        <f t="shared" si="6"/>
        <v>11</v>
      </c>
      <c r="C25" s="81" t="s">
        <v>174</v>
      </c>
      <c r="D25" s="82" t="s">
        <v>163</v>
      </c>
      <c r="E25" s="5" t="s">
        <v>108</v>
      </c>
      <c r="F25" s="170"/>
      <c r="G25" s="171"/>
      <c r="H25" s="113">
        <v>821</v>
      </c>
      <c r="I25" s="100">
        <v>69770.55</v>
      </c>
      <c r="J25" s="114">
        <f t="shared" si="7"/>
        <v>69770.55</v>
      </c>
      <c r="K25" s="170"/>
      <c r="L25" s="171"/>
      <c r="M25" s="113"/>
      <c r="N25" s="100"/>
      <c r="O25" s="114">
        <f t="shared" si="1"/>
        <v>0</v>
      </c>
      <c r="P25" s="170"/>
      <c r="Q25" s="171"/>
      <c r="R25" s="113"/>
      <c r="S25" s="100"/>
      <c r="T25" s="114">
        <f t="shared" si="2"/>
        <v>0</v>
      </c>
      <c r="U25" s="170"/>
      <c r="V25" s="171"/>
      <c r="W25" s="113"/>
      <c r="X25" s="100"/>
      <c r="Y25" s="114"/>
      <c r="Z25" s="170"/>
      <c r="AA25" s="171"/>
      <c r="AB25" s="113"/>
      <c r="AC25" s="100"/>
      <c r="AD25" s="114"/>
      <c r="AE25" s="170"/>
      <c r="AF25" s="171"/>
      <c r="AG25" s="113"/>
      <c r="AH25" s="100"/>
      <c r="AI25" s="114"/>
    </row>
    <row r="26" spans="2:35" x14ac:dyDescent="0.25">
      <c r="B26" s="130">
        <f t="shared" si="6"/>
        <v>12</v>
      </c>
      <c r="C26" s="81" t="s">
        <v>175</v>
      </c>
      <c r="D26" s="82" t="s">
        <v>176</v>
      </c>
      <c r="E26" s="5" t="s">
        <v>108</v>
      </c>
      <c r="F26" s="170"/>
      <c r="G26" s="171"/>
      <c r="H26" s="113">
        <v>1760</v>
      </c>
      <c r="I26" s="100">
        <v>57780.800000000003</v>
      </c>
      <c r="J26" s="114">
        <f t="shared" si="7"/>
        <v>57780.800000000003</v>
      </c>
      <c r="K26" s="170"/>
      <c r="L26" s="171"/>
      <c r="M26" s="113"/>
      <c r="N26" s="100"/>
      <c r="O26" s="114">
        <f t="shared" si="1"/>
        <v>0</v>
      </c>
      <c r="P26" s="170"/>
      <c r="Q26" s="171"/>
      <c r="R26" s="113"/>
      <c r="S26" s="100"/>
      <c r="T26" s="114">
        <f t="shared" si="2"/>
        <v>0</v>
      </c>
      <c r="U26" s="170"/>
      <c r="V26" s="171"/>
      <c r="W26" s="113"/>
      <c r="X26" s="100"/>
      <c r="Y26" s="114"/>
      <c r="Z26" s="170"/>
      <c r="AA26" s="171"/>
      <c r="AB26" s="113"/>
      <c r="AC26" s="100"/>
      <c r="AD26" s="114"/>
      <c r="AE26" s="170"/>
      <c r="AF26" s="171"/>
      <c r="AG26" s="113"/>
      <c r="AH26" s="100"/>
      <c r="AI26" s="114"/>
    </row>
    <row r="27" spans="2:35" x14ac:dyDescent="0.25">
      <c r="B27" s="130">
        <f t="shared" si="6"/>
        <v>13</v>
      </c>
      <c r="C27" s="81" t="s">
        <v>177</v>
      </c>
      <c r="D27" s="82" t="s">
        <v>178</v>
      </c>
      <c r="E27" s="5" t="s">
        <v>108</v>
      </c>
      <c r="F27" s="170"/>
      <c r="G27" s="171"/>
      <c r="H27" s="113">
        <v>1760</v>
      </c>
      <c r="I27" s="100">
        <v>49016</v>
      </c>
      <c r="J27" s="114">
        <f t="shared" si="7"/>
        <v>49016</v>
      </c>
      <c r="K27" s="170"/>
      <c r="L27" s="171"/>
      <c r="M27" s="113"/>
      <c r="N27" s="100"/>
      <c r="O27" s="114">
        <f t="shared" si="1"/>
        <v>0</v>
      </c>
      <c r="P27" s="170"/>
      <c r="Q27" s="171"/>
      <c r="R27" s="113"/>
      <c r="S27" s="100"/>
      <c r="T27" s="114">
        <f t="shared" si="2"/>
        <v>0</v>
      </c>
      <c r="U27" s="170"/>
      <c r="V27" s="171"/>
      <c r="W27" s="113"/>
      <c r="X27" s="100"/>
      <c r="Y27" s="114"/>
      <c r="Z27" s="170"/>
      <c r="AA27" s="171"/>
      <c r="AB27" s="113"/>
      <c r="AC27" s="100"/>
      <c r="AD27" s="114"/>
      <c r="AE27" s="170"/>
      <c r="AF27" s="171"/>
      <c r="AG27" s="113"/>
      <c r="AH27" s="100"/>
      <c r="AI27" s="114"/>
    </row>
    <row r="28" spans="2:35" x14ac:dyDescent="0.25">
      <c r="B28" s="130">
        <f t="shared" si="6"/>
        <v>14</v>
      </c>
      <c r="C28" s="81" t="s">
        <v>179</v>
      </c>
      <c r="D28" s="82" t="s">
        <v>166</v>
      </c>
      <c r="E28" s="5" t="s">
        <v>108</v>
      </c>
      <c r="F28" s="170"/>
      <c r="G28" s="171"/>
      <c r="H28" s="113">
        <v>1760</v>
      </c>
      <c r="I28" s="100">
        <v>63008</v>
      </c>
      <c r="J28" s="114">
        <f t="shared" si="7"/>
        <v>63008</v>
      </c>
      <c r="K28" s="170"/>
      <c r="L28" s="171"/>
      <c r="M28" s="113"/>
      <c r="N28" s="100"/>
      <c r="O28" s="114">
        <f t="shared" si="1"/>
        <v>0</v>
      </c>
      <c r="P28" s="170"/>
      <c r="Q28" s="171"/>
      <c r="R28" s="113"/>
      <c r="S28" s="100"/>
      <c r="T28" s="114">
        <f t="shared" si="2"/>
        <v>0</v>
      </c>
      <c r="U28" s="170"/>
      <c r="V28" s="171"/>
      <c r="W28" s="113"/>
      <c r="X28" s="100"/>
      <c r="Y28" s="114"/>
      <c r="Z28" s="170"/>
      <c r="AA28" s="171"/>
      <c r="AB28" s="113"/>
      <c r="AC28" s="100"/>
      <c r="AD28" s="114"/>
      <c r="AE28" s="170"/>
      <c r="AF28" s="171"/>
      <c r="AG28" s="113"/>
      <c r="AH28" s="100"/>
      <c r="AI28" s="114"/>
    </row>
    <row r="29" spans="2:35" x14ac:dyDescent="0.25">
      <c r="B29" s="130">
        <f t="shared" si="6"/>
        <v>15</v>
      </c>
      <c r="C29" s="81" t="s">
        <v>180</v>
      </c>
      <c r="D29" s="82" t="s">
        <v>178</v>
      </c>
      <c r="E29" s="5" t="s">
        <v>108</v>
      </c>
      <c r="F29" s="170"/>
      <c r="G29" s="171"/>
      <c r="H29" s="113">
        <v>1712</v>
      </c>
      <c r="I29" s="100">
        <v>44512</v>
      </c>
      <c r="J29" s="114">
        <f t="shared" si="7"/>
        <v>44512</v>
      </c>
      <c r="K29" s="170"/>
      <c r="L29" s="171"/>
      <c r="M29" s="113"/>
      <c r="N29" s="100"/>
      <c r="O29" s="114">
        <f t="shared" si="1"/>
        <v>0</v>
      </c>
      <c r="P29" s="170"/>
      <c r="Q29" s="171"/>
      <c r="R29" s="113"/>
      <c r="S29" s="100"/>
      <c r="T29" s="114">
        <f t="shared" si="2"/>
        <v>0</v>
      </c>
      <c r="U29" s="170"/>
      <c r="V29" s="171"/>
      <c r="W29" s="113"/>
      <c r="X29" s="100"/>
      <c r="Y29" s="114"/>
      <c r="Z29" s="170"/>
      <c r="AA29" s="171"/>
      <c r="AB29" s="113"/>
      <c r="AC29" s="100"/>
      <c r="AD29" s="114"/>
      <c r="AE29" s="170"/>
      <c r="AF29" s="171"/>
      <c r="AG29" s="113"/>
      <c r="AH29" s="100"/>
      <c r="AI29" s="114"/>
    </row>
    <row r="30" spans="2:35" x14ac:dyDescent="0.25">
      <c r="B30" s="130">
        <f t="shared" si="6"/>
        <v>16</v>
      </c>
      <c r="C30" s="81" t="s">
        <v>181</v>
      </c>
      <c r="D30" s="82" t="s">
        <v>161</v>
      </c>
      <c r="E30" s="5" t="s">
        <v>108</v>
      </c>
      <c r="F30" s="170"/>
      <c r="G30" s="171"/>
      <c r="H30" s="113">
        <v>1760</v>
      </c>
      <c r="I30" s="100">
        <v>43929.599999999999</v>
      </c>
      <c r="J30" s="114">
        <f t="shared" si="7"/>
        <v>43929.599999999999</v>
      </c>
      <c r="K30" s="170"/>
      <c r="L30" s="171"/>
      <c r="M30" s="113"/>
      <c r="N30" s="100"/>
      <c r="O30" s="114">
        <f t="shared" si="1"/>
        <v>0</v>
      </c>
      <c r="P30" s="170"/>
      <c r="Q30" s="171"/>
      <c r="R30" s="113"/>
      <c r="S30" s="100"/>
      <c r="T30" s="114">
        <f t="shared" si="2"/>
        <v>0</v>
      </c>
      <c r="U30" s="170"/>
      <c r="V30" s="171"/>
      <c r="W30" s="113"/>
      <c r="X30" s="100"/>
      <c r="Y30" s="114"/>
      <c r="Z30" s="170"/>
      <c r="AA30" s="171"/>
      <c r="AB30" s="113"/>
      <c r="AC30" s="100"/>
      <c r="AD30" s="114"/>
      <c r="AE30" s="170"/>
      <c r="AF30" s="171"/>
      <c r="AG30" s="113"/>
      <c r="AH30" s="100"/>
      <c r="AI30" s="114"/>
    </row>
    <row r="31" spans="2:35" x14ac:dyDescent="0.25">
      <c r="B31" s="130">
        <f t="shared" si="6"/>
        <v>17</v>
      </c>
      <c r="C31" s="81" t="s">
        <v>182</v>
      </c>
      <c r="D31" s="82" t="s">
        <v>183</v>
      </c>
      <c r="E31" s="5" t="s">
        <v>108</v>
      </c>
      <c r="F31" s="170"/>
      <c r="G31" s="171"/>
      <c r="H31" s="113">
        <v>1760</v>
      </c>
      <c r="I31" s="100">
        <v>57657.599999999999</v>
      </c>
      <c r="J31" s="114">
        <f t="shared" si="7"/>
        <v>57657.599999999999</v>
      </c>
      <c r="K31" s="170"/>
      <c r="L31" s="171"/>
      <c r="M31" s="113"/>
      <c r="N31" s="100"/>
      <c r="O31" s="114">
        <f t="shared" si="1"/>
        <v>0</v>
      </c>
      <c r="P31" s="170"/>
      <c r="Q31" s="171"/>
      <c r="R31" s="113"/>
      <c r="S31" s="100"/>
      <c r="T31" s="114">
        <f t="shared" si="2"/>
        <v>0</v>
      </c>
      <c r="U31" s="170"/>
      <c r="V31" s="171"/>
      <c r="W31" s="113"/>
      <c r="X31" s="100"/>
      <c r="Y31" s="114"/>
      <c r="Z31" s="170"/>
      <c r="AA31" s="171"/>
      <c r="AB31" s="113"/>
      <c r="AC31" s="100"/>
      <c r="AD31" s="114"/>
      <c r="AE31" s="170"/>
      <c r="AF31" s="171"/>
      <c r="AG31" s="113"/>
      <c r="AH31" s="100"/>
      <c r="AI31" s="114"/>
    </row>
    <row r="32" spans="2:35" x14ac:dyDescent="0.25">
      <c r="B32" s="130">
        <f t="shared" si="6"/>
        <v>18</v>
      </c>
      <c r="C32" s="81" t="s">
        <v>184</v>
      </c>
      <c r="D32" s="82" t="s">
        <v>161</v>
      </c>
      <c r="E32" s="5" t="s">
        <v>108</v>
      </c>
      <c r="F32" s="170"/>
      <c r="G32" s="171"/>
      <c r="H32" s="113">
        <v>1318</v>
      </c>
      <c r="I32" s="100">
        <v>33543.1</v>
      </c>
      <c r="J32" s="114">
        <f t="shared" si="7"/>
        <v>33543.1</v>
      </c>
      <c r="K32" s="170"/>
      <c r="L32" s="171"/>
      <c r="M32" s="113"/>
      <c r="N32" s="100"/>
      <c r="O32" s="114">
        <f t="shared" si="1"/>
        <v>0</v>
      </c>
      <c r="P32" s="170"/>
      <c r="Q32" s="171"/>
      <c r="R32" s="113"/>
      <c r="S32" s="100"/>
      <c r="T32" s="114">
        <f t="shared" si="2"/>
        <v>0</v>
      </c>
      <c r="U32" s="170"/>
      <c r="V32" s="171"/>
      <c r="W32" s="113"/>
      <c r="X32" s="100"/>
      <c r="Y32" s="114"/>
      <c r="Z32" s="170"/>
      <c r="AA32" s="171"/>
      <c r="AB32" s="113"/>
      <c r="AC32" s="100"/>
      <c r="AD32" s="114"/>
      <c r="AE32" s="170"/>
      <c r="AF32" s="171"/>
      <c r="AG32" s="113"/>
      <c r="AH32" s="100"/>
      <c r="AI32" s="114"/>
    </row>
    <row r="33" spans="1:35" x14ac:dyDescent="0.25">
      <c r="B33" s="130">
        <f t="shared" si="6"/>
        <v>19</v>
      </c>
      <c r="C33" s="81" t="s">
        <v>185</v>
      </c>
      <c r="D33" s="82" t="s">
        <v>161</v>
      </c>
      <c r="E33" s="5" t="s">
        <v>108</v>
      </c>
      <c r="F33" s="170"/>
      <c r="G33" s="171"/>
      <c r="H33" s="113">
        <v>1540</v>
      </c>
      <c r="I33" s="100">
        <v>51636.2</v>
      </c>
      <c r="J33" s="114">
        <f t="shared" si="7"/>
        <v>51636.2</v>
      </c>
      <c r="K33" s="170"/>
      <c r="L33" s="171"/>
      <c r="M33" s="113"/>
      <c r="N33" s="100"/>
      <c r="O33" s="114">
        <f t="shared" si="1"/>
        <v>0</v>
      </c>
      <c r="P33" s="170"/>
      <c r="Q33" s="171"/>
      <c r="R33" s="113"/>
      <c r="S33" s="100"/>
      <c r="T33" s="114">
        <f t="shared" si="2"/>
        <v>0</v>
      </c>
      <c r="U33" s="170"/>
      <c r="V33" s="171"/>
      <c r="W33" s="113"/>
      <c r="X33" s="100"/>
      <c r="Y33" s="114"/>
      <c r="Z33" s="170"/>
      <c r="AA33" s="171"/>
      <c r="AB33" s="113"/>
      <c r="AC33" s="100"/>
      <c r="AD33" s="114"/>
      <c r="AE33" s="170"/>
      <c r="AF33" s="171"/>
      <c r="AG33" s="113"/>
      <c r="AH33" s="100"/>
      <c r="AI33" s="114"/>
    </row>
    <row r="34" spans="1:35" x14ac:dyDescent="0.25">
      <c r="B34" s="130">
        <f t="shared" si="6"/>
        <v>20</v>
      </c>
      <c r="C34" s="81" t="s">
        <v>186</v>
      </c>
      <c r="D34" s="82" t="s">
        <v>163</v>
      </c>
      <c r="E34" s="5" t="s">
        <v>108</v>
      </c>
      <c r="F34" s="170"/>
      <c r="G34" s="171"/>
      <c r="H34" s="113">
        <v>1760</v>
      </c>
      <c r="I34" s="100">
        <v>74870.399999999994</v>
      </c>
      <c r="J34" s="114">
        <f t="shared" si="0"/>
        <v>74870.399999999994</v>
      </c>
      <c r="K34" s="170"/>
      <c r="L34" s="171"/>
      <c r="M34" s="113"/>
      <c r="N34" s="100"/>
      <c r="O34" s="114">
        <f t="shared" si="1"/>
        <v>0</v>
      </c>
      <c r="P34" s="170"/>
      <c r="Q34" s="171"/>
      <c r="R34" s="113"/>
      <c r="S34" s="100"/>
      <c r="T34" s="114">
        <f t="shared" si="2"/>
        <v>0</v>
      </c>
      <c r="U34" s="170"/>
      <c r="V34" s="171"/>
      <c r="W34" s="113"/>
      <c r="X34" s="100"/>
      <c r="Y34" s="114">
        <f t="shared" si="3"/>
        <v>0</v>
      </c>
      <c r="Z34" s="170"/>
      <c r="AA34" s="171"/>
      <c r="AB34" s="113"/>
      <c r="AC34" s="100"/>
      <c r="AD34" s="114">
        <f t="shared" si="4"/>
        <v>0</v>
      </c>
      <c r="AE34" s="170"/>
      <c r="AF34" s="171"/>
      <c r="AG34" s="113"/>
      <c r="AH34" s="100"/>
      <c r="AI34" s="114">
        <f t="shared" si="5"/>
        <v>0</v>
      </c>
    </row>
    <row r="35" spans="1:35" x14ac:dyDescent="0.25">
      <c r="B35" s="130">
        <f t="shared" si="6"/>
        <v>21</v>
      </c>
      <c r="C35" s="81" t="s">
        <v>187</v>
      </c>
      <c r="D35" s="82" t="s">
        <v>168</v>
      </c>
      <c r="E35" s="5" t="s">
        <v>108</v>
      </c>
      <c r="F35" s="170"/>
      <c r="G35" s="171"/>
      <c r="H35" s="113">
        <v>1760</v>
      </c>
      <c r="I35" s="100">
        <v>55598.400000000001</v>
      </c>
      <c r="J35" s="114">
        <f t="shared" si="0"/>
        <v>55598.400000000001</v>
      </c>
      <c r="K35" s="170"/>
      <c r="L35" s="171"/>
      <c r="M35" s="113"/>
      <c r="N35" s="100"/>
      <c r="O35" s="114">
        <f t="shared" si="1"/>
        <v>0</v>
      </c>
      <c r="P35" s="170"/>
      <c r="Q35" s="171"/>
      <c r="R35" s="113"/>
      <c r="S35" s="100"/>
      <c r="T35" s="114">
        <f t="shared" si="2"/>
        <v>0</v>
      </c>
      <c r="U35" s="170"/>
      <c r="V35" s="171"/>
      <c r="W35" s="113"/>
      <c r="X35" s="100"/>
      <c r="Y35" s="114">
        <f t="shared" si="3"/>
        <v>0</v>
      </c>
      <c r="Z35" s="170"/>
      <c r="AA35" s="171"/>
      <c r="AB35" s="113"/>
      <c r="AC35" s="100"/>
      <c r="AD35" s="114">
        <f t="shared" si="4"/>
        <v>0</v>
      </c>
      <c r="AE35" s="170"/>
      <c r="AF35" s="171"/>
      <c r="AG35" s="113"/>
      <c r="AH35" s="100"/>
      <c r="AI35" s="114">
        <f t="shared" si="5"/>
        <v>0</v>
      </c>
    </row>
    <row r="36" spans="1:35" x14ac:dyDescent="0.25">
      <c r="B36" s="130">
        <f t="shared" si="6"/>
        <v>22</v>
      </c>
      <c r="C36" s="81" t="s">
        <v>188</v>
      </c>
      <c r="D36" s="82" t="s">
        <v>161</v>
      </c>
      <c r="E36" s="5" t="s">
        <v>108</v>
      </c>
      <c r="F36" s="170"/>
      <c r="G36" s="171"/>
      <c r="H36" s="113">
        <v>1760</v>
      </c>
      <c r="I36" s="100">
        <v>68622.399999999994</v>
      </c>
      <c r="J36" s="114">
        <f t="shared" si="0"/>
        <v>68622.399999999994</v>
      </c>
      <c r="K36" s="170"/>
      <c r="L36" s="171"/>
      <c r="M36" s="113"/>
      <c r="N36" s="100"/>
      <c r="O36" s="114">
        <f t="shared" si="1"/>
        <v>0</v>
      </c>
      <c r="P36" s="170"/>
      <c r="Q36" s="171"/>
      <c r="R36" s="113"/>
      <c r="S36" s="100"/>
      <c r="T36" s="114">
        <f t="shared" si="2"/>
        <v>0</v>
      </c>
      <c r="U36" s="170"/>
      <c r="V36" s="171"/>
      <c r="W36" s="113"/>
      <c r="X36" s="100"/>
      <c r="Y36" s="114">
        <f t="shared" si="3"/>
        <v>0</v>
      </c>
      <c r="Z36" s="170"/>
      <c r="AA36" s="171"/>
      <c r="AB36" s="113"/>
      <c r="AC36" s="100"/>
      <c r="AD36" s="114">
        <f t="shared" si="4"/>
        <v>0</v>
      </c>
      <c r="AE36" s="170"/>
      <c r="AF36" s="171"/>
      <c r="AG36" s="113"/>
      <c r="AH36" s="100"/>
      <c r="AI36" s="114">
        <f t="shared" si="5"/>
        <v>0</v>
      </c>
    </row>
    <row r="37" spans="1:35" x14ac:dyDescent="0.25">
      <c r="B37" s="130">
        <f t="shared" si="6"/>
        <v>23</v>
      </c>
      <c r="C37" s="81" t="s">
        <v>189</v>
      </c>
      <c r="D37" s="82" t="s">
        <v>190</v>
      </c>
      <c r="E37" s="5" t="s">
        <v>108</v>
      </c>
      <c r="F37" s="170"/>
      <c r="G37" s="171"/>
      <c r="H37" s="113"/>
      <c r="I37" s="100"/>
      <c r="J37" s="114">
        <f t="shared" si="0"/>
        <v>0</v>
      </c>
      <c r="K37" s="170"/>
      <c r="L37" s="171"/>
      <c r="M37" s="113"/>
      <c r="N37" s="100">
        <v>1200000</v>
      </c>
      <c r="O37" s="114">
        <f t="shared" si="1"/>
        <v>1200000</v>
      </c>
      <c r="P37" s="170"/>
      <c r="Q37" s="171"/>
      <c r="R37" s="113"/>
      <c r="S37" s="100"/>
      <c r="T37" s="114">
        <f t="shared" si="2"/>
        <v>0</v>
      </c>
      <c r="U37" s="170"/>
      <c r="V37" s="171"/>
      <c r="W37" s="113"/>
      <c r="X37" s="100"/>
      <c r="Y37" s="114">
        <f t="shared" si="3"/>
        <v>0</v>
      </c>
      <c r="Z37" s="170"/>
      <c r="AA37" s="171"/>
      <c r="AB37" s="113"/>
      <c r="AC37" s="100"/>
      <c r="AD37" s="114">
        <f t="shared" si="4"/>
        <v>0</v>
      </c>
      <c r="AE37" s="170"/>
      <c r="AF37" s="171"/>
      <c r="AG37" s="113"/>
      <c r="AH37" s="100"/>
      <c r="AI37" s="114">
        <f t="shared" si="5"/>
        <v>0</v>
      </c>
    </row>
    <row r="38" spans="1:35" ht="14.5" thickBot="1" x14ac:dyDescent="0.3">
      <c r="B38" s="130">
        <f t="shared" si="6"/>
        <v>24</v>
      </c>
      <c r="C38" s="81" t="s">
        <v>191</v>
      </c>
      <c r="D38" s="82" t="s">
        <v>190</v>
      </c>
      <c r="E38" s="5" t="s">
        <v>108</v>
      </c>
      <c r="F38" s="170"/>
      <c r="G38" s="171"/>
      <c r="H38" s="113"/>
      <c r="I38" s="100"/>
      <c r="J38" s="114">
        <f t="shared" si="0"/>
        <v>0</v>
      </c>
      <c r="K38" s="170"/>
      <c r="L38" s="171"/>
      <c r="M38" s="113"/>
      <c r="N38" s="100"/>
      <c r="O38" s="114">
        <f t="shared" si="1"/>
        <v>0</v>
      </c>
      <c r="P38" s="170"/>
      <c r="Q38" s="171"/>
      <c r="R38" s="113"/>
      <c r="S38" s="100">
        <v>1200000</v>
      </c>
      <c r="T38" s="114">
        <f t="shared" si="2"/>
        <v>1200000</v>
      </c>
      <c r="U38" s="170"/>
      <c r="V38" s="171"/>
      <c r="W38" s="113"/>
      <c r="X38" s="100"/>
      <c r="Y38" s="114">
        <f t="shared" si="3"/>
        <v>0</v>
      </c>
      <c r="Z38" s="170"/>
      <c r="AA38" s="171"/>
      <c r="AB38" s="113"/>
      <c r="AC38" s="100"/>
      <c r="AD38" s="114">
        <f t="shared" si="4"/>
        <v>0</v>
      </c>
      <c r="AE38" s="170"/>
      <c r="AF38" s="171"/>
      <c r="AG38" s="113"/>
      <c r="AH38" s="100"/>
      <c r="AI38" s="114">
        <f t="shared" si="5"/>
        <v>0</v>
      </c>
    </row>
    <row r="39" spans="1:35" ht="31.5" customHeight="1" x14ac:dyDescent="0.25">
      <c r="D39" s="207" t="s">
        <v>104</v>
      </c>
      <c r="E39" s="208"/>
      <c r="F39" s="98">
        <f>SUMIF($E15:$E38,"&lt;&gt;SÍ",F15:F38)</f>
        <v>0</v>
      </c>
      <c r="G39" s="101">
        <f>SUMIF($E15:$E38,"&lt;&gt;SÍ",G15:G38)</f>
        <v>0</v>
      </c>
      <c r="H39" s="102">
        <f>SUMIF($E15:$E38,"&lt;&gt;SÍ",H15:H38)</f>
        <v>35169</v>
      </c>
      <c r="I39" s="103">
        <f>SUMIF($E15:$E38,"&lt;&gt;SÍ",I15:I38)</f>
        <v>1207853.6299999997</v>
      </c>
      <c r="J39" s="78">
        <f>G39+I39</f>
        <v>1207853.6299999997</v>
      </c>
      <c r="K39" s="98">
        <f>SUMIF($E15:$E38,"&lt;&gt;SÍ",K15:K38)</f>
        <v>0</v>
      </c>
      <c r="L39" s="101">
        <f>SUMIF($E15:$E38,"&lt;&gt;SÍ",L15:L38)</f>
        <v>0</v>
      </c>
      <c r="M39" s="102">
        <f>SUMIF($E15:$E38,"&lt;&gt;SÍ",M15:M38)</f>
        <v>0</v>
      </c>
      <c r="N39" s="103">
        <f>SUMIF($E15:$E38,"&lt;&gt;SÍ",N15:N38)</f>
        <v>1200000</v>
      </c>
      <c r="O39" s="78">
        <f>L39+N39</f>
        <v>1200000</v>
      </c>
      <c r="P39" s="98">
        <f>SUMIF($E15:$E38,"&lt;&gt;SÍ",P15:P38)</f>
        <v>0</v>
      </c>
      <c r="Q39" s="101">
        <f>SUMIF($E15:$E38,"&lt;&gt;SÍ",Q15:Q38)</f>
        <v>0</v>
      </c>
      <c r="R39" s="102">
        <f>SUMIF($E15:$E38,"&lt;&gt;SÍ",R15:R38)</f>
        <v>0</v>
      </c>
      <c r="S39" s="103">
        <f>SUMIF($E15:$E38,"&lt;&gt;SÍ",S15:S38)</f>
        <v>1200000</v>
      </c>
      <c r="T39" s="78">
        <f>Q39+S39</f>
        <v>1200000</v>
      </c>
      <c r="U39" s="98">
        <f>SUMIF($E15:$E38,"&lt;&gt;SÍ",U15:U38)</f>
        <v>0</v>
      </c>
      <c r="V39" s="101">
        <f>SUMIF($E15:$E38,"&lt;&gt;SÍ",V15:V38)</f>
        <v>0</v>
      </c>
      <c r="W39" s="102">
        <f>SUMIF($E15:$E38,"&lt;&gt;SÍ",W15:W38)</f>
        <v>0</v>
      </c>
      <c r="X39" s="103">
        <f>SUMIF($E15:$E38,"&lt;&gt;SÍ",X15:X38)</f>
        <v>0</v>
      </c>
      <c r="Y39" s="78">
        <f>V39+X39</f>
        <v>0</v>
      </c>
      <c r="Z39" s="98">
        <f>SUMIF($E15:$E38,"&lt;&gt;SÍ",Z15:Z38)</f>
        <v>0</v>
      </c>
      <c r="AA39" s="101">
        <f>SUMIF($E15:$E38,"&lt;&gt;SÍ",AA15:AA38)</f>
        <v>0</v>
      </c>
      <c r="AB39" s="102">
        <f>SUMIF($E15:$E38,"&lt;&gt;SÍ",AB15:AB38)</f>
        <v>0</v>
      </c>
      <c r="AC39" s="103">
        <f>SUMIF($E15:$E38,"&lt;&gt;SÍ",AC15:AC38)</f>
        <v>0</v>
      </c>
      <c r="AD39" s="78">
        <f>AA39+AC39</f>
        <v>0</v>
      </c>
      <c r="AE39" s="98">
        <f>SUMIF($E15:$E38,"&lt;&gt;SÍ",AE15:AE38)</f>
        <v>0</v>
      </c>
      <c r="AF39" s="101">
        <f>SUMIF($E15:$E38,"&lt;&gt;SÍ",AF15:AF38)</f>
        <v>0</v>
      </c>
      <c r="AG39" s="102">
        <f>SUMIF($E15:$E38,"&lt;&gt;SÍ",AG15:AG38)</f>
        <v>0</v>
      </c>
      <c r="AH39" s="103">
        <f>SUMIF($E15:$E38,"&lt;&gt;SÍ",AH15:AH38)</f>
        <v>0</v>
      </c>
      <c r="AI39" s="78">
        <f>AF39+AH39</f>
        <v>0</v>
      </c>
    </row>
    <row r="40" spans="1:35" ht="31.5" customHeight="1" thickBot="1" x14ac:dyDescent="0.3">
      <c r="D40" s="209" t="s">
        <v>105</v>
      </c>
      <c r="E40" s="210"/>
      <c r="F40" s="104">
        <f>SUMIF($E15:$E38,"SÍ",F15:F38)</f>
        <v>0</v>
      </c>
      <c r="G40" s="105">
        <f>SUMIF($E15:$E38,"SÍ",G15:G38)</f>
        <v>0</v>
      </c>
      <c r="H40" s="106"/>
      <c r="I40" s="107"/>
      <c r="J40" s="108">
        <f>G40</f>
        <v>0</v>
      </c>
      <c r="K40" s="104">
        <f>SUMIF($E15:$E38,"SÍ",K15:K38)</f>
        <v>0</v>
      </c>
      <c r="L40" s="105">
        <f>SUMIF($E15:$E38,"SÍ",L15:L38)</f>
        <v>0</v>
      </c>
      <c r="M40" s="106"/>
      <c r="N40" s="107"/>
      <c r="O40" s="108">
        <f>L40</f>
        <v>0</v>
      </c>
      <c r="P40" s="104">
        <f>SUMIF($E15:$E38,"SÍ",P15:P38)</f>
        <v>0</v>
      </c>
      <c r="Q40" s="105">
        <f>SUMIF($E15:$E38,"SÍ",Q15:Q38)</f>
        <v>0</v>
      </c>
      <c r="R40" s="106"/>
      <c r="S40" s="107"/>
      <c r="T40" s="108">
        <f>Q40</f>
        <v>0</v>
      </c>
      <c r="U40" s="104">
        <f>SUMIF($E15:$E38,"SÍ",U15:U38)</f>
        <v>0</v>
      </c>
      <c r="V40" s="105">
        <f>SUMIF($E15:$E38,"SÍ",V15:V38)</f>
        <v>0</v>
      </c>
      <c r="W40" s="106"/>
      <c r="X40" s="107"/>
      <c r="Y40" s="108">
        <f>V40</f>
        <v>0</v>
      </c>
      <c r="Z40" s="104">
        <f>SUMIF($E15:$E38,"SÍ",Z15:Z38)</f>
        <v>0</v>
      </c>
      <c r="AA40" s="105">
        <f>SUMIF($E15:$E38,"SÍ",AA15:AA38)</f>
        <v>0</v>
      </c>
      <c r="AB40" s="106"/>
      <c r="AC40" s="107"/>
      <c r="AD40" s="108">
        <f>AA40</f>
        <v>0</v>
      </c>
      <c r="AE40" s="104">
        <f>SUMIF($E15:$E38,"SÍ",AE15:AE38)</f>
        <v>0</v>
      </c>
      <c r="AF40" s="105">
        <f>SUMIF($E15:$E38,"SÍ",AF15:AF38)</f>
        <v>0</v>
      </c>
      <c r="AG40" s="106"/>
      <c r="AH40" s="107"/>
      <c r="AI40" s="108">
        <f>AF40</f>
        <v>0</v>
      </c>
    </row>
    <row r="41" spans="1:35" ht="31.5" customHeight="1" thickBot="1" x14ac:dyDescent="0.3">
      <c r="C41" s="115"/>
      <c r="D41" s="134" t="s">
        <v>11</v>
      </c>
      <c r="E41" s="135"/>
      <c r="F41" s="99">
        <f>F39+F40</f>
        <v>0</v>
      </c>
      <c r="G41" s="109">
        <f>G39+G40</f>
        <v>0</v>
      </c>
      <c r="H41" s="110">
        <f>H39</f>
        <v>35169</v>
      </c>
      <c r="I41" s="111">
        <f>I39</f>
        <v>1207853.6299999997</v>
      </c>
      <c r="J41" s="112">
        <f>G41+I41</f>
        <v>1207853.6299999997</v>
      </c>
      <c r="K41" s="99">
        <f>K39+K40</f>
        <v>0</v>
      </c>
      <c r="L41" s="109">
        <f>L39+L40</f>
        <v>0</v>
      </c>
      <c r="M41" s="110">
        <f>M39</f>
        <v>0</v>
      </c>
      <c r="N41" s="111">
        <f>N39</f>
        <v>1200000</v>
      </c>
      <c r="O41" s="112">
        <f>L41+N41</f>
        <v>1200000</v>
      </c>
      <c r="P41" s="99">
        <f>P39+P40</f>
        <v>0</v>
      </c>
      <c r="Q41" s="109">
        <f>Q39+Q40</f>
        <v>0</v>
      </c>
      <c r="R41" s="110">
        <f>R39</f>
        <v>0</v>
      </c>
      <c r="S41" s="111">
        <f>S39</f>
        <v>1200000</v>
      </c>
      <c r="T41" s="112">
        <f>Q41+S41</f>
        <v>1200000</v>
      </c>
      <c r="U41" s="99">
        <f>U39+U40</f>
        <v>0</v>
      </c>
      <c r="V41" s="109">
        <f>V39+V40</f>
        <v>0</v>
      </c>
      <c r="W41" s="110">
        <f>W39</f>
        <v>0</v>
      </c>
      <c r="X41" s="111">
        <f>X39</f>
        <v>0</v>
      </c>
      <c r="Y41" s="112">
        <f>V41+X41</f>
        <v>0</v>
      </c>
      <c r="Z41" s="99">
        <f>Z39+Z40</f>
        <v>0</v>
      </c>
      <c r="AA41" s="109">
        <f>AA39+AA40</f>
        <v>0</v>
      </c>
      <c r="AB41" s="110">
        <f>AB39</f>
        <v>0</v>
      </c>
      <c r="AC41" s="111">
        <f>AC39</f>
        <v>0</v>
      </c>
      <c r="AD41" s="112">
        <f>AA41+AC41</f>
        <v>0</v>
      </c>
      <c r="AE41" s="99">
        <f>AE39+AE40</f>
        <v>0</v>
      </c>
      <c r="AF41" s="109">
        <f>AF39+AF40</f>
        <v>0</v>
      </c>
      <c r="AG41" s="110">
        <f>AG39</f>
        <v>0</v>
      </c>
      <c r="AH41" s="111">
        <f>AH39</f>
        <v>0</v>
      </c>
      <c r="AI41" s="112">
        <f>AF41+AH41</f>
        <v>0</v>
      </c>
    </row>
    <row r="42" spans="1:35" ht="6" customHeight="1" x14ac:dyDescent="0.25">
      <c r="A42" s="22"/>
      <c r="B42" s="22"/>
      <c r="C42" s="22"/>
      <c r="D42" s="22"/>
      <c r="E42" s="22"/>
      <c r="F42" s="22"/>
      <c r="G42" s="22"/>
      <c r="H42" s="22"/>
      <c r="I42" s="22"/>
      <c r="J42" s="22"/>
    </row>
  </sheetData>
  <sheetProtection insertRows="0"/>
  <protectedRanges>
    <protectedRange password="CC9E" sqref="G12 F42 D41:E42 H42:IU42 K39:K40 P39:P40 U39:U40 Z39:Z40 AE39:AE40 H39:J41 AG13:IU13 D39:F40 AA39:AD41 V39:Y41 Q39:T41 H13:K13 L39:O41 G39:G42 B7:B8 A1:A8 E9:IU10 B1:G5 B11:G11 H1:IU8 H11:IU12 A9:B10 M13:P13 R13:U13 W13:Z13 AB13:AE13 AF39:IU41 E7:G8 F6:G6 B39:C42 A11:A42 B12:F38 G14:IU38" name="Rango2"/>
    <protectedRange password="CC9E" sqref="A44:A65553 K44:IU65553 G12 F42:F65553 D41:E65553 D1:J1 K42:IU42 P39:P40 U39:U40 Z39:Z40 AE39:AE40 AG13:IU13 D39:F40 AA39:AD41 V39:Y41 Q39:T41 K13 L39:O41 B1:C5 B7:B8 A1:A8 E9:IU10 D2:G5 B11:G11 K1:IU8 K11:IU12 I2:J8 H1:H8 A9:B10 M13:P13 R13:U13 W13:Z13 AB13:AE13 AF39:IU41 K39:K40 E7:G8 F6:G6 B39:C65553 A11:A42 G14:G65553 B12:F38 H11:J65553 K14:IU38" name="Rango1"/>
    <protectedRange password="CC9E" sqref="A43:IU43" name="Rango2_1"/>
    <protectedRange password="CC9E" sqref="A43:IU43" name="Rango1_1"/>
    <protectedRange password="CC9E" sqref="E6" name="Rango2_3"/>
    <protectedRange password="CC9E" sqref="E6" name="Rango1_3"/>
    <protectedRange password="CC9E" sqref="B6" name="Rango2_6_1_1_2"/>
    <protectedRange password="CC9E" sqref="B6" name="Rango1_6_1_1_2"/>
  </protectedRanges>
  <mergeCells count="13">
    <mergeCell ref="B6:E6"/>
    <mergeCell ref="K13:O13"/>
    <mergeCell ref="P13:T13"/>
    <mergeCell ref="U13:Y13"/>
    <mergeCell ref="Z13:AD13"/>
    <mergeCell ref="AE13:AI13"/>
    <mergeCell ref="F13:J13"/>
    <mergeCell ref="D39:E39"/>
    <mergeCell ref="D40:E40"/>
    <mergeCell ref="B13:B14"/>
    <mergeCell ref="D13:D14"/>
    <mergeCell ref="C13:C14"/>
    <mergeCell ref="E13:E14"/>
  </mergeCells>
  <phoneticPr fontId="2" type="noConversion"/>
  <dataValidations count="1">
    <dataValidation type="list" allowBlank="1" showInputMessage="1" showErrorMessage="1" sqref="E15:E38">
      <formula1>"SÍ,NO"</formula1>
    </dataValidation>
  </dataValidations>
  <pageMargins left="0.39370078740157483" right="0.39370078740157483" top="0.78740157480314965" bottom="0.78740157480314965" header="0" footer="0.39370078740157483"/>
  <pageSetup paperSize="9" scale="23" fitToHeight="0" orientation="landscape" r:id="rId1"/>
  <headerFooter alignWithMargins="0">
    <oddFooter xml:space="preserve">&amp;CP. &amp;P / &amp;N
</oddFooter>
  </headerFooter>
  <ignoredErrors>
    <ignoredError sqref="B15:B16 J14"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40"/>
  <sheetViews>
    <sheetView showGridLines="0" zoomScale="70" zoomScaleNormal="70" workbookViewId="0">
      <pane xSplit="5" ySplit="15" topLeftCell="F16" activePane="bottomRight" state="frozen"/>
      <selection activeCell="C2" sqref="C2"/>
      <selection pane="topRight" activeCell="C2" sqref="C2"/>
      <selection pane="bottomLeft" activeCell="C2" sqref="C2"/>
      <selection pane="bottomRight" activeCell="C2" sqref="C2"/>
    </sheetView>
  </sheetViews>
  <sheetFormatPr baseColWidth="10" defaultColWidth="11.453125" defaultRowHeight="14" x14ac:dyDescent="0.25"/>
  <cols>
    <col min="1" max="1" width="1.6328125" style="16" customWidth="1"/>
    <col min="2" max="2" width="14.6328125" style="16" customWidth="1"/>
    <col min="3" max="3" width="97.6328125" style="16" customWidth="1"/>
    <col min="4" max="4" width="19" style="16" customWidth="1"/>
    <col min="5" max="5" width="11.90625" style="16" customWidth="1"/>
    <col min="6" max="14" width="14.6328125" style="16" customWidth="1"/>
    <col min="15" max="15" width="14" style="16" customWidth="1"/>
    <col min="16" max="17" width="13.90625" style="16" customWidth="1"/>
    <col min="18" max="18" width="14.6328125" style="16" customWidth="1"/>
    <col min="19" max="19" width="14.08984375" style="16" customWidth="1"/>
    <col min="20" max="20" width="15.453125" style="16" customWidth="1"/>
    <col min="21" max="21" width="14.453125" style="16" customWidth="1"/>
    <col min="22" max="22" width="14.90625" style="16" customWidth="1"/>
    <col min="23" max="23" width="14.54296875" style="16" customWidth="1"/>
    <col min="24" max="16384" width="11.453125" style="16"/>
  </cols>
  <sheetData>
    <row r="1" spans="1:23" ht="64.5" customHeight="1" x14ac:dyDescent="0.25">
      <c r="E1" s="219"/>
      <c r="F1" s="219"/>
      <c r="G1" s="219"/>
      <c r="H1" s="219"/>
      <c r="I1" s="219"/>
      <c r="J1" s="219"/>
      <c r="K1" s="12"/>
      <c r="L1" s="12"/>
      <c r="M1" s="12"/>
      <c r="N1" s="12"/>
    </row>
    <row r="2" spans="1:23" ht="15" customHeight="1" x14ac:dyDescent="0.25">
      <c r="B2" s="116"/>
    </row>
    <row r="3" spans="1:23" ht="15" customHeight="1" x14ac:dyDescent="0.25"/>
    <row r="4" spans="1:23" x14ac:dyDescent="0.25">
      <c r="B4" s="93" t="s">
        <v>5</v>
      </c>
    </row>
    <row r="5" spans="1:23" ht="15" customHeight="1" x14ac:dyDescent="0.25">
      <c r="B5" s="223" t="s">
        <v>127</v>
      </c>
      <c r="C5" s="223"/>
      <c r="D5" s="223"/>
      <c r="E5" s="223"/>
      <c r="F5" s="223"/>
      <c r="G5" s="223"/>
      <c r="H5" s="223"/>
      <c r="I5" s="223"/>
      <c r="J5" s="223"/>
      <c r="K5" s="223"/>
      <c r="L5" s="223"/>
      <c r="M5" s="223"/>
      <c r="N5" s="223"/>
    </row>
    <row r="6" spans="1:23" x14ac:dyDescent="0.25">
      <c r="C6" s="167"/>
      <c r="F6" s="88"/>
    </row>
    <row r="7" spans="1:23" ht="33.75" customHeight="1" x14ac:dyDescent="0.25">
      <c r="B7" s="215" t="s">
        <v>149</v>
      </c>
      <c r="C7" s="215"/>
      <c r="D7" s="215"/>
      <c r="E7" s="215"/>
      <c r="F7" s="88"/>
    </row>
    <row r="8" spans="1:23" x14ac:dyDescent="0.25">
      <c r="B8" s="126"/>
      <c r="C8" s="167"/>
      <c r="F8" s="88"/>
    </row>
    <row r="9" spans="1:23" x14ac:dyDescent="0.25">
      <c r="B9" s="126" t="s">
        <v>120</v>
      </c>
      <c r="C9" s="167"/>
      <c r="F9" s="88"/>
    </row>
    <row r="10" spans="1:23" x14ac:dyDescent="0.25">
      <c r="B10" s="126"/>
      <c r="C10" s="167"/>
      <c r="F10" s="88"/>
    </row>
    <row r="11" spans="1:23" ht="27" customHeight="1" x14ac:dyDescent="0.25">
      <c r="B11" s="215" t="s">
        <v>136</v>
      </c>
      <c r="C11" s="215"/>
      <c r="D11" s="215"/>
      <c r="E11" s="215"/>
      <c r="F11" s="88"/>
    </row>
    <row r="12" spans="1:23" x14ac:dyDescent="0.25">
      <c r="D12" s="167"/>
      <c r="F12" s="88"/>
    </row>
    <row r="13" spans="1:23" ht="6" customHeight="1" thickBot="1" x14ac:dyDescent="0.3"/>
    <row r="14" spans="1:23" ht="15.75" customHeight="1" thickBot="1" x14ac:dyDescent="0.3">
      <c r="A14" s="56"/>
      <c r="B14" s="211" t="s">
        <v>137</v>
      </c>
      <c r="C14" s="224" t="s">
        <v>146</v>
      </c>
      <c r="D14" s="211" t="s">
        <v>78</v>
      </c>
      <c r="E14" s="211" t="s">
        <v>124</v>
      </c>
      <c r="F14" s="216">
        <f>Personal!F13</f>
        <v>2024</v>
      </c>
      <c r="G14" s="217"/>
      <c r="H14" s="218"/>
      <c r="I14" s="216">
        <f>F14+1</f>
        <v>2025</v>
      </c>
      <c r="J14" s="217"/>
      <c r="K14" s="218"/>
      <c r="L14" s="216">
        <f>I14+1</f>
        <v>2026</v>
      </c>
      <c r="M14" s="217"/>
      <c r="N14" s="218"/>
      <c r="O14" s="216">
        <f>L14+1</f>
        <v>2027</v>
      </c>
      <c r="P14" s="217"/>
      <c r="Q14" s="218"/>
      <c r="R14" s="216">
        <f>O14+1</f>
        <v>2028</v>
      </c>
      <c r="S14" s="217"/>
      <c r="T14" s="218"/>
      <c r="U14" s="216">
        <f>R14+1</f>
        <v>2029</v>
      </c>
      <c r="V14" s="217"/>
      <c r="W14" s="218"/>
    </row>
    <row r="15" spans="1:23" s="56" customFormat="1" ht="78.75" customHeight="1" thickBot="1" x14ac:dyDescent="0.3">
      <c r="A15" s="16"/>
      <c r="B15" s="212" t="s">
        <v>1</v>
      </c>
      <c r="C15" s="225" t="s">
        <v>0</v>
      </c>
      <c r="D15" s="212"/>
      <c r="E15" s="212"/>
      <c r="F15" s="138" t="s">
        <v>7</v>
      </c>
      <c r="G15" s="139" t="s">
        <v>139</v>
      </c>
      <c r="H15" s="140" t="s">
        <v>8</v>
      </c>
      <c r="I15" s="138" t="s">
        <v>7</v>
      </c>
      <c r="J15" s="139" t="s">
        <v>139</v>
      </c>
      <c r="K15" s="140" t="s">
        <v>8</v>
      </c>
      <c r="L15" s="138" t="s">
        <v>7</v>
      </c>
      <c r="M15" s="139" t="s">
        <v>139</v>
      </c>
      <c r="N15" s="140" t="s">
        <v>8</v>
      </c>
      <c r="O15" s="138" t="s">
        <v>7</v>
      </c>
      <c r="P15" s="139" t="s">
        <v>139</v>
      </c>
      <c r="Q15" s="140" t="s">
        <v>8</v>
      </c>
      <c r="R15" s="138" t="s">
        <v>7</v>
      </c>
      <c r="S15" s="139" t="s">
        <v>139</v>
      </c>
      <c r="T15" s="140" t="s">
        <v>8</v>
      </c>
      <c r="U15" s="138" t="s">
        <v>7</v>
      </c>
      <c r="V15" s="139" t="s">
        <v>139</v>
      </c>
      <c r="W15" s="140" t="s">
        <v>8</v>
      </c>
    </row>
    <row r="16" spans="1:23" ht="15.75" customHeight="1" x14ac:dyDescent="0.25">
      <c r="B16" s="129">
        <v>1</v>
      </c>
      <c r="C16" s="66"/>
      <c r="D16" s="66"/>
      <c r="E16" s="67"/>
      <c r="F16" s="58"/>
      <c r="G16" s="64"/>
      <c r="H16" s="172">
        <f>SUM(F16:G16)</f>
        <v>0</v>
      </c>
      <c r="I16" s="58"/>
      <c r="J16" s="64"/>
      <c r="K16" s="172">
        <f>SUM(I16:J16)</f>
        <v>0</v>
      </c>
      <c r="L16" s="58"/>
      <c r="M16" s="64"/>
      <c r="N16" s="172">
        <f>SUM(L16:M16)</f>
        <v>0</v>
      </c>
      <c r="O16" s="58"/>
      <c r="P16" s="64"/>
      <c r="Q16" s="172">
        <f>SUM(O16:P16)</f>
        <v>0</v>
      </c>
      <c r="R16" s="58"/>
      <c r="S16" s="64"/>
      <c r="T16" s="172">
        <f>SUM(R16:S16)</f>
        <v>0</v>
      </c>
      <c r="U16" s="58"/>
      <c r="V16" s="64"/>
      <c r="W16" s="172">
        <f>U16+V16</f>
        <v>0</v>
      </c>
    </row>
    <row r="17" spans="2:23" x14ac:dyDescent="0.25">
      <c r="B17" s="130">
        <f>B16+1</f>
        <v>2</v>
      </c>
      <c r="C17" s="68"/>
      <c r="D17" s="68"/>
      <c r="E17" s="69"/>
      <c r="F17" s="58"/>
      <c r="G17" s="59"/>
      <c r="H17" s="172">
        <f t="shared" ref="H17:H35" si="0">SUM(F17:G17)</f>
        <v>0</v>
      </c>
      <c r="I17" s="70"/>
      <c r="J17" s="71"/>
      <c r="K17" s="172">
        <f t="shared" ref="K17:K35" si="1">SUM(I17:J17)</f>
        <v>0</v>
      </c>
      <c r="L17" s="64"/>
      <c r="M17" s="64"/>
      <c r="N17" s="172">
        <f t="shared" ref="N17:N35" si="2">SUM(L17:M17)</f>
        <v>0</v>
      </c>
      <c r="O17" s="64"/>
      <c r="P17" s="64"/>
      <c r="Q17" s="172">
        <f t="shared" ref="Q17:Q35" si="3">SUM(O17:P17)</f>
        <v>0</v>
      </c>
      <c r="R17" s="64"/>
      <c r="S17" s="64"/>
      <c r="T17" s="172">
        <f t="shared" ref="T17:T35" si="4">SUM(R17:S17)</f>
        <v>0</v>
      </c>
      <c r="U17" s="64"/>
      <c r="V17" s="64"/>
      <c r="W17" s="172">
        <f t="shared" ref="W17:W35" si="5">U17+V17</f>
        <v>0</v>
      </c>
    </row>
    <row r="18" spans="2:23" x14ac:dyDescent="0.25">
      <c r="B18" s="130">
        <f t="shared" ref="B18:B34" si="6">B17+1</f>
        <v>3</v>
      </c>
      <c r="C18" s="68"/>
      <c r="D18" s="68"/>
      <c r="E18" s="69"/>
      <c r="F18" s="58"/>
      <c r="G18" s="59"/>
      <c r="H18" s="172">
        <f t="shared" si="0"/>
        <v>0</v>
      </c>
      <c r="I18" s="70"/>
      <c r="J18" s="71"/>
      <c r="K18" s="172">
        <f t="shared" si="1"/>
        <v>0</v>
      </c>
      <c r="L18" s="64"/>
      <c r="M18" s="64"/>
      <c r="N18" s="172">
        <f t="shared" si="2"/>
        <v>0</v>
      </c>
      <c r="O18" s="64"/>
      <c r="P18" s="64"/>
      <c r="Q18" s="172">
        <f t="shared" si="3"/>
        <v>0</v>
      </c>
      <c r="R18" s="64"/>
      <c r="S18" s="64"/>
      <c r="T18" s="172">
        <f t="shared" si="4"/>
        <v>0</v>
      </c>
      <c r="U18" s="64"/>
      <c r="V18" s="64"/>
      <c r="W18" s="172">
        <f t="shared" si="5"/>
        <v>0</v>
      </c>
    </row>
    <row r="19" spans="2:23" x14ac:dyDescent="0.25">
      <c r="B19" s="130">
        <f t="shared" si="6"/>
        <v>4</v>
      </c>
      <c r="C19" s="68"/>
      <c r="D19" s="68"/>
      <c r="E19" s="69"/>
      <c r="F19" s="58"/>
      <c r="G19" s="59"/>
      <c r="H19" s="172">
        <f t="shared" si="0"/>
        <v>0</v>
      </c>
      <c r="I19" s="70"/>
      <c r="J19" s="71"/>
      <c r="K19" s="172">
        <f t="shared" si="1"/>
        <v>0</v>
      </c>
      <c r="L19" s="64"/>
      <c r="M19" s="64"/>
      <c r="N19" s="172">
        <f t="shared" si="2"/>
        <v>0</v>
      </c>
      <c r="O19" s="64"/>
      <c r="P19" s="64"/>
      <c r="Q19" s="172">
        <f t="shared" si="3"/>
        <v>0</v>
      </c>
      <c r="R19" s="64"/>
      <c r="S19" s="64"/>
      <c r="T19" s="172">
        <f t="shared" si="4"/>
        <v>0</v>
      </c>
      <c r="U19" s="64"/>
      <c r="V19" s="64"/>
      <c r="W19" s="172">
        <f t="shared" si="5"/>
        <v>0</v>
      </c>
    </row>
    <row r="20" spans="2:23" x14ac:dyDescent="0.25">
      <c r="B20" s="130">
        <f t="shared" si="6"/>
        <v>5</v>
      </c>
      <c r="C20" s="68"/>
      <c r="D20" s="68"/>
      <c r="E20" s="69"/>
      <c r="F20" s="58"/>
      <c r="G20" s="59"/>
      <c r="H20" s="172">
        <f t="shared" si="0"/>
        <v>0</v>
      </c>
      <c r="I20" s="70"/>
      <c r="J20" s="71"/>
      <c r="K20" s="172">
        <f t="shared" si="1"/>
        <v>0</v>
      </c>
      <c r="L20" s="64"/>
      <c r="M20" s="64"/>
      <c r="N20" s="172">
        <f t="shared" si="2"/>
        <v>0</v>
      </c>
      <c r="O20" s="64"/>
      <c r="P20" s="64"/>
      <c r="Q20" s="172">
        <f t="shared" si="3"/>
        <v>0</v>
      </c>
      <c r="R20" s="64"/>
      <c r="S20" s="64"/>
      <c r="T20" s="172">
        <f t="shared" si="4"/>
        <v>0</v>
      </c>
      <c r="U20" s="64"/>
      <c r="V20" s="64"/>
      <c r="W20" s="172">
        <f t="shared" si="5"/>
        <v>0</v>
      </c>
    </row>
    <row r="21" spans="2:23" x14ac:dyDescent="0.25">
      <c r="B21" s="130">
        <f t="shared" si="6"/>
        <v>6</v>
      </c>
      <c r="C21" s="68"/>
      <c r="D21" s="68"/>
      <c r="E21" s="69"/>
      <c r="F21" s="58"/>
      <c r="G21" s="59"/>
      <c r="H21" s="172">
        <f t="shared" si="0"/>
        <v>0</v>
      </c>
      <c r="I21" s="70"/>
      <c r="J21" s="71"/>
      <c r="K21" s="172">
        <f t="shared" si="1"/>
        <v>0</v>
      </c>
      <c r="L21" s="64"/>
      <c r="M21" s="64"/>
      <c r="N21" s="172">
        <f t="shared" si="2"/>
        <v>0</v>
      </c>
      <c r="O21" s="64"/>
      <c r="P21" s="64"/>
      <c r="Q21" s="172">
        <f t="shared" si="3"/>
        <v>0</v>
      </c>
      <c r="R21" s="64"/>
      <c r="S21" s="64"/>
      <c r="T21" s="172">
        <f t="shared" si="4"/>
        <v>0</v>
      </c>
      <c r="U21" s="64"/>
      <c r="V21" s="64"/>
      <c r="W21" s="172">
        <f t="shared" si="5"/>
        <v>0</v>
      </c>
    </row>
    <row r="22" spans="2:23" x14ac:dyDescent="0.25">
      <c r="B22" s="130">
        <f t="shared" si="6"/>
        <v>7</v>
      </c>
      <c r="C22" s="68"/>
      <c r="D22" s="68"/>
      <c r="E22" s="69"/>
      <c r="F22" s="58"/>
      <c r="G22" s="59"/>
      <c r="H22" s="172">
        <f t="shared" si="0"/>
        <v>0</v>
      </c>
      <c r="I22" s="70"/>
      <c r="J22" s="71"/>
      <c r="K22" s="172">
        <f t="shared" si="1"/>
        <v>0</v>
      </c>
      <c r="L22" s="64"/>
      <c r="M22" s="64"/>
      <c r="N22" s="172">
        <f t="shared" si="2"/>
        <v>0</v>
      </c>
      <c r="O22" s="64"/>
      <c r="P22" s="64"/>
      <c r="Q22" s="172">
        <f t="shared" si="3"/>
        <v>0</v>
      </c>
      <c r="R22" s="64"/>
      <c r="S22" s="64"/>
      <c r="T22" s="172">
        <f t="shared" si="4"/>
        <v>0</v>
      </c>
      <c r="U22" s="64"/>
      <c r="V22" s="64"/>
      <c r="W22" s="172">
        <f t="shared" si="5"/>
        <v>0</v>
      </c>
    </row>
    <row r="23" spans="2:23" x14ac:dyDescent="0.25">
      <c r="B23" s="130">
        <f t="shared" si="6"/>
        <v>8</v>
      </c>
      <c r="C23" s="68"/>
      <c r="D23" s="68"/>
      <c r="E23" s="69"/>
      <c r="F23" s="58"/>
      <c r="G23" s="59"/>
      <c r="H23" s="172">
        <f t="shared" si="0"/>
        <v>0</v>
      </c>
      <c r="I23" s="70"/>
      <c r="J23" s="71"/>
      <c r="K23" s="172">
        <f t="shared" si="1"/>
        <v>0</v>
      </c>
      <c r="L23" s="64"/>
      <c r="M23" s="64"/>
      <c r="N23" s="172">
        <f t="shared" si="2"/>
        <v>0</v>
      </c>
      <c r="O23" s="64"/>
      <c r="P23" s="64"/>
      <c r="Q23" s="172">
        <f t="shared" si="3"/>
        <v>0</v>
      </c>
      <c r="R23" s="64"/>
      <c r="S23" s="64"/>
      <c r="T23" s="172">
        <f t="shared" si="4"/>
        <v>0</v>
      </c>
      <c r="U23" s="64"/>
      <c r="V23" s="64"/>
      <c r="W23" s="172">
        <f t="shared" si="5"/>
        <v>0</v>
      </c>
    </row>
    <row r="24" spans="2:23" x14ac:dyDescent="0.25">
      <c r="B24" s="130">
        <f t="shared" si="6"/>
        <v>9</v>
      </c>
      <c r="C24" s="68"/>
      <c r="D24" s="68"/>
      <c r="E24" s="69"/>
      <c r="F24" s="58"/>
      <c r="G24" s="59"/>
      <c r="H24" s="172">
        <f t="shared" si="0"/>
        <v>0</v>
      </c>
      <c r="I24" s="70"/>
      <c r="J24" s="71"/>
      <c r="K24" s="172">
        <f t="shared" si="1"/>
        <v>0</v>
      </c>
      <c r="L24" s="64"/>
      <c r="M24" s="64"/>
      <c r="N24" s="172">
        <f t="shared" si="2"/>
        <v>0</v>
      </c>
      <c r="O24" s="64"/>
      <c r="P24" s="64"/>
      <c r="Q24" s="172">
        <f t="shared" si="3"/>
        <v>0</v>
      </c>
      <c r="R24" s="64"/>
      <c r="S24" s="64"/>
      <c r="T24" s="172">
        <f t="shared" si="4"/>
        <v>0</v>
      </c>
      <c r="U24" s="64"/>
      <c r="V24" s="64"/>
      <c r="W24" s="172">
        <f t="shared" si="5"/>
        <v>0</v>
      </c>
    </row>
    <row r="25" spans="2:23" x14ac:dyDescent="0.25">
      <c r="B25" s="130">
        <f t="shared" si="6"/>
        <v>10</v>
      </c>
      <c r="C25" s="68"/>
      <c r="D25" s="68"/>
      <c r="E25" s="69"/>
      <c r="F25" s="58"/>
      <c r="G25" s="59"/>
      <c r="H25" s="172">
        <f t="shared" si="0"/>
        <v>0</v>
      </c>
      <c r="I25" s="70"/>
      <c r="J25" s="71"/>
      <c r="K25" s="172">
        <f t="shared" si="1"/>
        <v>0</v>
      </c>
      <c r="L25" s="64"/>
      <c r="M25" s="64"/>
      <c r="N25" s="172">
        <f t="shared" si="2"/>
        <v>0</v>
      </c>
      <c r="O25" s="64"/>
      <c r="P25" s="64"/>
      <c r="Q25" s="172">
        <f t="shared" si="3"/>
        <v>0</v>
      </c>
      <c r="R25" s="64"/>
      <c r="S25" s="64"/>
      <c r="T25" s="172">
        <f t="shared" si="4"/>
        <v>0</v>
      </c>
      <c r="U25" s="64"/>
      <c r="V25" s="64"/>
      <c r="W25" s="172">
        <f t="shared" si="5"/>
        <v>0</v>
      </c>
    </row>
    <row r="26" spans="2:23" x14ac:dyDescent="0.25">
      <c r="B26" s="130">
        <f t="shared" si="6"/>
        <v>11</v>
      </c>
      <c r="C26" s="68"/>
      <c r="D26" s="68"/>
      <c r="E26" s="69"/>
      <c r="F26" s="58"/>
      <c r="G26" s="59"/>
      <c r="H26" s="172">
        <f t="shared" si="0"/>
        <v>0</v>
      </c>
      <c r="I26" s="70"/>
      <c r="J26" s="71"/>
      <c r="K26" s="172">
        <f t="shared" si="1"/>
        <v>0</v>
      </c>
      <c r="L26" s="64"/>
      <c r="M26" s="64"/>
      <c r="N26" s="172">
        <f t="shared" si="2"/>
        <v>0</v>
      </c>
      <c r="O26" s="64"/>
      <c r="P26" s="64"/>
      <c r="Q26" s="172">
        <f t="shared" si="3"/>
        <v>0</v>
      </c>
      <c r="R26" s="64"/>
      <c r="S26" s="64"/>
      <c r="T26" s="172">
        <f t="shared" si="4"/>
        <v>0</v>
      </c>
      <c r="U26" s="64"/>
      <c r="V26" s="64"/>
      <c r="W26" s="172">
        <f t="shared" si="5"/>
        <v>0</v>
      </c>
    </row>
    <row r="27" spans="2:23" x14ac:dyDescent="0.25">
      <c r="B27" s="130">
        <f t="shared" si="6"/>
        <v>12</v>
      </c>
      <c r="C27" s="68"/>
      <c r="D27" s="68"/>
      <c r="E27" s="69"/>
      <c r="F27" s="58"/>
      <c r="G27" s="59"/>
      <c r="H27" s="172">
        <f t="shared" si="0"/>
        <v>0</v>
      </c>
      <c r="I27" s="70"/>
      <c r="J27" s="71"/>
      <c r="K27" s="172">
        <f t="shared" si="1"/>
        <v>0</v>
      </c>
      <c r="L27" s="64"/>
      <c r="M27" s="64"/>
      <c r="N27" s="172">
        <f t="shared" si="2"/>
        <v>0</v>
      </c>
      <c r="O27" s="64"/>
      <c r="P27" s="64"/>
      <c r="Q27" s="172">
        <f t="shared" si="3"/>
        <v>0</v>
      </c>
      <c r="R27" s="64"/>
      <c r="S27" s="64"/>
      <c r="T27" s="172">
        <f t="shared" si="4"/>
        <v>0</v>
      </c>
      <c r="U27" s="64"/>
      <c r="V27" s="64"/>
      <c r="W27" s="172">
        <f t="shared" si="5"/>
        <v>0</v>
      </c>
    </row>
    <row r="28" spans="2:23" x14ac:dyDescent="0.25">
      <c r="B28" s="130">
        <f t="shared" si="6"/>
        <v>13</v>
      </c>
      <c r="C28" s="68"/>
      <c r="D28" s="68"/>
      <c r="E28" s="69"/>
      <c r="F28" s="58"/>
      <c r="G28" s="59"/>
      <c r="H28" s="172">
        <f t="shared" si="0"/>
        <v>0</v>
      </c>
      <c r="I28" s="70"/>
      <c r="J28" s="71"/>
      <c r="K28" s="172">
        <f t="shared" si="1"/>
        <v>0</v>
      </c>
      <c r="L28" s="64"/>
      <c r="M28" s="64"/>
      <c r="N28" s="172">
        <f t="shared" si="2"/>
        <v>0</v>
      </c>
      <c r="O28" s="64"/>
      <c r="P28" s="64"/>
      <c r="Q28" s="172">
        <f t="shared" si="3"/>
        <v>0</v>
      </c>
      <c r="R28" s="64"/>
      <c r="S28" s="64"/>
      <c r="T28" s="172">
        <f t="shared" si="4"/>
        <v>0</v>
      </c>
      <c r="U28" s="64"/>
      <c r="V28" s="64"/>
      <c r="W28" s="172">
        <f t="shared" si="5"/>
        <v>0</v>
      </c>
    </row>
    <row r="29" spans="2:23" x14ac:dyDescent="0.25">
      <c r="B29" s="130">
        <f t="shared" si="6"/>
        <v>14</v>
      </c>
      <c r="C29" s="68"/>
      <c r="D29" s="68"/>
      <c r="E29" s="69"/>
      <c r="F29" s="58"/>
      <c r="G29" s="59"/>
      <c r="H29" s="172">
        <f t="shared" si="0"/>
        <v>0</v>
      </c>
      <c r="I29" s="70"/>
      <c r="J29" s="71"/>
      <c r="K29" s="172">
        <f t="shared" si="1"/>
        <v>0</v>
      </c>
      <c r="L29" s="64"/>
      <c r="M29" s="64"/>
      <c r="N29" s="172">
        <f t="shared" si="2"/>
        <v>0</v>
      </c>
      <c r="O29" s="64"/>
      <c r="P29" s="64"/>
      <c r="Q29" s="172">
        <f t="shared" si="3"/>
        <v>0</v>
      </c>
      <c r="R29" s="64"/>
      <c r="S29" s="64"/>
      <c r="T29" s="172">
        <f t="shared" si="4"/>
        <v>0</v>
      </c>
      <c r="U29" s="64"/>
      <c r="V29" s="64"/>
      <c r="W29" s="172">
        <f t="shared" si="5"/>
        <v>0</v>
      </c>
    </row>
    <row r="30" spans="2:23" x14ac:dyDescent="0.25">
      <c r="B30" s="130">
        <f t="shared" si="6"/>
        <v>15</v>
      </c>
      <c r="C30" s="68"/>
      <c r="D30" s="68"/>
      <c r="E30" s="69"/>
      <c r="F30" s="58"/>
      <c r="G30" s="59"/>
      <c r="H30" s="172">
        <f t="shared" si="0"/>
        <v>0</v>
      </c>
      <c r="I30" s="70"/>
      <c r="J30" s="71"/>
      <c r="K30" s="172">
        <f t="shared" si="1"/>
        <v>0</v>
      </c>
      <c r="L30" s="64"/>
      <c r="M30" s="64"/>
      <c r="N30" s="172">
        <f t="shared" si="2"/>
        <v>0</v>
      </c>
      <c r="O30" s="64"/>
      <c r="P30" s="64"/>
      <c r="Q30" s="172">
        <f t="shared" si="3"/>
        <v>0</v>
      </c>
      <c r="R30" s="64"/>
      <c r="S30" s="64"/>
      <c r="T30" s="172">
        <f t="shared" si="4"/>
        <v>0</v>
      </c>
      <c r="U30" s="64"/>
      <c r="V30" s="64"/>
      <c r="W30" s="172">
        <f t="shared" si="5"/>
        <v>0</v>
      </c>
    </row>
    <row r="31" spans="2:23" x14ac:dyDescent="0.25">
      <c r="B31" s="130">
        <f t="shared" si="6"/>
        <v>16</v>
      </c>
      <c r="C31" s="68"/>
      <c r="D31" s="68"/>
      <c r="E31" s="69"/>
      <c r="F31" s="58"/>
      <c r="G31" s="59"/>
      <c r="H31" s="172">
        <f t="shared" si="0"/>
        <v>0</v>
      </c>
      <c r="I31" s="70"/>
      <c r="J31" s="71"/>
      <c r="K31" s="172">
        <f t="shared" si="1"/>
        <v>0</v>
      </c>
      <c r="L31" s="64"/>
      <c r="M31" s="64"/>
      <c r="N31" s="172">
        <f t="shared" si="2"/>
        <v>0</v>
      </c>
      <c r="O31" s="64"/>
      <c r="P31" s="64"/>
      <c r="Q31" s="172">
        <f t="shared" si="3"/>
        <v>0</v>
      </c>
      <c r="R31" s="64"/>
      <c r="S31" s="64"/>
      <c r="T31" s="172">
        <f t="shared" si="4"/>
        <v>0</v>
      </c>
      <c r="U31" s="64"/>
      <c r="V31" s="64"/>
      <c r="W31" s="172">
        <f t="shared" si="5"/>
        <v>0</v>
      </c>
    </row>
    <row r="32" spans="2:23" x14ac:dyDescent="0.25">
      <c r="B32" s="130">
        <f t="shared" si="6"/>
        <v>17</v>
      </c>
      <c r="C32" s="68"/>
      <c r="D32" s="68"/>
      <c r="E32" s="69"/>
      <c r="F32" s="58"/>
      <c r="G32" s="59"/>
      <c r="H32" s="172">
        <f t="shared" si="0"/>
        <v>0</v>
      </c>
      <c r="I32" s="70"/>
      <c r="J32" s="71"/>
      <c r="K32" s="172">
        <f t="shared" si="1"/>
        <v>0</v>
      </c>
      <c r="L32" s="64"/>
      <c r="M32" s="64"/>
      <c r="N32" s="172">
        <f t="shared" si="2"/>
        <v>0</v>
      </c>
      <c r="O32" s="64"/>
      <c r="P32" s="64"/>
      <c r="Q32" s="172">
        <f t="shared" si="3"/>
        <v>0</v>
      </c>
      <c r="R32" s="64"/>
      <c r="S32" s="64"/>
      <c r="T32" s="172">
        <f t="shared" si="4"/>
        <v>0</v>
      </c>
      <c r="U32" s="64"/>
      <c r="V32" s="64"/>
      <c r="W32" s="172">
        <f t="shared" si="5"/>
        <v>0</v>
      </c>
    </row>
    <row r="33" spans="2:23" x14ac:dyDescent="0.25">
      <c r="B33" s="136">
        <f t="shared" si="6"/>
        <v>18</v>
      </c>
      <c r="C33" s="68"/>
      <c r="D33" s="68"/>
      <c r="E33" s="69"/>
      <c r="F33" s="58"/>
      <c r="G33" s="59"/>
      <c r="H33" s="172">
        <f t="shared" si="0"/>
        <v>0</v>
      </c>
      <c r="I33" s="70"/>
      <c r="J33" s="71"/>
      <c r="K33" s="172">
        <f t="shared" si="1"/>
        <v>0</v>
      </c>
      <c r="L33" s="64"/>
      <c r="M33" s="64"/>
      <c r="N33" s="172">
        <f t="shared" si="2"/>
        <v>0</v>
      </c>
      <c r="O33" s="64"/>
      <c r="P33" s="64"/>
      <c r="Q33" s="172">
        <f t="shared" si="3"/>
        <v>0</v>
      </c>
      <c r="R33" s="64"/>
      <c r="S33" s="64"/>
      <c r="T33" s="172">
        <f t="shared" si="4"/>
        <v>0</v>
      </c>
      <c r="U33" s="64"/>
      <c r="V33" s="64"/>
      <c r="W33" s="172">
        <f t="shared" si="5"/>
        <v>0</v>
      </c>
    </row>
    <row r="34" spans="2:23" x14ac:dyDescent="0.25">
      <c r="B34" s="136">
        <f t="shared" si="6"/>
        <v>19</v>
      </c>
      <c r="C34" s="68"/>
      <c r="D34" s="68"/>
      <c r="E34" s="69"/>
      <c r="F34" s="58"/>
      <c r="G34" s="59"/>
      <c r="H34" s="172">
        <f t="shared" si="0"/>
        <v>0</v>
      </c>
      <c r="I34" s="70"/>
      <c r="J34" s="71"/>
      <c r="K34" s="172">
        <f t="shared" si="1"/>
        <v>0</v>
      </c>
      <c r="L34" s="64"/>
      <c r="M34" s="64"/>
      <c r="N34" s="172">
        <f t="shared" si="2"/>
        <v>0</v>
      </c>
      <c r="O34" s="64"/>
      <c r="P34" s="64"/>
      <c r="Q34" s="172">
        <f t="shared" si="3"/>
        <v>0</v>
      </c>
      <c r="R34" s="64"/>
      <c r="S34" s="64"/>
      <c r="T34" s="172">
        <f t="shared" si="4"/>
        <v>0</v>
      </c>
      <c r="U34" s="64"/>
      <c r="V34" s="64"/>
      <c r="W34" s="172">
        <f t="shared" si="5"/>
        <v>0</v>
      </c>
    </row>
    <row r="35" spans="2:23" ht="14.5" thickBot="1" x14ac:dyDescent="0.3">
      <c r="B35" s="137">
        <f>B34+1</f>
        <v>20</v>
      </c>
      <c r="C35" s="72"/>
      <c r="D35" s="72"/>
      <c r="E35" s="69"/>
      <c r="F35" s="58"/>
      <c r="G35" s="73"/>
      <c r="H35" s="173">
        <f t="shared" si="0"/>
        <v>0</v>
      </c>
      <c r="I35" s="74"/>
      <c r="J35" s="75"/>
      <c r="K35" s="173">
        <f t="shared" si="1"/>
        <v>0</v>
      </c>
      <c r="L35" s="64"/>
      <c r="M35" s="64"/>
      <c r="N35" s="173">
        <f t="shared" si="2"/>
        <v>0</v>
      </c>
      <c r="O35" s="64"/>
      <c r="P35" s="64"/>
      <c r="Q35" s="173">
        <f t="shared" si="3"/>
        <v>0</v>
      </c>
      <c r="R35" s="64"/>
      <c r="S35" s="64"/>
      <c r="T35" s="173">
        <f t="shared" si="4"/>
        <v>0</v>
      </c>
      <c r="U35" s="64"/>
      <c r="V35" s="64"/>
      <c r="W35" s="172">
        <f t="shared" si="5"/>
        <v>0</v>
      </c>
    </row>
    <row r="36" spans="2:23" ht="21" customHeight="1" thickBot="1" x14ac:dyDescent="0.3">
      <c r="C36" s="226" t="s">
        <v>16</v>
      </c>
      <c r="D36" s="227"/>
      <c r="E36" s="141" t="s">
        <v>13</v>
      </c>
      <c r="F36" s="76">
        <f t="shared" ref="F36:U38" si="7">SUMIF($E$16:$E$35,$E36,F$16:F$35)</f>
        <v>0</v>
      </c>
      <c r="G36" s="77">
        <f t="shared" si="7"/>
        <v>0</v>
      </c>
      <c r="H36" s="55">
        <f>SUM(F36:G36)</f>
        <v>0</v>
      </c>
      <c r="I36" s="76">
        <f t="shared" si="7"/>
        <v>0</v>
      </c>
      <c r="J36" s="77">
        <f t="shared" si="7"/>
        <v>0</v>
      </c>
      <c r="K36" s="55">
        <f>SUM(I36:J36)</f>
        <v>0</v>
      </c>
      <c r="L36" s="76">
        <f t="shared" si="7"/>
        <v>0</v>
      </c>
      <c r="M36" s="77">
        <f t="shared" si="7"/>
        <v>0</v>
      </c>
      <c r="N36" s="55">
        <f>SUM(L36:M36)</f>
        <v>0</v>
      </c>
      <c r="O36" s="76">
        <f t="shared" si="7"/>
        <v>0</v>
      </c>
      <c r="P36" s="77">
        <f t="shared" si="7"/>
        <v>0</v>
      </c>
      <c r="Q36" s="55">
        <f>SUM(O36:P36)</f>
        <v>0</v>
      </c>
      <c r="R36" s="76">
        <f t="shared" si="7"/>
        <v>0</v>
      </c>
      <c r="S36" s="77">
        <f t="shared" si="7"/>
        <v>0</v>
      </c>
      <c r="T36" s="55">
        <f>SUM(R36:S36)</f>
        <v>0</v>
      </c>
      <c r="U36" s="76">
        <f t="shared" si="7"/>
        <v>0</v>
      </c>
      <c r="V36" s="77">
        <f t="shared" ref="U36:V38" si="8">SUMIF($E$16:$E$35,$E36,V$16:V$35)</f>
        <v>0</v>
      </c>
      <c r="W36" s="55">
        <f>SUM(U36:V36)</f>
        <v>0</v>
      </c>
    </row>
    <row r="37" spans="2:23" ht="21" customHeight="1" thickBot="1" x14ac:dyDescent="0.3">
      <c r="C37" s="166" t="s">
        <v>17</v>
      </c>
      <c r="D37" s="166"/>
      <c r="E37" s="141" t="s">
        <v>14</v>
      </c>
      <c r="F37" s="76">
        <f t="shared" si="7"/>
        <v>0</v>
      </c>
      <c r="G37" s="77">
        <f t="shared" si="7"/>
        <v>0</v>
      </c>
      <c r="H37" s="55">
        <f>SUM(F37:G37)</f>
        <v>0</v>
      </c>
      <c r="I37" s="76">
        <f t="shared" si="7"/>
        <v>0</v>
      </c>
      <c r="J37" s="77">
        <f t="shared" si="7"/>
        <v>0</v>
      </c>
      <c r="K37" s="55">
        <f>SUM(I37:J37)</f>
        <v>0</v>
      </c>
      <c r="L37" s="76">
        <f t="shared" si="7"/>
        <v>0</v>
      </c>
      <c r="M37" s="77">
        <f t="shared" si="7"/>
        <v>0</v>
      </c>
      <c r="N37" s="55">
        <f>SUM(L37:M37)</f>
        <v>0</v>
      </c>
      <c r="O37" s="76">
        <f t="shared" si="7"/>
        <v>0</v>
      </c>
      <c r="P37" s="77">
        <f t="shared" si="7"/>
        <v>0</v>
      </c>
      <c r="Q37" s="55">
        <f>SUM(O37:P37)</f>
        <v>0</v>
      </c>
      <c r="R37" s="76">
        <f t="shared" si="7"/>
        <v>0</v>
      </c>
      <c r="S37" s="77">
        <f t="shared" si="7"/>
        <v>0</v>
      </c>
      <c r="T37" s="55">
        <f>SUM(R37:S37)</f>
        <v>0</v>
      </c>
      <c r="U37" s="76">
        <f t="shared" si="8"/>
        <v>0</v>
      </c>
      <c r="V37" s="77">
        <f t="shared" si="8"/>
        <v>0</v>
      </c>
      <c r="W37" s="55">
        <f>SUM(U37:V37)</f>
        <v>0</v>
      </c>
    </row>
    <row r="38" spans="2:23" ht="21" customHeight="1" thickBot="1" x14ac:dyDescent="0.3">
      <c r="C38" s="166" t="s">
        <v>18</v>
      </c>
      <c r="D38" s="166"/>
      <c r="E38" s="141" t="s">
        <v>27</v>
      </c>
      <c r="F38" s="76">
        <f t="shared" si="7"/>
        <v>0</v>
      </c>
      <c r="G38" s="77">
        <f t="shared" si="7"/>
        <v>0</v>
      </c>
      <c r="H38" s="55">
        <f>SUM(F38:G38)</f>
        <v>0</v>
      </c>
      <c r="I38" s="76">
        <f t="shared" si="7"/>
        <v>0</v>
      </c>
      <c r="J38" s="77">
        <f t="shared" si="7"/>
        <v>0</v>
      </c>
      <c r="K38" s="55">
        <f>SUM(I38:J38)</f>
        <v>0</v>
      </c>
      <c r="L38" s="76">
        <f t="shared" si="7"/>
        <v>0</v>
      </c>
      <c r="M38" s="77">
        <f t="shared" si="7"/>
        <v>0</v>
      </c>
      <c r="N38" s="55">
        <f>SUM(L38:M38)</f>
        <v>0</v>
      </c>
      <c r="O38" s="76">
        <f t="shared" si="7"/>
        <v>0</v>
      </c>
      <c r="P38" s="77">
        <f t="shared" si="7"/>
        <v>0</v>
      </c>
      <c r="Q38" s="55">
        <f>SUM(O38:P38)</f>
        <v>0</v>
      </c>
      <c r="R38" s="76">
        <f t="shared" si="7"/>
        <v>0</v>
      </c>
      <c r="S38" s="77">
        <f t="shared" si="7"/>
        <v>0</v>
      </c>
      <c r="T38" s="55">
        <f>SUM(R38:S38)</f>
        <v>0</v>
      </c>
      <c r="U38" s="76">
        <f t="shared" si="8"/>
        <v>0</v>
      </c>
      <c r="V38" s="77">
        <f t="shared" si="8"/>
        <v>0</v>
      </c>
      <c r="W38" s="55">
        <f>SUM(U38:V38)</f>
        <v>0</v>
      </c>
    </row>
    <row r="39" spans="2:23" ht="22.5" customHeight="1" thickBot="1" x14ac:dyDescent="0.3">
      <c r="C39" s="220" t="s">
        <v>125</v>
      </c>
      <c r="D39" s="221"/>
      <c r="E39" s="222"/>
      <c r="F39" s="54">
        <f>F36+F37+F38</f>
        <v>0</v>
      </c>
      <c r="G39" s="54">
        <f>G36+G37+G38</f>
        <v>0</v>
      </c>
      <c r="H39" s="55">
        <f>F39+G39</f>
        <v>0</v>
      </c>
      <c r="I39" s="54">
        <f>I36+I37+I38</f>
        <v>0</v>
      </c>
      <c r="J39" s="54">
        <f>J36+J37+J38</f>
        <v>0</v>
      </c>
      <c r="K39" s="55">
        <f>I39+J39</f>
        <v>0</v>
      </c>
      <c r="L39" s="54">
        <f>L36+L37+L38</f>
        <v>0</v>
      </c>
      <c r="M39" s="54">
        <f>M36+M37+M38</f>
        <v>0</v>
      </c>
      <c r="N39" s="55">
        <f>L39+M39</f>
        <v>0</v>
      </c>
      <c r="O39" s="54">
        <f>O36+O37+O38</f>
        <v>0</v>
      </c>
      <c r="P39" s="54">
        <f>P36+P37+P38</f>
        <v>0</v>
      </c>
      <c r="Q39" s="55">
        <f>O39+P39</f>
        <v>0</v>
      </c>
      <c r="R39" s="54">
        <f>R36+R37+R38</f>
        <v>0</v>
      </c>
      <c r="S39" s="54">
        <f>S36+S37+S38</f>
        <v>0</v>
      </c>
      <c r="T39" s="55">
        <f>R39+S39</f>
        <v>0</v>
      </c>
      <c r="U39" s="54">
        <f>U36+U37+U38</f>
        <v>0</v>
      </c>
      <c r="V39" s="54">
        <f>V36+V37+V38</f>
        <v>0</v>
      </c>
      <c r="W39" s="55">
        <f>U39+V39</f>
        <v>0</v>
      </c>
    </row>
    <row r="40" spans="2:23" ht="6" customHeight="1" x14ac:dyDescent="0.25"/>
  </sheetData>
  <sheetProtection insertRows="0"/>
  <protectedRanges>
    <protectedRange password="CC9E" sqref="E6 D12 A6:C6 G6:IV12 O5:IV5 A7:A8 A1:IV4 E8:E12 C8:C11 A9:B12 A13:IV65538 A5" name="Rango1"/>
    <protectedRange password="CC9E" sqref="F6:F12" name="Rango2"/>
    <protectedRange password="CC9E" sqref="F6:F12" name="Rango1_1"/>
    <protectedRange password="CC9E" sqref="B5:N5" name="Rango1_2"/>
    <protectedRange password="CC9E" sqref="B7:C7 E7" name="Rango1_3"/>
    <protectedRange password="CC9E" sqref="B8" name="Rango2_6"/>
    <protectedRange password="CC9E" sqref="B8" name="Rango1_6"/>
  </protectedRanges>
  <mergeCells count="16">
    <mergeCell ref="C39:E39"/>
    <mergeCell ref="B5:N5"/>
    <mergeCell ref="I14:K14"/>
    <mergeCell ref="L14:N14"/>
    <mergeCell ref="B14:B15"/>
    <mergeCell ref="C14:C15"/>
    <mergeCell ref="F14:H14"/>
    <mergeCell ref="E14:E15"/>
    <mergeCell ref="D14:D15"/>
    <mergeCell ref="C36:D36"/>
    <mergeCell ref="O14:Q14"/>
    <mergeCell ref="R14:T14"/>
    <mergeCell ref="U14:W14"/>
    <mergeCell ref="E1:J1"/>
    <mergeCell ref="B7:E7"/>
    <mergeCell ref="B11:E11"/>
  </mergeCells>
  <phoneticPr fontId="2" type="noConversion"/>
  <dataValidations count="1">
    <dataValidation type="list" allowBlank="1" showInputMessage="1" showErrorMessage="1" sqref="E16:E35">
      <formula1>"UNI, OPI,CIT"</formula1>
    </dataValidation>
  </dataValidations>
  <pageMargins left="0.39370078740157483" right="0.39370078740157483" top="0.78740157480314965" bottom="0.78740157480314965" header="0" footer="0.39370078740157483"/>
  <pageSetup paperSize="9" scale="34" fitToHeight="0" orientation="landscape" r:id="rId1"/>
  <headerFooter alignWithMargins="0">
    <oddFooter xml:space="preserve">&amp;CP. &amp;P / &amp;N
</oddFooter>
  </headerFooter>
  <ignoredErrors>
    <ignoredError sqref="G36:G38 B16:B35 F36:F38 F14:H14 J14:K14" unlockedFormula="1"/>
    <ignoredError sqref="H36:H38" formula="1"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35"/>
  <sheetViews>
    <sheetView showGridLines="0" showZeros="0" zoomScale="70" zoomScaleNormal="70" workbookViewId="0">
      <pane xSplit="4" ySplit="13" topLeftCell="E14" activePane="bottomRight" state="frozen"/>
      <selection activeCell="C2" sqref="C2"/>
      <selection pane="topRight" activeCell="C2" sqref="C2"/>
      <selection pane="bottomLeft" activeCell="C2" sqref="C2"/>
      <selection pane="bottomRight" activeCell="C2" sqref="C2"/>
    </sheetView>
  </sheetViews>
  <sheetFormatPr baseColWidth="10" defaultColWidth="11.453125" defaultRowHeight="14" x14ac:dyDescent="0.25"/>
  <cols>
    <col min="1" max="1" width="1.6328125" style="16" customWidth="1"/>
    <col min="2" max="2" width="14.6328125" style="16" customWidth="1"/>
    <col min="3" max="3" width="96.36328125" style="16" customWidth="1"/>
    <col min="4" max="4" width="18.08984375" style="16" customWidth="1"/>
    <col min="5" max="13" width="14.6328125" style="16" customWidth="1"/>
    <col min="14" max="14" width="15.453125" style="16" customWidth="1"/>
    <col min="15" max="15" width="15.36328125" style="16" customWidth="1"/>
    <col min="16" max="16" width="16" style="16" customWidth="1"/>
    <col min="17" max="19" width="15" style="16" customWidth="1"/>
    <col min="20" max="20" width="15.453125" style="16" customWidth="1"/>
    <col min="21" max="21" width="14.36328125" style="16" customWidth="1"/>
    <col min="22" max="22" width="14.6328125" style="16" customWidth="1"/>
    <col min="23" max="16384" width="11.453125" style="16"/>
  </cols>
  <sheetData>
    <row r="1" spans="1:22" ht="63" customHeight="1" x14ac:dyDescent="0.25">
      <c r="E1" s="219"/>
      <c r="F1" s="219"/>
      <c r="G1" s="219"/>
      <c r="H1" s="219"/>
      <c r="I1" s="219"/>
      <c r="J1" s="12"/>
      <c r="K1" s="12"/>
      <c r="L1" s="12"/>
      <c r="M1" s="12"/>
    </row>
    <row r="4" spans="1:22" x14ac:dyDescent="0.25">
      <c r="B4" s="93" t="s">
        <v>5</v>
      </c>
    </row>
    <row r="5" spans="1:22" x14ac:dyDescent="0.25">
      <c r="B5" s="21" t="s">
        <v>15</v>
      </c>
    </row>
    <row r="7" spans="1:22" ht="28.5" customHeight="1" x14ac:dyDescent="0.25">
      <c r="B7" s="215" t="s">
        <v>149</v>
      </c>
      <c r="C7" s="215"/>
      <c r="D7" s="215"/>
      <c r="E7" s="190"/>
    </row>
    <row r="8" spans="1:22" x14ac:dyDescent="0.25">
      <c r="B8" s="126"/>
      <c r="C8" s="167"/>
      <c r="D8" s="19"/>
      <c r="E8" s="88"/>
    </row>
    <row r="9" spans="1:22" ht="29.25" customHeight="1" x14ac:dyDescent="0.25">
      <c r="B9" s="215" t="s">
        <v>129</v>
      </c>
      <c r="C9" s="215"/>
      <c r="D9" s="215"/>
      <c r="E9" s="88"/>
    </row>
    <row r="10" spans="1:22" x14ac:dyDescent="0.25">
      <c r="B10" s="126"/>
      <c r="C10" s="167"/>
      <c r="D10" s="167"/>
      <c r="E10" s="88"/>
    </row>
    <row r="11" spans="1:22" ht="6" customHeight="1" thickBot="1" x14ac:dyDescent="0.3"/>
    <row r="12" spans="1:22" ht="15.75" customHeight="1" thickBot="1" x14ac:dyDescent="0.3">
      <c r="A12" s="56"/>
      <c r="B12" s="211" t="s">
        <v>137</v>
      </c>
      <c r="C12" s="224" t="s">
        <v>146</v>
      </c>
      <c r="D12" s="211" t="s">
        <v>78</v>
      </c>
      <c r="E12" s="216">
        <f>Personal!F13</f>
        <v>2024</v>
      </c>
      <c r="F12" s="217"/>
      <c r="G12" s="218"/>
      <c r="H12" s="216">
        <f>E12+1</f>
        <v>2025</v>
      </c>
      <c r="I12" s="217"/>
      <c r="J12" s="218"/>
      <c r="K12" s="216">
        <f>H12+1</f>
        <v>2026</v>
      </c>
      <c r="L12" s="217"/>
      <c r="M12" s="218"/>
      <c r="N12" s="216">
        <f>K12+1</f>
        <v>2027</v>
      </c>
      <c r="O12" s="217"/>
      <c r="P12" s="218"/>
      <c r="Q12" s="216">
        <f>N12+1</f>
        <v>2028</v>
      </c>
      <c r="R12" s="217"/>
      <c r="S12" s="218"/>
      <c r="T12" s="216">
        <f>Q12+1</f>
        <v>2029</v>
      </c>
      <c r="U12" s="217"/>
      <c r="V12" s="218"/>
    </row>
    <row r="13" spans="1:22" s="56" customFormat="1" ht="66.75" customHeight="1" thickBot="1" x14ac:dyDescent="0.3">
      <c r="A13" s="16"/>
      <c r="B13" s="212" t="s">
        <v>1</v>
      </c>
      <c r="C13" s="225" t="s">
        <v>0</v>
      </c>
      <c r="D13" s="212"/>
      <c r="E13" s="138" t="s">
        <v>7</v>
      </c>
      <c r="F13" s="139" t="s">
        <v>139</v>
      </c>
      <c r="G13" s="140" t="s">
        <v>8</v>
      </c>
      <c r="H13" s="138" t="s">
        <v>7</v>
      </c>
      <c r="I13" s="139" t="s">
        <v>139</v>
      </c>
      <c r="J13" s="140" t="s">
        <v>8</v>
      </c>
      <c r="K13" s="142" t="s">
        <v>7</v>
      </c>
      <c r="L13" s="139" t="s">
        <v>139</v>
      </c>
      <c r="M13" s="140" t="s">
        <v>8</v>
      </c>
      <c r="N13" s="142" t="s">
        <v>7</v>
      </c>
      <c r="O13" s="139" t="s">
        <v>139</v>
      </c>
      <c r="P13" s="140" t="s">
        <v>8</v>
      </c>
      <c r="Q13" s="142" t="s">
        <v>7</v>
      </c>
      <c r="R13" s="139" t="s">
        <v>139</v>
      </c>
      <c r="S13" s="140" t="s">
        <v>8</v>
      </c>
      <c r="T13" s="142" t="s">
        <v>7</v>
      </c>
      <c r="U13" s="139" t="s">
        <v>139</v>
      </c>
      <c r="V13" s="140" t="s">
        <v>8</v>
      </c>
    </row>
    <row r="14" spans="1:22" ht="15.75" customHeight="1" x14ac:dyDescent="0.25">
      <c r="B14" s="129">
        <v>1</v>
      </c>
      <c r="C14" s="63"/>
      <c r="D14" s="162"/>
      <c r="E14" s="58"/>
      <c r="F14" s="64"/>
      <c r="G14" s="172">
        <f>E14+F14</f>
        <v>0</v>
      </c>
      <c r="H14" s="58"/>
      <c r="I14" s="64"/>
      <c r="J14" s="172">
        <f>SUM(H14:I14)</f>
        <v>0</v>
      </c>
      <c r="K14" s="58"/>
      <c r="L14" s="64"/>
      <c r="M14" s="172">
        <f>SUM(K14:L14)</f>
        <v>0</v>
      </c>
      <c r="N14" s="58"/>
      <c r="O14" s="64"/>
      <c r="P14" s="172">
        <f>SUM(N14:O14)</f>
        <v>0</v>
      </c>
      <c r="Q14" s="58"/>
      <c r="R14" s="64"/>
      <c r="S14" s="172">
        <f>SUM(Q14:R14)</f>
        <v>0</v>
      </c>
      <c r="T14" s="58"/>
      <c r="U14" s="64"/>
      <c r="V14" s="172">
        <f>SUM(T14:U14)</f>
        <v>0</v>
      </c>
    </row>
    <row r="15" spans="1:22" x14ac:dyDescent="0.25">
      <c r="B15" s="130">
        <f>B14+1</f>
        <v>2</v>
      </c>
      <c r="C15" s="65"/>
      <c r="D15" s="163"/>
      <c r="E15" s="58"/>
      <c r="F15" s="59"/>
      <c r="G15" s="172">
        <f t="shared" ref="G15:G33" si="0">E15+F15</f>
        <v>0</v>
      </c>
      <c r="H15" s="58"/>
      <c r="I15" s="59"/>
      <c r="J15" s="172">
        <f t="shared" ref="J15:J33" si="1">SUM(H15:I15)</f>
        <v>0</v>
      </c>
      <c r="K15" s="58"/>
      <c r="L15" s="59"/>
      <c r="M15" s="172">
        <f t="shared" ref="M15:M33" si="2">SUM(K15:L15)</f>
        <v>0</v>
      </c>
      <c r="N15" s="58"/>
      <c r="O15" s="59"/>
      <c r="P15" s="172">
        <f t="shared" ref="P15:P33" si="3">SUM(N15:O15)</f>
        <v>0</v>
      </c>
      <c r="Q15" s="58"/>
      <c r="R15" s="59"/>
      <c r="S15" s="172">
        <f t="shared" ref="S15:S33" si="4">SUM(Q15:R15)</f>
        <v>0</v>
      </c>
      <c r="T15" s="58"/>
      <c r="U15" s="59"/>
      <c r="V15" s="172">
        <f t="shared" ref="V15:V33" si="5">SUM(T15:U15)</f>
        <v>0</v>
      </c>
    </row>
    <row r="16" spans="1:22" x14ac:dyDescent="0.25">
      <c r="B16" s="130">
        <f t="shared" ref="B16:B32" si="6">B15+1</f>
        <v>3</v>
      </c>
      <c r="C16" s="65"/>
      <c r="D16" s="163"/>
      <c r="E16" s="58"/>
      <c r="F16" s="59"/>
      <c r="G16" s="172">
        <f t="shared" si="0"/>
        <v>0</v>
      </c>
      <c r="H16" s="58"/>
      <c r="I16" s="59"/>
      <c r="J16" s="172">
        <f t="shared" si="1"/>
        <v>0</v>
      </c>
      <c r="K16" s="58"/>
      <c r="L16" s="59"/>
      <c r="M16" s="172">
        <f t="shared" si="2"/>
        <v>0</v>
      </c>
      <c r="N16" s="58"/>
      <c r="O16" s="59"/>
      <c r="P16" s="172">
        <f t="shared" si="3"/>
        <v>0</v>
      </c>
      <c r="Q16" s="58"/>
      <c r="R16" s="59"/>
      <c r="S16" s="172">
        <f t="shared" si="4"/>
        <v>0</v>
      </c>
      <c r="T16" s="58"/>
      <c r="U16" s="59"/>
      <c r="V16" s="172">
        <f t="shared" si="5"/>
        <v>0</v>
      </c>
    </row>
    <row r="17" spans="2:22" x14ac:dyDescent="0.25">
      <c r="B17" s="130">
        <f t="shared" si="6"/>
        <v>4</v>
      </c>
      <c r="C17" s="65"/>
      <c r="D17" s="163"/>
      <c r="E17" s="58"/>
      <c r="F17" s="59"/>
      <c r="G17" s="172">
        <f t="shared" si="0"/>
        <v>0</v>
      </c>
      <c r="H17" s="58"/>
      <c r="I17" s="59"/>
      <c r="J17" s="172">
        <f t="shared" si="1"/>
        <v>0</v>
      </c>
      <c r="K17" s="58"/>
      <c r="L17" s="59"/>
      <c r="M17" s="172">
        <f t="shared" si="2"/>
        <v>0</v>
      </c>
      <c r="N17" s="58"/>
      <c r="O17" s="59"/>
      <c r="P17" s="172">
        <f t="shared" si="3"/>
        <v>0</v>
      </c>
      <c r="Q17" s="58"/>
      <c r="R17" s="59"/>
      <c r="S17" s="172">
        <f t="shared" si="4"/>
        <v>0</v>
      </c>
      <c r="T17" s="58"/>
      <c r="U17" s="59"/>
      <c r="V17" s="172">
        <f t="shared" si="5"/>
        <v>0</v>
      </c>
    </row>
    <row r="18" spans="2:22" x14ac:dyDescent="0.25">
      <c r="B18" s="130">
        <f t="shared" si="6"/>
        <v>5</v>
      </c>
      <c r="C18" s="65"/>
      <c r="D18" s="163"/>
      <c r="E18" s="58"/>
      <c r="F18" s="59"/>
      <c r="G18" s="172">
        <f t="shared" si="0"/>
        <v>0</v>
      </c>
      <c r="H18" s="58"/>
      <c r="I18" s="59"/>
      <c r="J18" s="172">
        <f t="shared" si="1"/>
        <v>0</v>
      </c>
      <c r="K18" s="58"/>
      <c r="L18" s="59"/>
      <c r="M18" s="172">
        <f t="shared" si="2"/>
        <v>0</v>
      </c>
      <c r="N18" s="58"/>
      <c r="O18" s="59"/>
      <c r="P18" s="172">
        <f t="shared" si="3"/>
        <v>0</v>
      </c>
      <c r="Q18" s="58"/>
      <c r="R18" s="59"/>
      <c r="S18" s="172">
        <f t="shared" si="4"/>
        <v>0</v>
      </c>
      <c r="T18" s="58"/>
      <c r="U18" s="59"/>
      <c r="V18" s="172">
        <f t="shared" si="5"/>
        <v>0</v>
      </c>
    </row>
    <row r="19" spans="2:22" x14ac:dyDescent="0.25">
      <c r="B19" s="130">
        <f t="shared" si="6"/>
        <v>6</v>
      </c>
      <c r="C19" s="65"/>
      <c r="D19" s="163"/>
      <c r="E19" s="58"/>
      <c r="F19" s="59"/>
      <c r="G19" s="172">
        <f t="shared" si="0"/>
        <v>0</v>
      </c>
      <c r="H19" s="58"/>
      <c r="I19" s="59"/>
      <c r="J19" s="172">
        <f t="shared" si="1"/>
        <v>0</v>
      </c>
      <c r="K19" s="58"/>
      <c r="L19" s="59"/>
      <c r="M19" s="172">
        <f t="shared" si="2"/>
        <v>0</v>
      </c>
      <c r="N19" s="58"/>
      <c r="O19" s="59"/>
      <c r="P19" s="172">
        <f t="shared" si="3"/>
        <v>0</v>
      </c>
      <c r="Q19" s="58"/>
      <c r="R19" s="59"/>
      <c r="S19" s="172">
        <f t="shared" si="4"/>
        <v>0</v>
      </c>
      <c r="T19" s="58"/>
      <c r="U19" s="59"/>
      <c r="V19" s="172">
        <f t="shared" si="5"/>
        <v>0</v>
      </c>
    </row>
    <row r="20" spans="2:22" x14ac:dyDescent="0.25">
      <c r="B20" s="130">
        <f t="shared" si="6"/>
        <v>7</v>
      </c>
      <c r="C20" s="65"/>
      <c r="D20" s="163"/>
      <c r="E20" s="58"/>
      <c r="F20" s="59"/>
      <c r="G20" s="172">
        <f t="shared" si="0"/>
        <v>0</v>
      </c>
      <c r="H20" s="58"/>
      <c r="I20" s="59"/>
      <c r="J20" s="172">
        <f t="shared" si="1"/>
        <v>0</v>
      </c>
      <c r="K20" s="58"/>
      <c r="L20" s="59"/>
      <c r="M20" s="172">
        <f t="shared" si="2"/>
        <v>0</v>
      </c>
      <c r="N20" s="58"/>
      <c r="O20" s="59"/>
      <c r="P20" s="172">
        <f t="shared" si="3"/>
        <v>0</v>
      </c>
      <c r="Q20" s="58"/>
      <c r="R20" s="59"/>
      <c r="S20" s="172">
        <f t="shared" si="4"/>
        <v>0</v>
      </c>
      <c r="T20" s="58"/>
      <c r="U20" s="59"/>
      <c r="V20" s="172">
        <f t="shared" si="5"/>
        <v>0</v>
      </c>
    </row>
    <row r="21" spans="2:22" x14ac:dyDescent="0.25">
      <c r="B21" s="130">
        <f t="shared" si="6"/>
        <v>8</v>
      </c>
      <c r="C21" s="65"/>
      <c r="D21" s="163"/>
      <c r="E21" s="58"/>
      <c r="F21" s="59"/>
      <c r="G21" s="172">
        <f t="shared" si="0"/>
        <v>0</v>
      </c>
      <c r="H21" s="58"/>
      <c r="I21" s="59"/>
      <c r="J21" s="172">
        <f t="shared" si="1"/>
        <v>0</v>
      </c>
      <c r="K21" s="58"/>
      <c r="L21" s="59"/>
      <c r="M21" s="172">
        <f t="shared" si="2"/>
        <v>0</v>
      </c>
      <c r="N21" s="58"/>
      <c r="O21" s="59"/>
      <c r="P21" s="172">
        <f t="shared" si="3"/>
        <v>0</v>
      </c>
      <c r="Q21" s="58"/>
      <c r="R21" s="59"/>
      <c r="S21" s="172">
        <f t="shared" si="4"/>
        <v>0</v>
      </c>
      <c r="T21" s="58"/>
      <c r="U21" s="59"/>
      <c r="V21" s="172">
        <f t="shared" si="5"/>
        <v>0</v>
      </c>
    </row>
    <row r="22" spans="2:22" x14ac:dyDescent="0.25">
      <c r="B22" s="130">
        <f t="shared" si="6"/>
        <v>9</v>
      </c>
      <c r="C22" s="65"/>
      <c r="D22" s="163"/>
      <c r="E22" s="58"/>
      <c r="F22" s="59"/>
      <c r="G22" s="172">
        <f t="shared" si="0"/>
        <v>0</v>
      </c>
      <c r="H22" s="58"/>
      <c r="I22" s="59"/>
      <c r="J22" s="172">
        <f t="shared" si="1"/>
        <v>0</v>
      </c>
      <c r="K22" s="58"/>
      <c r="L22" s="59"/>
      <c r="M22" s="172">
        <f t="shared" si="2"/>
        <v>0</v>
      </c>
      <c r="N22" s="58"/>
      <c r="O22" s="59"/>
      <c r="P22" s="172">
        <f t="shared" si="3"/>
        <v>0</v>
      </c>
      <c r="Q22" s="58"/>
      <c r="R22" s="59"/>
      <c r="S22" s="172">
        <f t="shared" si="4"/>
        <v>0</v>
      </c>
      <c r="T22" s="58"/>
      <c r="U22" s="59"/>
      <c r="V22" s="172">
        <f t="shared" si="5"/>
        <v>0</v>
      </c>
    </row>
    <row r="23" spans="2:22" x14ac:dyDescent="0.25">
      <c r="B23" s="130">
        <f t="shared" si="6"/>
        <v>10</v>
      </c>
      <c r="C23" s="65"/>
      <c r="D23" s="163"/>
      <c r="E23" s="58"/>
      <c r="F23" s="59"/>
      <c r="G23" s="172">
        <f t="shared" si="0"/>
        <v>0</v>
      </c>
      <c r="H23" s="58"/>
      <c r="I23" s="59"/>
      <c r="J23" s="172">
        <f t="shared" si="1"/>
        <v>0</v>
      </c>
      <c r="K23" s="58"/>
      <c r="L23" s="59"/>
      <c r="M23" s="172">
        <f t="shared" si="2"/>
        <v>0</v>
      </c>
      <c r="N23" s="58"/>
      <c r="O23" s="59"/>
      <c r="P23" s="172">
        <f t="shared" si="3"/>
        <v>0</v>
      </c>
      <c r="Q23" s="58"/>
      <c r="R23" s="59"/>
      <c r="S23" s="172">
        <f t="shared" si="4"/>
        <v>0</v>
      </c>
      <c r="T23" s="58"/>
      <c r="U23" s="59"/>
      <c r="V23" s="172">
        <f t="shared" si="5"/>
        <v>0</v>
      </c>
    </row>
    <row r="24" spans="2:22" x14ac:dyDescent="0.25">
      <c r="B24" s="130">
        <f t="shared" si="6"/>
        <v>11</v>
      </c>
      <c r="C24" s="65"/>
      <c r="D24" s="163"/>
      <c r="E24" s="58"/>
      <c r="F24" s="59"/>
      <c r="G24" s="172">
        <f t="shared" si="0"/>
        <v>0</v>
      </c>
      <c r="H24" s="58"/>
      <c r="I24" s="59"/>
      <c r="J24" s="172">
        <f t="shared" si="1"/>
        <v>0</v>
      </c>
      <c r="K24" s="58"/>
      <c r="L24" s="59"/>
      <c r="M24" s="172">
        <f t="shared" si="2"/>
        <v>0</v>
      </c>
      <c r="N24" s="58"/>
      <c r="O24" s="59"/>
      <c r="P24" s="172">
        <f t="shared" si="3"/>
        <v>0</v>
      </c>
      <c r="Q24" s="58"/>
      <c r="R24" s="59"/>
      <c r="S24" s="172">
        <f t="shared" si="4"/>
        <v>0</v>
      </c>
      <c r="T24" s="58"/>
      <c r="U24" s="59"/>
      <c r="V24" s="172">
        <f t="shared" si="5"/>
        <v>0</v>
      </c>
    </row>
    <row r="25" spans="2:22" x14ac:dyDescent="0.25">
      <c r="B25" s="130">
        <f t="shared" si="6"/>
        <v>12</v>
      </c>
      <c r="C25" s="65"/>
      <c r="D25" s="163"/>
      <c r="E25" s="58"/>
      <c r="F25" s="59"/>
      <c r="G25" s="172">
        <f t="shared" si="0"/>
        <v>0</v>
      </c>
      <c r="H25" s="58"/>
      <c r="I25" s="59"/>
      <c r="J25" s="172">
        <f t="shared" si="1"/>
        <v>0</v>
      </c>
      <c r="K25" s="58"/>
      <c r="L25" s="59"/>
      <c r="M25" s="172">
        <f t="shared" si="2"/>
        <v>0</v>
      </c>
      <c r="N25" s="58"/>
      <c r="O25" s="59"/>
      <c r="P25" s="172">
        <f t="shared" si="3"/>
        <v>0</v>
      </c>
      <c r="Q25" s="58"/>
      <c r="R25" s="59"/>
      <c r="S25" s="172">
        <f t="shared" si="4"/>
        <v>0</v>
      </c>
      <c r="T25" s="58"/>
      <c r="U25" s="59"/>
      <c r="V25" s="172">
        <f t="shared" si="5"/>
        <v>0</v>
      </c>
    </row>
    <row r="26" spans="2:22" x14ac:dyDescent="0.25">
      <c r="B26" s="130">
        <f t="shared" si="6"/>
        <v>13</v>
      </c>
      <c r="C26" s="65"/>
      <c r="D26" s="163"/>
      <c r="E26" s="58"/>
      <c r="F26" s="59"/>
      <c r="G26" s="172">
        <f t="shared" si="0"/>
        <v>0</v>
      </c>
      <c r="H26" s="58"/>
      <c r="I26" s="59"/>
      <c r="J26" s="172">
        <f t="shared" si="1"/>
        <v>0</v>
      </c>
      <c r="K26" s="58"/>
      <c r="L26" s="59"/>
      <c r="M26" s="172">
        <f t="shared" si="2"/>
        <v>0</v>
      </c>
      <c r="N26" s="58"/>
      <c r="O26" s="59"/>
      <c r="P26" s="172">
        <f t="shared" si="3"/>
        <v>0</v>
      </c>
      <c r="Q26" s="58"/>
      <c r="R26" s="59"/>
      <c r="S26" s="172">
        <f t="shared" si="4"/>
        <v>0</v>
      </c>
      <c r="T26" s="58"/>
      <c r="U26" s="59"/>
      <c r="V26" s="172">
        <f t="shared" si="5"/>
        <v>0</v>
      </c>
    </row>
    <row r="27" spans="2:22" x14ac:dyDescent="0.25">
      <c r="B27" s="130">
        <f t="shared" si="6"/>
        <v>14</v>
      </c>
      <c r="C27" s="65"/>
      <c r="D27" s="163"/>
      <c r="E27" s="58"/>
      <c r="F27" s="59"/>
      <c r="G27" s="172">
        <f t="shared" si="0"/>
        <v>0</v>
      </c>
      <c r="H27" s="58"/>
      <c r="I27" s="59"/>
      <c r="J27" s="172">
        <f t="shared" si="1"/>
        <v>0</v>
      </c>
      <c r="K27" s="58"/>
      <c r="L27" s="59"/>
      <c r="M27" s="172">
        <f t="shared" si="2"/>
        <v>0</v>
      </c>
      <c r="N27" s="58"/>
      <c r="O27" s="59"/>
      <c r="P27" s="172">
        <f t="shared" si="3"/>
        <v>0</v>
      </c>
      <c r="Q27" s="58"/>
      <c r="R27" s="59"/>
      <c r="S27" s="172">
        <f t="shared" si="4"/>
        <v>0</v>
      </c>
      <c r="T27" s="58"/>
      <c r="U27" s="59"/>
      <c r="V27" s="172">
        <f t="shared" si="5"/>
        <v>0</v>
      </c>
    </row>
    <row r="28" spans="2:22" x14ac:dyDescent="0.25">
      <c r="B28" s="130">
        <f t="shared" si="6"/>
        <v>15</v>
      </c>
      <c r="C28" s="65"/>
      <c r="D28" s="163"/>
      <c r="E28" s="58"/>
      <c r="F28" s="59"/>
      <c r="G28" s="172">
        <f t="shared" si="0"/>
        <v>0</v>
      </c>
      <c r="H28" s="58"/>
      <c r="I28" s="59"/>
      <c r="J28" s="172">
        <f t="shared" si="1"/>
        <v>0</v>
      </c>
      <c r="K28" s="58"/>
      <c r="L28" s="59"/>
      <c r="M28" s="172">
        <f t="shared" si="2"/>
        <v>0</v>
      </c>
      <c r="N28" s="58"/>
      <c r="O28" s="59"/>
      <c r="P28" s="172">
        <f t="shared" si="3"/>
        <v>0</v>
      </c>
      <c r="Q28" s="58"/>
      <c r="R28" s="59"/>
      <c r="S28" s="172">
        <f t="shared" si="4"/>
        <v>0</v>
      </c>
      <c r="T28" s="58"/>
      <c r="U28" s="59"/>
      <c r="V28" s="172">
        <f t="shared" si="5"/>
        <v>0</v>
      </c>
    </row>
    <row r="29" spans="2:22" x14ac:dyDescent="0.25">
      <c r="B29" s="130">
        <f t="shared" si="6"/>
        <v>16</v>
      </c>
      <c r="C29" s="65"/>
      <c r="D29" s="163"/>
      <c r="E29" s="58"/>
      <c r="F29" s="59"/>
      <c r="G29" s="172">
        <f t="shared" si="0"/>
        <v>0</v>
      </c>
      <c r="H29" s="58"/>
      <c r="I29" s="59"/>
      <c r="J29" s="172">
        <f t="shared" si="1"/>
        <v>0</v>
      </c>
      <c r="K29" s="58"/>
      <c r="L29" s="59"/>
      <c r="M29" s="172">
        <f t="shared" si="2"/>
        <v>0</v>
      </c>
      <c r="N29" s="58"/>
      <c r="O29" s="59"/>
      <c r="P29" s="172">
        <f t="shared" si="3"/>
        <v>0</v>
      </c>
      <c r="Q29" s="58"/>
      <c r="R29" s="59"/>
      <c r="S29" s="172">
        <f t="shared" si="4"/>
        <v>0</v>
      </c>
      <c r="T29" s="58"/>
      <c r="U29" s="59"/>
      <c r="V29" s="172">
        <f t="shared" si="5"/>
        <v>0</v>
      </c>
    </row>
    <row r="30" spans="2:22" x14ac:dyDescent="0.25">
      <c r="B30" s="130">
        <f t="shared" si="6"/>
        <v>17</v>
      </c>
      <c r="C30" s="65"/>
      <c r="D30" s="163"/>
      <c r="E30" s="58"/>
      <c r="F30" s="59"/>
      <c r="G30" s="172">
        <f t="shared" si="0"/>
        <v>0</v>
      </c>
      <c r="H30" s="58"/>
      <c r="I30" s="59"/>
      <c r="J30" s="172">
        <f t="shared" si="1"/>
        <v>0</v>
      </c>
      <c r="K30" s="58"/>
      <c r="L30" s="59"/>
      <c r="M30" s="172">
        <f t="shared" si="2"/>
        <v>0</v>
      </c>
      <c r="N30" s="58"/>
      <c r="O30" s="59"/>
      <c r="P30" s="172">
        <f t="shared" si="3"/>
        <v>0</v>
      </c>
      <c r="Q30" s="58"/>
      <c r="R30" s="59"/>
      <c r="S30" s="172">
        <f t="shared" si="4"/>
        <v>0</v>
      </c>
      <c r="T30" s="58"/>
      <c r="U30" s="59"/>
      <c r="V30" s="172">
        <f t="shared" si="5"/>
        <v>0</v>
      </c>
    </row>
    <row r="31" spans="2:22" x14ac:dyDescent="0.25">
      <c r="B31" s="136">
        <f t="shared" si="6"/>
        <v>18</v>
      </c>
      <c r="C31" s="65"/>
      <c r="D31" s="163"/>
      <c r="E31" s="58"/>
      <c r="F31" s="59"/>
      <c r="G31" s="172">
        <f t="shared" si="0"/>
        <v>0</v>
      </c>
      <c r="H31" s="58"/>
      <c r="I31" s="59"/>
      <c r="J31" s="172">
        <f t="shared" si="1"/>
        <v>0</v>
      </c>
      <c r="K31" s="58"/>
      <c r="L31" s="59"/>
      <c r="M31" s="172">
        <f t="shared" si="2"/>
        <v>0</v>
      </c>
      <c r="N31" s="58"/>
      <c r="O31" s="59"/>
      <c r="P31" s="172">
        <f t="shared" si="3"/>
        <v>0</v>
      </c>
      <c r="Q31" s="58"/>
      <c r="R31" s="59"/>
      <c r="S31" s="172">
        <f t="shared" si="4"/>
        <v>0</v>
      </c>
      <c r="T31" s="58"/>
      <c r="U31" s="59"/>
      <c r="V31" s="172">
        <f t="shared" si="5"/>
        <v>0</v>
      </c>
    </row>
    <row r="32" spans="2:22" x14ac:dyDescent="0.25">
      <c r="B32" s="136">
        <f t="shared" si="6"/>
        <v>19</v>
      </c>
      <c r="C32" s="65"/>
      <c r="D32" s="164"/>
      <c r="E32" s="58"/>
      <c r="F32" s="59"/>
      <c r="G32" s="172">
        <f t="shared" si="0"/>
        <v>0</v>
      </c>
      <c r="H32" s="58"/>
      <c r="I32" s="59"/>
      <c r="J32" s="172">
        <f t="shared" si="1"/>
        <v>0</v>
      </c>
      <c r="K32" s="58"/>
      <c r="L32" s="59"/>
      <c r="M32" s="172">
        <f t="shared" si="2"/>
        <v>0</v>
      </c>
      <c r="N32" s="58"/>
      <c r="O32" s="59"/>
      <c r="P32" s="172">
        <f t="shared" si="3"/>
        <v>0</v>
      </c>
      <c r="Q32" s="58"/>
      <c r="R32" s="59"/>
      <c r="S32" s="172">
        <f t="shared" si="4"/>
        <v>0</v>
      </c>
      <c r="T32" s="58"/>
      <c r="U32" s="59"/>
      <c r="V32" s="172">
        <f t="shared" si="5"/>
        <v>0</v>
      </c>
    </row>
    <row r="33" spans="2:22" ht="14.5" thickBot="1" x14ac:dyDescent="0.3">
      <c r="B33" s="137">
        <f>B32+1</f>
        <v>20</v>
      </c>
      <c r="C33" s="65"/>
      <c r="D33" s="165"/>
      <c r="E33" s="158"/>
      <c r="F33" s="73"/>
      <c r="G33" s="173">
        <f t="shared" si="0"/>
        <v>0</v>
      </c>
      <c r="H33" s="158"/>
      <c r="I33" s="73"/>
      <c r="J33" s="173">
        <f t="shared" si="1"/>
        <v>0</v>
      </c>
      <c r="K33" s="158"/>
      <c r="L33" s="73"/>
      <c r="M33" s="173">
        <f t="shared" si="2"/>
        <v>0</v>
      </c>
      <c r="N33" s="158"/>
      <c r="O33" s="73"/>
      <c r="P33" s="173">
        <f t="shared" si="3"/>
        <v>0</v>
      </c>
      <c r="Q33" s="158"/>
      <c r="R33" s="73"/>
      <c r="S33" s="173">
        <f t="shared" si="4"/>
        <v>0</v>
      </c>
      <c r="T33" s="158"/>
      <c r="U33" s="73"/>
      <c r="V33" s="173">
        <f t="shared" si="5"/>
        <v>0</v>
      </c>
    </row>
    <row r="34" spans="2:22" ht="31.5" customHeight="1" thickBot="1" x14ac:dyDescent="0.3">
      <c r="C34" s="226" t="s">
        <v>130</v>
      </c>
      <c r="D34" s="227"/>
      <c r="E34" s="62">
        <f>SUM(E14:E33)</f>
        <v>0</v>
      </c>
      <c r="F34" s="159">
        <f>SUM(F14:F33)</f>
        <v>0</v>
      </c>
      <c r="G34" s="61">
        <f>E34+F34</f>
        <v>0</v>
      </c>
      <c r="H34" s="161">
        <f>SUM(H14:H33)</f>
        <v>0</v>
      </c>
      <c r="I34" s="159">
        <f t="shared" ref="I34:V34" si="7">SUM(I14:I33)</f>
        <v>0</v>
      </c>
      <c r="J34" s="160">
        <f t="shared" si="7"/>
        <v>0</v>
      </c>
      <c r="K34" s="62">
        <f t="shared" si="7"/>
        <v>0</v>
      </c>
      <c r="L34" s="159">
        <f t="shared" si="7"/>
        <v>0</v>
      </c>
      <c r="M34" s="61">
        <f t="shared" si="7"/>
        <v>0</v>
      </c>
      <c r="N34" s="161">
        <f t="shared" si="7"/>
        <v>0</v>
      </c>
      <c r="O34" s="159">
        <f t="shared" si="7"/>
        <v>0</v>
      </c>
      <c r="P34" s="160">
        <f t="shared" si="7"/>
        <v>0</v>
      </c>
      <c r="Q34" s="62">
        <f t="shared" si="7"/>
        <v>0</v>
      </c>
      <c r="R34" s="159">
        <f t="shared" si="7"/>
        <v>0</v>
      </c>
      <c r="S34" s="61">
        <f t="shared" si="7"/>
        <v>0</v>
      </c>
      <c r="T34" s="161">
        <f t="shared" si="7"/>
        <v>0</v>
      </c>
      <c r="U34" s="159">
        <f t="shared" si="7"/>
        <v>0</v>
      </c>
      <c r="V34" s="61">
        <f t="shared" si="7"/>
        <v>0</v>
      </c>
    </row>
    <row r="35" spans="2:22" ht="6" customHeight="1" x14ac:dyDescent="0.25"/>
  </sheetData>
  <sheetProtection insertRows="0"/>
  <protectedRanges>
    <protectedRange password="CC9E" sqref="A1:D6 A7:A10 E9:IU9 E11:IU12 A11:D11 C10:IU10 C8:IU8 F7:IU7 E1:IU2 A14:D65534 A12:A13 C12:D13 E14:IU65534 E13 G13:H13 J13:K13 M13:N13 P13:Q13 S13:T13 V13:IU13 E3:IU6" name="Rango1"/>
    <protectedRange password="CC9E" sqref="B8 B10" name="Rango1_2"/>
    <protectedRange password="CC9E" sqref="B9:C9" name="Rango1_1"/>
    <protectedRange password="CC9E" sqref="B12:B13" name="Rango1_4"/>
    <protectedRange password="CC9E" sqref="F13" name="Rango1_5"/>
    <protectedRange password="CC9E" sqref="I13" name="Rango1_6"/>
    <protectedRange password="CC9E" sqref="L13" name="Rango1_7"/>
    <protectedRange password="CC9E" sqref="R13" name="Rango1_9"/>
    <protectedRange password="CC9E" sqref="U13" name="Rango1_10"/>
    <protectedRange password="CC9E" sqref="B7:C7 E7" name="Rango1_3_1_1"/>
  </protectedRanges>
  <mergeCells count="13">
    <mergeCell ref="T12:V12"/>
    <mergeCell ref="B12:B13"/>
    <mergeCell ref="C12:C13"/>
    <mergeCell ref="E12:G12"/>
    <mergeCell ref="N12:P12"/>
    <mergeCell ref="Q12:S12"/>
    <mergeCell ref="E1:I1"/>
    <mergeCell ref="C34:D34"/>
    <mergeCell ref="H12:J12"/>
    <mergeCell ref="K12:M12"/>
    <mergeCell ref="D12:D13"/>
    <mergeCell ref="B7:D7"/>
    <mergeCell ref="B9:D9"/>
  </mergeCells>
  <phoneticPr fontId="2" type="noConversion"/>
  <pageMargins left="0.39370078740157483" right="0.39370078740157483" top="0.78740157480314965" bottom="0.78740157480314965" header="0" footer="0.39370078740157483"/>
  <pageSetup paperSize="9" scale="33" fitToHeight="0" orientation="landscape" r:id="rId1"/>
  <headerFooter alignWithMargins="0">
    <oddFooter xml:space="preserve">&amp;CP. &amp;P / &amp;N
</oddFooter>
  </headerFooter>
  <ignoredErrors>
    <ignoredError sqref="B33 B14:B32 E12:G12 I12:J12"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4"/>
  <sheetViews>
    <sheetView showGridLines="0" zoomScale="70" zoomScaleNormal="70" workbookViewId="0">
      <pane xSplit="3" ySplit="12" topLeftCell="D13" activePane="bottomRight" state="frozen"/>
      <selection activeCell="C5" sqref="C5:D5"/>
      <selection pane="topRight" activeCell="C5" sqref="C5:D5"/>
      <selection pane="bottomLeft" activeCell="C5" sqref="C5:D5"/>
      <selection pane="bottomRight" activeCell="C1" sqref="C1"/>
    </sheetView>
  </sheetViews>
  <sheetFormatPr baseColWidth="10" defaultColWidth="11.453125" defaultRowHeight="14" x14ac:dyDescent="0.25"/>
  <cols>
    <col min="1" max="1" width="1.6328125" style="16" customWidth="1"/>
    <col min="2" max="2" width="14.6328125" style="16" customWidth="1"/>
    <col min="3" max="3" width="95.6328125" style="16" customWidth="1"/>
    <col min="4" max="12" width="15.36328125" style="16" customWidth="1"/>
    <col min="13" max="13" width="15.08984375" style="16" customWidth="1"/>
    <col min="14" max="14" width="13.36328125" style="16" customWidth="1"/>
    <col min="15" max="15" width="13.453125" style="16" customWidth="1"/>
    <col min="16" max="16" width="14.90625" style="16" customWidth="1"/>
    <col min="17" max="17" width="14.453125" style="16" customWidth="1"/>
    <col min="18" max="18" width="13.453125" style="16" customWidth="1"/>
    <col min="19" max="21" width="13.54296875" style="16" customWidth="1"/>
    <col min="22" max="16384" width="11.453125" style="16"/>
  </cols>
  <sheetData>
    <row r="1" spans="2:21" ht="64.5" customHeight="1" x14ac:dyDescent="0.25">
      <c r="D1" s="219"/>
      <c r="E1" s="219"/>
      <c r="F1" s="219"/>
      <c r="G1" s="219"/>
      <c r="H1" s="219"/>
      <c r="I1" s="219"/>
      <c r="J1" s="12"/>
      <c r="K1" s="12"/>
      <c r="L1" s="12"/>
    </row>
    <row r="4" spans="2:21" x14ac:dyDescent="0.25">
      <c r="B4" s="93" t="s">
        <v>82</v>
      </c>
    </row>
    <row r="6" spans="2:21" ht="43.75" customHeight="1" x14ac:dyDescent="0.25">
      <c r="B6" s="215" t="s">
        <v>150</v>
      </c>
      <c r="C6" s="215"/>
      <c r="D6" s="190"/>
      <c r="E6" s="190"/>
    </row>
    <row r="7" spans="2:21" x14ac:dyDescent="0.25">
      <c r="C7" s="167"/>
      <c r="D7" s="88"/>
    </row>
    <row r="8" spans="2:21" ht="30" customHeight="1" x14ac:dyDescent="0.25">
      <c r="B8" s="215" t="s">
        <v>131</v>
      </c>
      <c r="C8" s="215"/>
      <c r="D8" s="88"/>
    </row>
    <row r="9" spans="2:21" x14ac:dyDescent="0.25">
      <c r="C9" s="167"/>
      <c r="D9" s="88"/>
    </row>
    <row r="10" spans="2:21" ht="6" customHeight="1" thickBot="1" x14ac:dyDescent="0.3"/>
    <row r="11" spans="2:21" ht="15.75" customHeight="1" thickBot="1" x14ac:dyDescent="0.3">
      <c r="B11" s="211" t="s">
        <v>80</v>
      </c>
      <c r="C11" s="228" t="s">
        <v>142</v>
      </c>
      <c r="D11" s="216">
        <f>Personal!F13</f>
        <v>2024</v>
      </c>
      <c r="E11" s="217"/>
      <c r="F11" s="218"/>
      <c r="G11" s="216">
        <f>D11+1</f>
        <v>2025</v>
      </c>
      <c r="H11" s="217"/>
      <c r="I11" s="218"/>
      <c r="J11" s="216">
        <f>G11+1</f>
        <v>2026</v>
      </c>
      <c r="K11" s="217"/>
      <c r="L11" s="218"/>
      <c r="M11" s="216">
        <f>J11+1</f>
        <v>2027</v>
      </c>
      <c r="N11" s="217"/>
      <c r="O11" s="218"/>
      <c r="P11" s="216">
        <f>M11+1</f>
        <v>2028</v>
      </c>
      <c r="Q11" s="217"/>
      <c r="R11" s="218"/>
      <c r="S11" s="216">
        <f>P11+1</f>
        <v>2029</v>
      </c>
      <c r="T11" s="217"/>
      <c r="U11" s="218"/>
    </row>
    <row r="12" spans="2:21" s="56" customFormat="1" ht="57.65" customHeight="1" thickBot="1" x14ac:dyDescent="0.3">
      <c r="B12" s="212" t="s">
        <v>1</v>
      </c>
      <c r="C12" s="229"/>
      <c r="D12" s="138" t="s">
        <v>6</v>
      </c>
      <c r="E12" s="139" t="s">
        <v>139</v>
      </c>
      <c r="F12" s="140" t="s">
        <v>4</v>
      </c>
      <c r="G12" s="138" t="s">
        <v>6</v>
      </c>
      <c r="H12" s="139" t="s">
        <v>139</v>
      </c>
      <c r="I12" s="140" t="s">
        <v>4</v>
      </c>
      <c r="J12" s="138" t="s">
        <v>6</v>
      </c>
      <c r="K12" s="139" t="s">
        <v>139</v>
      </c>
      <c r="L12" s="140" t="s">
        <v>4</v>
      </c>
      <c r="M12" s="138" t="s">
        <v>6</v>
      </c>
      <c r="N12" s="139" t="s">
        <v>139</v>
      </c>
      <c r="O12" s="140" t="s">
        <v>4</v>
      </c>
      <c r="P12" s="138" t="s">
        <v>6</v>
      </c>
      <c r="Q12" s="139" t="s">
        <v>139</v>
      </c>
      <c r="R12" s="140" t="s">
        <v>4</v>
      </c>
      <c r="S12" s="138" t="s">
        <v>6</v>
      </c>
      <c r="T12" s="139" t="s">
        <v>139</v>
      </c>
      <c r="U12" s="140" t="s">
        <v>4</v>
      </c>
    </row>
    <row r="13" spans="2:21" ht="15.75" customHeight="1" x14ac:dyDescent="0.25">
      <c r="B13" s="129">
        <v>1</v>
      </c>
      <c r="C13" s="57"/>
      <c r="D13" s="58"/>
      <c r="E13" s="59"/>
      <c r="F13" s="172">
        <f>SUM(D13:E13)</f>
        <v>0</v>
      </c>
      <c r="G13" s="58"/>
      <c r="H13" s="59"/>
      <c r="I13" s="172">
        <f>SUM(G13:H13)</f>
        <v>0</v>
      </c>
      <c r="J13" s="58"/>
      <c r="K13" s="59"/>
      <c r="L13" s="172">
        <f>SUM(J13:K13)</f>
        <v>0</v>
      </c>
      <c r="M13" s="58"/>
      <c r="N13" s="59"/>
      <c r="O13" s="172">
        <f>SUM(M13:N13)</f>
        <v>0</v>
      </c>
      <c r="P13" s="58"/>
      <c r="Q13" s="59"/>
      <c r="R13" s="172">
        <f>SUM(P13:Q13)</f>
        <v>0</v>
      </c>
      <c r="S13" s="58"/>
      <c r="T13" s="59"/>
      <c r="U13" s="172">
        <f>SUM(S13:T13)</f>
        <v>0</v>
      </c>
    </row>
    <row r="14" spans="2:21" ht="15.75" customHeight="1" x14ac:dyDescent="0.25">
      <c r="B14" s="130">
        <f>B13+1</f>
        <v>2</v>
      </c>
      <c r="C14" s="60"/>
      <c r="D14" s="58"/>
      <c r="E14" s="59"/>
      <c r="F14" s="172">
        <f t="shared" ref="F14:F32" si="0">SUM(D14:E14)</f>
        <v>0</v>
      </c>
      <c r="G14" s="58"/>
      <c r="H14" s="59"/>
      <c r="I14" s="172">
        <f t="shared" ref="I14:I32" si="1">SUM(G14:H14)</f>
        <v>0</v>
      </c>
      <c r="J14" s="58"/>
      <c r="K14" s="59"/>
      <c r="L14" s="172">
        <f t="shared" ref="L14:L32" si="2">SUM(J14:K14)</f>
        <v>0</v>
      </c>
      <c r="M14" s="58"/>
      <c r="N14" s="59"/>
      <c r="O14" s="172">
        <f t="shared" ref="O14:O32" si="3">SUM(M14:N14)</f>
        <v>0</v>
      </c>
      <c r="P14" s="58"/>
      <c r="Q14" s="59"/>
      <c r="R14" s="172">
        <f t="shared" ref="R14:R32" si="4">SUM(P14:Q14)</f>
        <v>0</v>
      </c>
      <c r="S14" s="58"/>
      <c r="T14" s="59"/>
      <c r="U14" s="172">
        <f t="shared" ref="U14:U32" si="5">SUM(S14:T14)</f>
        <v>0</v>
      </c>
    </row>
    <row r="15" spans="2:21" ht="15.75" customHeight="1" x14ac:dyDescent="0.25">
      <c r="B15" s="130">
        <f t="shared" ref="B15:B31" si="6">B14+1</f>
        <v>3</v>
      </c>
      <c r="C15" s="60"/>
      <c r="D15" s="58"/>
      <c r="E15" s="59"/>
      <c r="F15" s="172">
        <f t="shared" si="0"/>
        <v>0</v>
      </c>
      <c r="G15" s="58"/>
      <c r="H15" s="59"/>
      <c r="I15" s="172">
        <f t="shared" si="1"/>
        <v>0</v>
      </c>
      <c r="J15" s="58"/>
      <c r="K15" s="59"/>
      <c r="L15" s="172">
        <f t="shared" si="2"/>
        <v>0</v>
      </c>
      <c r="M15" s="58"/>
      <c r="N15" s="59"/>
      <c r="O15" s="172">
        <f t="shared" si="3"/>
        <v>0</v>
      </c>
      <c r="P15" s="58"/>
      <c r="Q15" s="59"/>
      <c r="R15" s="172">
        <f t="shared" si="4"/>
        <v>0</v>
      </c>
      <c r="S15" s="58"/>
      <c r="T15" s="59"/>
      <c r="U15" s="172">
        <f t="shared" si="5"/>
        <v>0</v>
      </c>
    </row>
    <row r="16" spans="2:21" ht="15.75" customHeight="1" x14ac:dyDescent="0.25">
      <c r="B16" s="130">
        <f t="shared" si="6"/>
        <v>4</v>
      </c>
      <c r="C16" s="60"/>
      <c r="D16" s="58"/>
      <c r="E16" s="59"/>
      <c r="F16" s="172">
        <f t="shared" si="0"/>
        <v>0</v>
      </c>
      <c r="G16" s="58"/>
      <c r="H16" s="59"/>
      <c r="I16" s="172">
        <f t="shared" si="1"/>
        <v>0</v>
      </c>
      <c r="J16" s="58"/>
      <c r="K16" s="59"/>
      <c r="L16" s="172">
        <f t="shared" si="2"/>
        <v>0</v>
      </c>
      <c r="M16" s="58"/>
      <c r="N16" s="59"/>
      <c r="O16" s="172">
        <f t="shared" si="3"/>
        <v>0</v>
      </c>
      <c r="P16" s="58"/>
      <c r="Q16" s="59"/>
      <c r="R16" s="172">
        <f t="shared" si="4"/>
        <v>0</v>
      </c>
      <c r="S16" s="58"/>
      <c r="T16" s="59"/>
      <c r="U16" s="172">
        <f t="shared" si="5"/>
        <v>0</v>
      </c>
    </row>
    <row r="17" spans="2:21" ht="15.75" customHeight="1" x14ac:dyDescent="0.25">
      <c r="B17" s="130">
        <f t="shared" si="6"/>
        <v>5</v>
      </c>
      <c r="C17" s="60"/>
      <c r="D17" s="58"/>
      <c r="E17" s="59"/>
      <c r="F17" s="172">
        <f t="shared" si="0"/>
        <v>0</v>
      </c>
      <c r="G17" s="58"/>
      <c r="H17" s="59"/>
      <c r="I17" s="172">
        <f t="shared" si="1"/>
        <v>0</v>
      </c>
      <c r="J17" s="58"/>
      <c r="K17" s="59"/>
      <c r="L17" s="172">
        <f t="shared" si="2"/>
        <v>0</v>
      </c>
      <c r="M17" s="58"/>
      <c r="N17" s="59"/>
      <c r="O17" s="172">
        <f t="shared" si="3"/>
        <v>0</v>
      </c>
      <c r="P17" s="58"/>
      <c r="Q17" s="59"/>
      <c r="R17" s="172">
        <f t="shared" si="4"/>
        <v>0</v>
      </c>
      <c r="S17" s="58"/>
      <c r="T17" s="59"/>
      <c r="U17" s="172">
        <f t="shared" si="5"/>
        <v>0</v>
      </c>
    </row>
    <row r="18" spans="2:21" ht="15.75" customHeight="1" x14ac:dyDescent="0.25">
      <c r="B18" s="130">
        <f t="shared" si="6"/>
        <v>6</v>
      </c>
      <c r="C18" s="60"/>
      <c r="D18" s="58"/>
      <c r="E18" s="59"/>
      <c r="F18" s="172">
        <f t="shared" si="0"/>
        <v>0</v>
      </c>
      <c r="G18" s="58"/>
      <c r="H18" s="59"/>
      <c r="I18" s="172">
        <f t="shared" si="1"/>
        <v>0</v>
      </c>
      <c r="J18" s="58"/>
      <c r="K18" s="59"/>
      <c r="L18" s="172">
        <f t="shared" si="2"/>
        <v>0</v>
      </c>
      <c r="M18" s="58"/>
      <c r="N18" s="59"/>
      <c r="O18" s="172">
        <f t="shared" si="3"/>
        <v>0</v>
      </c>
      <c r="P18" s="58"/>
      <c r="Q18" s="59"/>
      <c r="R18" s="172">
        <f t="shared" si="4"/>
        <v>0</v>
      </c>
      <c r="S18" s="58"/>
      <c r="T18" s="59"/>
      <c r="U18" s="172">
        <f t="shared" si="5"/>
        <v>0</v>
      </c>
    </row>
    <row r="19" spans="2:21" ht="15.75" customHeight="1" x14ac:dyDescent="0.25">
      <c r="B19" s="130">
        <f t="shared" si="6"/>
        <v>7</v>
      </c>
      <c r="C19" s="60"/>
      <c r="D19" s="58"/>
      <c r="E19" s="59"/>
      <c r="F19" s="172">
        <f t="shared" si="0"/>
        <v>0</v>
      </c>
      <c r="G19" s="58"/>
      <c r="H19" s="59"/>
      <c r="I19" s="172">
        <f t="shared" si="1"/>
        <v>0</v>
      </c>
      <c r="J19" s="58"/>
      <c r="K19" s="59"/>
      <c r="L19" s="172">
        <f t="shared" si="2"/>
        <v>0</v>
      </c>
      <c r="M19" s="58"/>
      <c r="N19" s="59"/>
      <c r="O19" s="172">
        <f t="shared" si="3"/>
        <v>0</v>
      </c>
      <c r="P19" s="58"/>
      <c r="Q19" s="59"/>
      <c r="R19" s="172">
        <f t="shared" si="4"/>
        <v>0</v>
      </c>
      <c r="S19" s="58"/>
      <c r="T19" s="59"/>
      <c r="U19" s="172">
        <f t="shared" si="5"/>
        <v>0</v>
      </c>
    </row>
    <row r="20" spans="2:21" ht="15.75" customHeight="1" x14ac:dyDescent="0.25">
      <c r="B20" s="130">
        <f t="shared" si="6"/>
        <v>8</v>
      </c>
      <c r="C20" s="60"/>
      <c r="D20" s="58"/>
      <c r="E20" s="59"/>
      <c r="F20" s="172">
        <f t="shared" si="0"/>
        <v>0</v>
      </c>
      <c r="G20" s="58"/>
      <c r="H20" s="59"/>
      <c r="I20" s="172">
        <f t="shared" si="1"/>
        <v>0</v>
      </c>
      <c r="J20" s="58"/>
      <c r="K20" s="59"/>
      <c r="L20" s="172">
        <f t="shared" si="2"/>
        <v>0</v>
      </c>
      <c r="M20" s="58"/>
      <c r="N20" s="59"/>
      <c r="O20" s="172">
        <f t="shared" si="3"/>
        <v>0</v>
      </c>
      <c r="P20" s="58"/>
      <c r="Q20" s="59"/>
      <c r="R20" s="172">
        <f t="shared" si="4"/>
        <v>0</v>
      </c>
      <c r="S20" s="58"/>
      <c r="T20" s="59"/>
      <c r="U20" s="172">
        <f t="shared" si="5"/>
        <v>0</v>
      </c>
    </row>
    <row r="21" spans="2:21" ht="15.75" customHeight="1" x14ac:dyDescent="0.25">
      <c r="B21" s="130">
        <f t="shared" si="6"/>
        <v>9</v>
      </c>
      <c r="C21" s="60"/>
      <c r="D21" s="58"/>
      <c r="E21" s="59"/>
      <c r="F21" s="172">
        <f t="shared" si="0"/>
        <v>0</v>
      </c>
      <c r="G21" s="58"/>
      <c r="H21" s="59"/>
      <c r="I21" s="172">
        <f t="shared" si="1"/>
        <v>0</v>
      </c>
      <c r="J21" s="58"/>
      <c r="K21" s="59"/>
      <c r="L21" s="172">
        <f t="shared" si="2"/>
        <v>0</v>
      </c>
      <c r="M21" s="58"/>
      <c r="N21" s="59"/>
      <c r="O21" s="172">
        <f t="shared" si="3"/>
        <v>0</v>
      </c>
      <c r="P21" s="58"/>
      <c r="Q21" s="59"/>
      <c r="R21" s="172">
        <f t="shared" si="4"/>
        <v>0</v>
      </c>
      <c r="S21" s="58"/>
      <c r="T21" s="59"/>
      <c r="U21" s="172">
        <f t="shared" si="5"/>
        <v>0</v>
      </c>
    </row>
    <row r="22" spans="2:21" ht="15.75" customHeight="1" x14ac:dyDescent="0.25">
      <c r="B22" s="130">
        <f t="shared" si="6"/>
        <v>10</v>
      </c>
      <c r="C22" s="60"/>
      <c r="D22" s="58"/>
      <c r="E22" s="59"/>
      <c r="F22" s="172">
        <f t="shared" si="0"/>
        <v>0</v>
      </c>
      <c r="G22" s="58"/>
      <c r="H22" s="59"/>
      <c r="I22" s="172">
        <f t="shared" si="1"/>
        <v>0</v>
      </c>
      <c r="J22" s="58"/>
      <c r="K22" s="59"/>
      <c r="L22" s="172">
        <f t="shared" si="2"/>
        <v>0</v>
      </c>
      <c r="M22" s="58"/>
      <c r="N22" s="59"/>
      <c r="O22" s="172">
        <f t="shared" si="3"/>
        <v>0</v>
      </c>
      <c r="P22" s="58"/>
      <c r="Q22" s="59"/>
      <c r="R22" s="172">
        <f t="shared" si="4"/>
        <v>0</v>
      </c>
      <c r="S22" s="58"/>
      <c r="T22" s="59"/>
      <c r="U22" s="172">
        <f t="shared" si="5"/>
        <v>0</v>
      </c>
    </row>
    <row r="23" spans="2:21" ht="15.75" customHeight="1" x14ac:dyDescent="0.25">
      <c r="B23" s="130">
        <f t="shared" si="6"/>
        <v>11</v>
      </c>
      <c r="C23" s="60"/>
      <c r="D23" s="58"/>
      <c r="E23" s="59"/>
      <c r="F23" s="172">
        <f t="shared" si="0"/>
        <v>0</v>
      </c>
      <c r="G23" s="58"/>
      <c r="H23" s="59"/>
      <c r="I23" s="172">
        <f t="shared" si="1"/>
        <v>0</v>
      </c>
      <c r="J23" s="58"/>
      <c r="K23" s="59"/>
      <c r="L23" s="172">
        <f t="shared" si="2"/>
        <v>0</v>
      </c>
      <c r="M23" s="58"/>
      <c r="N23" s="59"/>
      <c r="O23" s="172">
        <f t="shared" si="3"/>
        <v>0</v>
      </c>
      <c r="P23" s="58"/>
      <c r="Q23" s="59"/>
      <c r="R23" s="172">
        <f t="shared" si="4"/>
        <v>0</v>
      </c>
      <c r="S23" s="58"/>
      <c r="T23" s="59"/>
      <c r="U23" s="172">
        <f t="shared" si="5"/>
        <v>0</v>
      </c>
    </row>
    <row r="24" spans="2:21" ht="15.75" customHeight="1" x14ac:dyDescent="0.25">
      <c r="B24" s="130">
        <f t="shared" si="6"/>
        <v>12</v>
      </c>
      <c r="C24" s="60"/>
      <c r="D24" s="58"/>
      <c r="E24" s="59"/>
      <c r="F24" s="172">
        <f t="shared" si="0"/>
        <v>0</v>
      </c>
      <c r="G24" s="58"/>
      <c r="H24" s="59"/>
      <c r="I24" s="172">
        <f t="shared" si="1"/>
        <v>0</v>
      </c>
      <c r="J24" s="58"/>
      <c r="K24" s="59"/>
      <c r="L24" s="172">
        <f t="shared" si="2"/>
        <v>0</v>
      </c>
      <c r="M24" s="58"/>
      <c r="N24" s="59"/>
      <c r="O24" s="172">
        <f t="shared" si="3"/>
        <v>0</v>
      </c>
      <c r="P24" s="58"/>
      <c r="Q24" s="59"/>
      <c r="R24" s="172">
        <f t="shared" si="4"/>
        <v>0</v>
      </c>
      <c r="S24" s="58"/>
      <c r="T24" s="59"/>
      <c r="U24" s="172">
        <f t="shared" si="5"/>
        <v>0</v>
      </c>
    </row>
    <row r="25" spans="2:21" ht="15.75" customHeight="1" x14ac:dyDescent="0.25">
      <c r="B25" s="130">
        <f t="shared" si="6"/>
        <v>13</v>
      </c>
      <c r="C25" s="60"/>
      <c r="D25" s="58"/>
      <c r="E25" s="59"/>
      <c r="F25" s="172">
        <f t="shared" si="0"/>
        <v>0</v>
      </c>
      <c r="G25" s="58"/>
      <c r="H25" s="59"/>
      <c r="I25" s="172">
        <f t="shared" si="1"/>
        <v>0</v>
      </c>
      <c r="J25" s="58"/>
      <c r="K25" s="59"/>
      <c r="L25" s="172">
        <f t="shared" si="2"/>
        <v>0</v>
      </c>
      <c r="M25" s="58"/>
      <c r="N25" s="59"/>
      <c r="O25" s="172">
        <f t="shared" si="3"/>
        <v>0</v>
      </c>
      <c r="P25" s="58"/>
      <c r="Q25" s="59"/>
      <c r="R25" s="172">
        <f t="shared" si="4"/>
        <v>0</v>
      </c>
      <c r="S25" s="58"/>
      <c r="T25" s="59"/>
      <c r="U25" s="172">
        <f t="shared" si="5"/>
        <v>0</v>
      </c>
    </row>
    <row r="26" spans="2:21" ht="15.75" customHeight="1" x14ac:dyDescent="0.25">
      <c r="B26" s="130">
        <f t="shared" si="6"/>
        <v>14</v>
      </c>
      <c r="C26" s="60"/>
      <c r="D26" s="58"/>
      <c r="E26" s="59"/>
      <c r="F26" s="172">
        <f t="shared" si="0"/>
        <v>0</v>
      </c>
      <c r="G26" s="58"/>
      <c r="H26" s="59"/>
      <c r="I26" s="172">
        <f t="shared" si="1"/>
        <v>0</v>
      </c>
      <c r="J26" s="58"/>
      <c r="K26" s="59"/>
      <c r="L26" s="172">
        <f t="shared" si="2"/>
        <v>0</v>
      </c>
      <c r="M26" s="58"/>
      <c r="N26" s="59"/>
      <c r="O26" s="172">
        <f t="shared" si="3"/>
        <v>0</v>
      </c>
      <c r="P26" s="58"/>
      <c r="Q26" s="59"/>
      <c r="R26" s="172">
        <f t="shared" si="4"/>
        <v>0</v>
      </c>
      <c r="S26" s="58"/>
      <c r="T26" s="59"/>
      <c r="U26" s="172">
        <f t="shared" si="5"/>
        <v>0</v>
      </c>
    </row>
    <row r="27" spans="2:21" ht="15.75" customHeight="1" x14ac:dyDescent="0.25">
      <c r="B27" s="130">
        <f t="shared" si="6"/>
        <v>15</v>
      </c>
      <c r="C27" s="60"/>
      <c r="D27" s="58"/>
      <c r="E27" s="59"/>
      <c r="F27" s="172">
        <f t="shared" si="0"/>
        <v>0</v>
      </c>
      <c r="G27" s="58"/>
      <c r="H27" s="59"/>
      <c r="I27" s="172">
        <f t="shared" si="1"/>
        <v>0</v>
      </c>
      <c r="J27" s="58"/>
      <c r="K27" s="59"/>
      <c r="L27" s="172">
        <f t="shared" si="2"/>
        <v>0</v>
      </c>
      <c r="M27" s="58"/>
      <c r="N27" s="59"/>
      <c r="O27" s="172">
        <f t="shared" si="3"/>
        <v>0</v>
      </c>
      <c r="P27" s="58"/>
      <c r="Q27" s="59"/>
      <c r="R27" s="172">
        <f t="shared" si="4"/>
        <v>0</v>
      </c>
      <c r="S27" s="58"/>
      <c r="T27" s="59"/>
      <c r="U27" s="172">
        <f t="shared" si="5"/>
        <v>0</v>
      </c>
    </row>
    <row r="28" spans="2:21" ht="15.75" customHeight="1" x14ac:dyDescent="0.25">
      <c r="B28" s="130">
        <f t="shared" si="6"/>
        <v>16</v>
      </c>
      <c r="C28" s="60"/>
      <c r="D28" s="58"/>
      <c r="E28" s="59"/>
      <c r="F28" s="172">
        <f t="shared" si="0"/>
        <v>0</v>
      </c>
      <c r="G28" s="58"/>
      <c r="H28" s="59"/>
      <c r="I28" s="172">
        <f t="shared" si="1"/>
        <v>0</v>
      </c>
      <c r="J28" s="58"/>
      <c r="K28" s="59"/>
      <c r="L28" s="172">
        <f t="shared" si="2"/>
        <v>0</v>
      </c>
      <c r="M28" s="58"/>
      <c r="N28" s="59"/>
      <c r="O28" s="172">
        <f t="shared" si="3"/>
        <v>0</v>
      </c>
      <c r="P28" s="58"/>
      <c r="Q28" s="59"/>
      <c r="R28" s="172">
        <f t="shared" si="4"/>
        <v>0</v>
      </c>
      <c r="S28" s="58"/>
      <c r="T28" s="59"/>
      <c r="U28" s="172">
        <f t="shared" si="5"/>
        <v>0</v>
      </c>
    </row>
    <row r="29" spans="2:21" ht="15.75" customHeight="1" x14ac:dyDescent="0.25">
      <c r="B29" s="130">
        <f t="shared" si="6"/>
        <v>17</v>
      </c>
      <c r="C29" s="60"/>
      <c r="D29" s="58"/>
      <c r="E29" s="59"/>
      <c r="F29" s="172">
        <f t="shared" si="0"/>
        <v>0</v>
      </c>
      <c r="G29" s="58"/>
      <c r="H29" s="59"/>
      <c r="I29" s="172">
        <f t="shared" si="1"/>
        <v>0</v>
      </c>
      <c r="J29" s="58"/>
      <c r="K29" s="59"/>
      <c r="L29" s="172">
        <f t="shared" si="2"/>
        <v>0</v>
      </c>
      <c r="M29" s="58"/>
      <c r="N29" s="59"/>
      <c r="O29" s="172">
        <f t="shared" si="3"/>
        <v>0</v>
      </c>
      <c r="P29" s="58"/>
      <c r="Q29" s="59"/>
      <c r="R29" s="172">
        <f t="shared" si="4"/>
        <v>0</v>
      </c>
      <c r="S29" s="58"/>
      <c r="T29" s="59"/>
      <c r="U29" s="172">
        <f t="shared" si="5"/>
        <v>0</v>
      </c>
    </row>
    <row r="30" spans="2:21" ht="15.75" customHeight="1" x14ac:dyDescent="0.25">
      <c r="B30" s="136">
        <f t="shared" si="6"/>
        <v>18</v>
      </c>
      <c r="C30" s="60"/>
      <c r="D30" s="58"/>
      <c r="E30" s="59"/>
      <c r="F30" s="172">
        <f t="shared" si="0"/>
        <v>0</v>
      </c>
      <c r="G30" s="58"/>
      <c r="H30" s="59"/>
      <c r="I30" s="172">
        <f t="shared" si="1"/>
        <v>0</v>
      </c>
      <c r="J30" s="58"/>
      <c r="K30" s="59"/>
      <c r="L30" s="172">
        <f t="shared" si="2"/>
        <v>0</v>
      </c>
      <c r="M30" s="58"/>
      <c r="N30" s="59"/>
      <c r="O30" s="172">
        <f t="shared" si="3"/>
        <v>0</v>
      </c>
      <c r="P30" s="58"/>
      <c r="Q30" s="59"/>
      <c r="R30" s="172">
        <f t="shared" si="4"/>
        <v>0</v>
      </c>
      <c r="S30" s="58"/>
      <c r="T30" s="59"/>
      <c r="U30" s="172">
        <f t="shared" si="5"/>
        <v>0</v>
      </c>
    </row>
    <row r="31" spans="2:21" ht="15" customHeight="1" x14ac:dyDescent="0.25">
      <c r="B31" s="136">
        <f t="shared" si="6"/>
        <v>19</v>
      </c>
      <c r="C31" s="60"/>
      <c r="D31" s="58"/>
      <c r="E31" s="59"/>
      <c r="F31" s="172">
        <f t="shared" si="0"/>
        <v>0</v>
      </c>
      <c r="G31" s="58"/>
      <c r="H31" s="59"/>
      <c r="I31" s="172">
        <f t="shared" si="1"/>
        <v>0</v>
      </c>
      <c r="J31" s="58"/>
      <c r="K31" s="59"/>
      <c r="L31" s="172">
        <f t="shared" si="2"/>
        <v>0</v>
      </c>
      <c r="M31" s="58"/>
      <c r="N31" s="59"/>
      <c r="O31" s="172">
        <f t="shared" si="3"/>
        <v>0</v>
      </c>
      <c r="P31" s="58"/>
      <c r="Q31" s="59"/>
      <c r="R31" s="172">
        <f t="shared" si="4"/>
        <v>0</v>
      </c>
      <c r="S31" s="58"/>
      <c r="T31" s="59"/>
      <c r="U31" s="172">
        <f t="shared" si="5"/>
        <v>0</v>
      </c>
    </row>
    <row r="32" spans="2:21" ht="14.5" thickBot="1" x14ac:dyDescent="0.3">
      <c r="B32" s="137">
        <f>B31+1</f>
        <v>20</v>
      </c>
      <c r="C32" s="60"/>
      <c r="D32" s="58"/>
      <c r="E32" s="59"/>
      <c r="F32" s="172">
        <f t="shared" si="0"/>
        <v>0</v>
      </c>
      <c r="G32" s="58"/>
      <c r="H32" s="59"/>
      <c r="I32" s="172">
        <f t="shared" si="1"/>
        <v>0</v>
      </c>
      <c r="J32" s="58"/>
      <c r="K32" s="59"/>
      <c r="L32" s="172">
        <f t="shared" si="2"/>
        <v>0</v>
      </c>
      <c r="M32" s="58"/>
      <c r="N32" s="59"/>
      <c r="O32" s="172">
        <f t="shared" si="3"/>
        <v>0</v>
      </c>
      <c r="P32" s="58"/>
      <c r="Q32" s="59"/>
      <c r="R32" s="172">
        <f t="shared" si="4"/>
        <v>0</v>
      </c>
      <c r="S32" s="58"/>
      <c r="T32" s="59"/>
      <c r="U32" s="172">
        <f t="shared" si="5"/>
        <v>0</v>
      </c>
    </row>
    <row r="33" spans="1:21" ht="31.5" customHeight="1" thickBot="1" x14ac:dyDescent="0.3">
      <c r="C33" s="166" t="s">
        <v>2</v>
      </c>
      <c r="D33" s="53">
        <f>SUM(D13:D32)</f>
        <v>0</v>
      </c>
      <c r="E33" s="54">
        <f>SUM(E13:E32)</f>
        <v>0</v>
      </c>
      <c r="F33" s="55">
        <f>D33+E33</f>
        <v>0</v>
      </c>
      <c r="G33" s="53">
        <f>SUM(G13:G32)</f>
        <v>0</v>
      </c>
      <c r="H33" s="54">
        <f>SUM(H13:H32)</f>
        <v>0</v>
      </c>
      <c r="I33" s="55">
        <f>G33+H33</f>
        <v>0</v>
      </c>
      <c r="J33" s="53">
        <f>SUM(J13:J32)</f>
        <v>0</v>
      </c>
      <c r="K33" s="54">
        <f>SUM(K13:K32)</f>
        <v>0</v>
      </c>
      <c r="L33" s="55">
        <f>J33+K33</f>
        <v>0</v>
      </c>
      <c r="M33" s="53">
        <f>SUM(M13:M32)</f>
        <v>0</v>
      </c>
      <c r="N33" s="54">
        <f>SUM(N13:N32)</f>
        <v>0</v>
      </c>
      <c r="O33" s="55">
        <f>M33+N33</f>
        <v>0</v>
      </c>
      <c r="P33" s="53">
        <f>SUM(P13:P32)</f>
        <v>0</v>
      </c>
      <c r="Q33" s="54">
        <f>SUM(Q13:Q32)</f>
        <v>0</v>
      </c>
      <c r="R33" s="55">
        <f>P33+Q33</f>
        <v>0</v>
      </c>
      <c r="S33" s="53">
        <f>SUM(S13:S32)</f>
        <v>0</v>
      </c>
      <c r="T33" s="54">
        <f>SUM(T13:T32)</f>
        <v>0</v>
      </c>
      <c r="U33" s="55">
        <f>S33+T33</f>
        <v>0</v>
      </c>
    </row>
    <row r="34" spans="1:21" ht="6" customHeight="1" x14ac:dyDescent="0.25">
      <c r="A34" s="22"/>
      <c r="B34" s="22"/>
      <c r="C34" s="22"/>
      <c r="D34" s="22"/>
      <c r="E34" s="22"/>
      <c r="F34" s="22"/>
      <c r="G34" s="22"/>
      <c r="H34" s="22"/>
      <c r="I34" s="22"/>
      <c r="J34" s="22"/>
      <c r="K34" s="22"/>
      <c r="L34" s="22"/>
      <c r="M34" s="22"/>
      <c r="N34" s="22"/>
    </row>
  </sheetData>
  <sheetProtection insertRows="0"/>
  <protectedRanges>
    <protectedRange password="CC9E" sqref="A1:IV5 A13:IV65536 A12:D12 F12:G12 I12:J12 L12:M12 O12:P12 R12:S12 U12:IV12 A7:IV11 A6 F6:IV6" name="Rango1"/>
    <protectedRange password="CC9E" sqref="E12" name="Rango1_1"/>
    <protectedRange password="CC9E" sqref="H12" name="Rango1_2"/>
    <protectedRange password="CC9E" sqref="K12" name="Rango1_3"/>
    <protectedRange password="CC9E" sqref="N12" name="Rango1_4"/>
    <protectedRange password="CC9E" sqref="Q12" name="Rango1_5"/>
    <protectedRange password="CC9E" sqref="T12" name="Rango1_6"/>
    <protectedRange password="CC9E" sqref="B6:C6 E6" name="Rango1_3_1"/>
  </protectedRanges>
  <mergeCells count="11">
    <mergeCell ref="S11:U11"/>
    <mergeCell ref="D1:I1"/>
    <mergeCell ref="C11:C12"/>
    <mergeCell ref="J11:L11"/>
    <mergeCell ref="B8:C8"/>
    <mergeCell ref="B11:B12"/>
    <mergeCell ref="D11:F11"/>
    <mergeCell ref="G11:I11"/>
    <mergeCell ref="M11:O11"/>
    <mergeCell ref="P11:R11"/>
    <mergeCell ref="B6:C6"/>
  </mergeCells>
  <phoneticPr fontId="2" type="noConversion"/>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ignoredErrors>
    <ignoredError sqref="D11:F11 B13:B32 B33:C33 D33:E33 H11:I11" unlocked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4"/>
  <sheetViews>
    <sheetView showGridLines="0" zoomScale="70" zoomScaleNormal="70" workbookViewId="0">
      <pane xSplit="3" ySplit="12" topLeftCell="D13" activePane="bottomRight" state="frozen"/>
      <selection activeCell="C5" sqref="C5:D5"/>
      <selection pane="topRight" activeCell="C5" sqref="C5:D5"/>
      <selection pane="bottomLeft" activeCell="C5" sqref="C5:D5"/>
      <selection pane="bottomRight" activeCell="C1" sqref="C1"/>
    </sheetView>
  </sheetViews>
  <sheetFormatPr baseColWidth="10" defaultColWidth="11.453125" defaultRowHeight="14" x14ac:dyDescent="0.25"/>
  <cols>
    <col min="1" max="1" width="1.6328125" style="16" customWidth="1"/>
    <col min="2" max="2" width="14.6328125" style="16" customWidth="1"/>
    <col min="3" max="3" width="90.6328125" style="16" customWidth="1"/>
    <col min="4" max="12" width="15.36328125" style="16" customWidth="1"/>
    <col min="13" max="13" width="15.08984375" style="16" customWidth="1"/>
    <col min="14" max="14" width="13.36328125" style="16" customWidth="1"/>
    <col min="15" max="15" width="13.453125" style="16" customWidth="1"/>
    <col min="16" max="16" width="14.90625" style="16" customWidth="1"/>
    <col min="17" max="17" width="14.453125" style="16" customWidth="1"/>
    <col min="18" max="18" width="13.453125" style="16" customWidth="1"/>
    <col min="19" max="19" width="13.54296875" style="16" customWidth="1"/>
    <col min="20" max="20" width="14.1796875" style="16" customWidth="1"/>
    <col min="21" max="21" width="13.54296875" style="16" customWidth="1"/>
    <col min="22" max="16384" width="11.453125" style="16"/>
  </cols>
  <sheetData>
    <row r="1" spans="2:21" ht="64.5" customHeight="1" x14ac:dyDescent="0.25">
      <c r="D1" s="219"/>
      <c r="E1" s="219"/>
      <c r="F1" s="219"/>
      <c r="G1" s="219"/>
      <c r="H1" s="219"/>
      <c r="I1" s="219"/>
      <c r="J1" s="12"/>
      <c r="K1" s="12"/>
      <c r="L1" s="12"/>
    </row>
    <row r="2" spans="2:21" ht="14.5" x14ac:dyDescent="0.25">
      <c r="B2" s="116"/>
    </row>
    <row r="4" spans="2:21" x14ac:dyDescent="0.25">
      <c r="B4" s="93" t="s">
        <v>135</v>
      </c>
    </row>
    <row r="5" spans="2:21" x14ac:dyDescent="0.25">
      <c r="B5" s="93"/>
    </row>
    <row r="6" spans="2:21" ht="43.25" customHeight="1" x14ac:dyDescent="0.25">
      <c r="B6" s="215" t="s">
        <v>151</v>
      </c>
      <c r="C6" s="215"/>
    </row>
    <row r="8" spans="2:21" ht="26.4" customHeight="1" x14ac:dyDescent="0.25">
      <c r="B8" s="215" t="s">
        <v>131</v>
      </c>
      <c r="C8" s="215"/>
      <c r="D8" s="88"/>
    </row>
    <row r="9" spans="2:21" x14ac:dyDescent="0.25">
      <c r="C9" s="167"/>
      <c r="D9" s="88"/>
    </row>
    <row r="10" spans="2:21" ht="6" customHeight="1" thickBot="1" x14ac:dyDescent="0.3"/>
    <row r="11" spans="2:21" ht="15.75" customHeight="1" thickBot="1" x14ac:dyDescent="0.3">
      <c r="B11" s="211" t="s">
        <v>80</v>
      </c>
      <c r="C11" s="228" t="s">
        <v>144</v>
      </c>
      <c r="D11" s="216">
        <f>Personal!F13</f>
        <v>2024</v>
      </c>
      <c r="E11" s="217"/>
      <c r="F11" s="218"/>
      <c r="G11" s="216">
        <f>D11+1</f>
        <v>2025</v>
      </c>
      <c r="H11" s="217"/>
      <c r="I11" s="218"/>
      <c r="J11" s="216">
        <f>G11+1</f>
        <v>2026</v>
      </c>
      <c r="K11" s="217"/>
      <c r="L11" s="218"/>
      <c r="M11" s="216">
        <f>J11+1</f>
        <v>2027</v>
      </c>
      <c r="N11" s="217"/>
      <c r="O11" s="218"/>
      <c r="P11" s="216">
        <f>M11+1</f>
        <v>2028</v>
      </c>
      <c r="Q11" s="217"/>
      <c r="R11" s="218"/>
      <c r="S11" s="216">
        <f>P11+1</f>
        <v>2029</v>
      </c>
      <c r="T11" s="217"/>
      <c r="U11" s="218"/>
    </row>
    <row r="12" spans="2:21" s="56" customFormat="1" ht="63" customHeight="1" thickBot="1" x14ac:dyDescent="0.3">
      <c r="B12" s="212" t="s">
        <v>1</v>
      </c>
      <c r="C12" s="229"/>
      <c r="D12" s="138" t="s">
        <v>6</v>
      </c>
      <c r="E12" s="139" t="s">
        <v>139</v>
      </c>
      <c r="F12" s="140" t="s">
        <v>4</v>
      </c>
      <c r="G12" s="138" t="s">
        <v>6</v>
      </c>
      <c r="H12" s="139" t="s">
        <v>139</v>
      </c>
      <c r="I12" s="140" t="s">
        <v>4</v>
      </c>
      <c r="J12" s="138" t="s">
        <v>6</v>
      </c>
      <c r="K12" s="139" t="s">
        <v>139</v>
      </c>
      <c r="L12" s="140" t="s">
        <v>4</v>
      </c>
      <c r="M12" s="138" t="s">
        <v>6</v>
      </c>
      <c r="N12" s="139" t="s">
        <v>139</v>
      </c>
      <c r="O12" s="140" t="s">
        <v>4</v>
      </c>
      <c r="P12" s="138" t="s">
        <v>6</v>
      </c>
      <c r="Q12" s="139" t="s">
        <v>139</v>
      </c>
      <c r="R12" s="140" t="s">
        <v>4</v>
      </c>
      <c r="S12" s="138" t="s">
        <v>6</v>
      </c>
      <c r="T12" s="139" t="s">
        <v>139</v>
      </c>
      <c r="U12" s="140" t="s">
        <v>4</v>
      </c>
    </row>
    <row r="13" spans="2:21" ht="15.75" customHeight="1" x14ac:dyDescent="0.25">
      <c r="B13" s="129">
        <v>1</v>
      </c>
      <c r="C13" s="57"/>
      <c r="D13" s="58"/>
      <c r="E13" s="174"/>
      <c r="F13" s="172">
        <f>SUM(D13:E13)</f>
        <v>0</v>
      </c>
      <c r="G13" s="58"/>
      <c r="H13" s="174"/>
      <c r="I13" s="172">
        <f>SUM(G13:H13)</f>
        <v>0</v>
      </c>
      <c r="J13" s="58"/>
      <c r="K13" s="174"/>
      <c r="L13" s="172">
        <f>SUM(J13:K13)</f>
        <v>0</v>
      </c>
      <c r="M13" s="58"/>
      <c r="N13" s="174"/>
      <c r="O13" s="172">
        <f>SUM(M13:N13)</f>
        <v>0</v>
      </c>
      <c r="P13" s="58"/>
      <c r="Q13" s="174"/>
      <c r="R13" s="172">
        <f>SUM(P13:Q13)</f>
        <v>0</v>
      </c>
      <c r="S13" s="58"/>
      <c r="T13" s="174"/>
      <c r="U13" s="172">
        <f>SUM(S13:T13)</f>
        <v>0</v>
      </c>
    </row>
    <row r="14" spans="2:21" ht="15.75" customHeight="1" x14ac:dyDescent="0.25">
      <c r="B14" s="130">
        <f>B13+1</f>
        <v>2</v>
      </c>
      <c r="C14" s="60"/>
      <c r="D14" s="58"/>
      <c r="E14" s="174"/>
      <c r="F14" s="172">
        <f t="shared" ref="F14:F32" si="0">SUM(D14:E14)</f>
        <v>0</v>
      </c>
      <c r="G14" s="58"/>
      <c r="H14" s="174"/>
      <c r="I14" s="172">
        <f t="shared" ref="I14:I32" si="1">SUM(G14:H14)</f>
        <v>0</v>
      </c>
      <c r="J14" s="58"/>
      <c r="K14" s="174"/>
      <c r="L14" s="172">
        <f t="shared" ref="L14:L32" si="2">SUM(J14:K14)</f>
        <v>0</v>
      </c>
      <c r="M14" s="58"/>
      <c r="N14" s="174"/>
      <c r="O14" s="172">
        <f t="shared" ref="O14:O32" si="3">SUM(M14:N14)</f>
        <v>0</v>
      </c>
      <c r="P14" s="58"/>
      <c r="Q14" s="174"/>
      <c r="R14" s="172">
        <f t="shared" ref="R14:R32" si="4">SUM(P14:Q14)</f>
        <v>0</v>
      </c>
      <c r="S14" s="58"/>
      <c r="T14" s="174"/>
      <c r="U14" s="172">
        <f t="shared" ref="U14:U32" si="5">SUM(S14:T14)</f>
        <v>0</v>
      </c>
    </row>
    <row r="15" spans="2:21" ht="15.75" customHeight="1" x14ac:dyDescent="0.25">
      <c r="B15" s="130">
        <f t="shared" ref="B15:B31" si="6">B14+1</f>
        <v>3</v>
      </c>
      <c r="C15" s="60"/>
      <c r="D15" s="58"/>
      <c r="E15" s="174"/>
      <c r="F15" s="172">
        <f t="shared" si="0"/>
        <v>0</v>
      </c>
      <c r="G15" s="58"/>
      <c r="H15" s="174"/>
      <c r="I15" s="172">
        <f t="shared" si="1"/>
        <v>0</v>
      </c>
      <c r="J15" s="58"/>
      <c r="K15" s="174"/>
      <c r="L15" s="172">
        <f t="shared" si="2"/>
        <v>0</v>
      </c>
      <c r="M15" s="58"/>
      <c r="N15" s="174"/>
      <c r="O15" s="172">
        <f t="shared" si="3"/>
        <v>0</v>
      </c>
      <c r="P15" s="58"/>
      <c r="Q15" s="174"/>
      <c r="R15" s="172">
        <f t="shared" si="4"/>
        <v>0</v>
      </c>
      <c r="S15" s="58"/>
      <c r="T15" s="174"/>
      <c r="U15" s="172">
        <f t="shared" si="5"/>
        <v>0</v>
      </c>
    </row>
    <row r="16" spans="2:21" ht="15.75" customHeight="1" x14ac:dyDescent="0.25">
      <c r="B16" s="130">
        <f t="shared" si="6"/>
        <v>4</v>
      </c>
      <c r="C16" s="60"/>
      <c r="D16" s="58"/>
      <c r="E16" s="174"/>
      <c r="F16" s="172">
        <f t="shared" si="0"/>
        <v>0</v>
      </c>
      <c r="G16" s="58"/>
      <c r="H16" s="174"/>
      <c r="I16" s="172">
        <f t="shared" si="1"/>
        <v>0</v>
      </c>
      <c r="J16" s="58"/>
      <c r="K16" s="174"/>
      <c r="L16" s="172">
        <f t="shared" si="2"/>
        <v>0</v>
      </c>
      <c r="M16" s="58"/>
      <c r="N16" s="174"/>
      <c r="O16" s="172">
        <f t="shared" si="3"/>
        <v>0</v>
      </c>
      <c r="P16" s="58"/>
      <c r="Q16" s="174"/>
      <c r="R16" s="172">
        <f t="shared" si="4"/>
        <v>0</v>
      </c>
      <c r="S16" s="58"/>
      <c r="T16" s="174"/>
      <c r="U16" s="172">
        <f t="shared" si="5"/>
        <v>0</v>
      </c>
    </row>
    <row r="17" spans="2:21" ht="15.75" customHeight="1" x14ac:dyDescent="0.25">
      <c r="B17" s="130">
        <f t="shared" si="6"/>
        <v>5</v>
      </c>
      <c r="C17" s="60"/>
      <c r="D17" s="58"/>
      <c r="E17" s="174"/>
      <c r="F17" s="172">
        <f t="shared" si="0"/>
        <v>0</v>
      </c>
      <c r="G17" s="58"/>
      <c r="H17" s="174"/>
      <c r="I17" s="172">
        <f t="shared" si="1"/>
        <v>0</v>
      </c>
      <c r="J17" s="58"/>
      <c r="K17" s="174"/>
      <c r="L17" s="172">
        <f t="shared" si="2"/>
        <v>0</v>
      </c>
      <c r="M17" s="58"/>
      <c r="N17" s="174"/>
      <c r="O17" s="172">
        <f t="shared" si="3"/>
        <v>0</v>
      </c>
      <c r="P17" s="58"/>
      <c r="Q17" s="174"/>
      <c r="R17" s="172">
        <f t="shared" si="4"/>
        <v>0</v>
      </c>
      <c r="S17" s="58"/>
      <c r="T17" s="174"/>
      <c r="U17" s="172">
        <f t="shared" si="5"/>
        <v>0</v>
      </c>
    </row>
    <row r="18" spans="2:21" ht="15.75" customHeight="1" x14ac:dyDescent="0.25">
      <c r="B18" s="130">
        <f t="shared" si="6"/>
        <v>6</v>
      </c>
      <c r="C18" s="60"/>
      <c r="D18" s="58"/>
      <c r="E18" s="174"/>
      <c r="F18" s="172">
        <f t="shared" si="0"/>
        <v>0</v>
      </c>
      <c r="G18" s="58"/>
      <c r="H18" s="174"/>
      <c r="I18" s="172">
        <f t="shared" si="1"/>
        <v>0</v>
      </c>
      <c r="J18" s="58"/>
      <c r="K18" s="174"/>
      <c r="L18" s="172">
        <f t="shared" si="2"/>
        <v>0</v>
      </c>
      <c r="M18" s="58"/>
      <c r="N18" s="174"/>
      <c r="O18" s="172">
        <f t="shared" si="3"/>
        <v>0</v>
      </c>
      <c r="P18" s="58"/>
      <c r="Q18" s="174"/>
      <c r="R18" s="172">
        <f t="shared" si="4"/>
        <v>0</v>
      </c>
      <c r="S18" s="58"/>
      <c r="T18" s="174"/>
      <c r="U18" s="172">
        <f t="shared" si="5"/>
        <v>0</v>
      </c>
    </row>
    <row r="19" spans="2:21" ht="15.75" customHeight="1" x14ac:dyDescent="0.25">
      <c r="B19" s="130">
        <f t="shared" si="6"/>
        <v>7</v>
      </c>
      <c r="C19" s="60"/>
      <c r="D19" s="58"/>
      <c r="E19" s="174"/>
      <c r="F19" s="172">
        <f t="shared" si="0"/>
        <v>0</v>
      </c>
      <c r="G19" s="58"/>
      <c r="H19" s="174"/>
      <c r="I19" s="172">
        <f t="shared" si="1"/>
        <v>0</v>
      </c>
      <c r="J19" s="58"/>
      <c r="K19" s="174"/>
      <c r="L19" s="172">
        <f t="shared" si="2"/>
        <v>0</v>
      </c>
      <c r="M19" s="58"/>
      <c r="N19" s="174"/>
      <c r="O19" s="172">
        <f t="shared" si="3"/>
        <v>0</v>
      </c>
      <c r="P19" s="58"/>
      <c r="Q19" s="174"/>
      <c r="R19" s="172">
        <f t="shared" si="4"/>
        <v>0</v>
      </c>
      <c r="S19" s="58"/>
      <c r="T19" s="174"/>
      <c r="U19" s="172">
        <f t="shared" si="5"/>
        <v>0</v>
      </c>
    </row>
    <row r="20" spans="2:21" ht="15.75" customHeight="1" x14ac:dyDescent="0.25">
      <c r="B20" s="130">
        <f t="shared" si="6"/>
        <v>8</v>
      </c>
      <c r="C20" s="60"/>
      <c r="D20" s="58"/>
      <c r="E20" s="174"/>
      <c r="F20" s="172">
        <f t="shared" si="0"/>
        <v>0</v>
      </c>
      <c r="G20" s="58"/>
      <c r="H20" s="174"/>
      <c r="I20" s="172">
        <f t="shared" si="1"/>
        <v>0</v>
      </c>
      <c r="J20" s="58"/>
      <c r="K20" s="174"/>
      <c r="L20" s="172">
        <f t="shared" si="2"/>
        <v>0</v>
      </c>
      <c r="M20" s="58"/>
      <c r="N20" s="174"/>
      <c r="O20" s="172">
        <f t="shared" si="3"/>
        <v>0</v>
      </c>
      <c r="P20" s="58"/>
      <c r="Q20" s="174"/>
      <c r="R20" s="172">
        <f t="shared" si="4"/>
        <v>0</v>
      </c>
      <c r="S20" s="58"/>
      <c r="T20" s="174"/>
      <c r="U20" s="172">
        <f t="shared" si="5"/>
        <v>0</v>
      </c>
    </row>
    <row r="21" spans="2:21" ht="15.75" customHeight="1" x14ac:dyDescent="0.25">
      <c r="B21" s="130">
        <f t="shared" si="6"/>
        <v>9</v>
      </c>
      <c r="C21" s="60"/>
      <c r="D21" s="58"/>
      <c r="E21" s="174"/>
      <c r="F21" s="172">
        <f t="shared" si="0"/>
        <v>0</v>
      </c>
      <c r="G21" s="58"/>
      <c r="H21" s="174"/>
      <c r="I21" s="172">
        <f t="shared" si="1"/>
        <v>0</v>
      </c>
      <c r="J21" s="58"/>
      <c r="K21" s="174"/>
      <c r="L21" s="172">
        <f t="shared" si="2"/>
        <v>0</v>
      </c>
      <c r="M21" s="58"/>
      <c r="N21" s="174"/>
      <c r="O21" s="172">
        <f t="shared" si="3"/>
        <v>0</v>
      </c>
      <c r="P21" s="58"/>
      <c r="Q21" s="174"/>
      <c r="R21" s="172">
        <f t="shared" si="4"/>
        <v>0</v>
      </c>
      <c r="S21" s="58"/>
      <c r="T21" s="174"/>
      <c r="U21" s="172">
        <f t="shared" si="5"/>
        <v>0</v>
      </c>
    </row>
    <row r="22" spans="2:21" ht="15.75" customHeight="1" x14ac:dyDescent="0.25">
      <c r="B22" s="130">
        <f t="shared" si="6"/>
        <v>10</v>
      </c>
      <c r="C22" s="60"/>
      <c r="D22" s="58"/>
      <c r="E22" s="174"/>
      <c r="F22" s="172">
        <f t="shared" si="0"/>
        <v>0</v>
      </c>
      <c r="G22" s="58"/>
      <c r="H22" s="174"/>
      <c r="I22" s="172">
        <f t="shared" si="1"/>
        <v>0</v>
      </c>
      <c r="J22" s="58"/>
      <c r="K22" s="174"/>
      <c r="L22" s="172">
        <f t="shared" si="2"/>
        <v>0</v>
      </c>
      <c r="M22" s="58"/>
      <c r="N22" s="174"/>
      <c r="O22" s="172">
        <f t="shared" si="3"/>
        <v>0</v>
      </c>
      <c r="P22" s="58"/>
      <c r="Q22" s="174"/>
      <c r="R22" s="172">
        <f t="shared" si="4"/>
        <v>0</v>
      </c>
      <c r="S22" s="58"/>
      <c r="T22" s="174"/>
      <c r="U22" s="172">
        <f t="shared" si="5"/>
        <v>0</v>
      </c>
    </row>
    <row r="23" spans="2:21" ht="15.75" customHeight="1" x14ac:dyDescent="0.25">
      <c r="B23" s="130">
        <f t="shared" si="6"/>
        <v>11</v>
      </c>
      <c r="C23" s="60"/>
      <c r="D23" s="58"/>
      <c r="E23" s="174"/>
      <c r="F23" s="172">
        <f t="shared" si="0"/>
        <v>0</v>
      </c>
      <c r="G23" s="58"/>
      <c r="H23" s="174"/>
      <c r="I23" s="172">
        <f t="shared" si="1"/>
        <v>0</v>
      </c>
      <c r="J23" s="58"/>
      <c r="K23" s="174"/>
      <c r="L23" s="172">
        <f t="shared" si="2"/>
        <v>0</v>
      </c>
      <c r="M23" s="58"/>
      <c r="N23" s="174"/>
      <c r="O23" s="172">
        <f t="shared" si="3"/>
        <v>0</v>
      </c>
      <c r="P23" s="58"/>
      <c r="Q23" s="174"/>
      <c r="R23" s="172">
        <f t="shared" si="4"/>
        <v>0</v>
      </c>
      <c r="S23" s="58"/>
      <c r="T23" s="174"/>
      <c r="U23" s="172">
        <f t="shared" si="5"/>
        <v>0</v>
      </c>
    </row>
    <row r="24" spans="2:21" ht="15.75" customHeight="1" x14ac:dyDescent="0.25">
      <c r="B24" s="130">
        <f t="shared" si="6"/>
        <v>12</v>
      </c>
      <c r="C24" s="60"/>
      <c r="D24" s="58"/>
      <c r="E24" s="174"/>
      <c r="F24" s="172">
        <f t="shared" si="0"/>
        <v>0</v>
      </c>
      <c r="G24" s="58"/>
      <c r="H24" s="174"/>
      <c r="I24" s="172">
        <f t="shared" si="1"/>
        <v>0</v>
      </c>
      <c r="J24" s="58"/>
      <c r="K24" s="174"/>
      <c r="L24" s="172">
        <f t="shared" si="2"/>
        <v>0</v>
      </c>
      <c r="M24" s="58"/>
      <c r="N24" s="174"/>
      <c r="O24" s="172">
        <f t="shared" si="3"/>
        <v>0</v>
      </c>
      <c r="P24" s="58"/>
      <c r="Q24" s="174"/>
      <c r="R24" s="172">
        <f t="shared" si="4"/>
        <v>0</v>
      </c>
      <c r="S24" s="58"/>
      <c r="T24" s="174"/>
      <c r="U24" s="172">
        <f t="shared" si="5"/>
        <v>0</v>
      </c>
    </row>
    <row r="25" spans="2:21" ht="15.75" customHeight="1" x14ac:dyDescent="0.25">
      <c r="B25" s="130">
        <f t="shared" si="6"/>
        <v>13</v>
      </c>
      <c r="C25" s="60"/>
      <c r="D25" s="58"/>
      <c r="E25" s="174"/>
      <c r="F25" s="172">
        <f t="shared" si="0"/>
        <v>0</v>
      </c>
      <c r="G25" s="58"/>
      <c r="H25" s="174"/>
      <c r="I25" s="172">
        <f t="shared" si="1"/>
        <v>0</v>
      </c>
      <c r="J25" s="58"/>
      <c r="K25" s="174"/>
      <c r="L25" s="172">
        <f t="shared" si="2"/>
        <v>0</v>
      </c>
      <c r="M25" s="58"/>
      <c r="N25" s="174"/>
      <c r="O25" s="172">
        <f t="shared" si="3"/>
        <v>0</v>
      </c>
      <c r="P25" s="58"/>
      <c r="Q25" s="174"/>
      <c r="R25" s="172">
        <f t="shared" si="4"/>
        <v>0</v>
      </c>
      <c r="S25" s="58"/>
      <c r="T25" s="174"/>
      <c r="U25" s="172">
        <f t="shared" si="5"/>
        <v>0</v>
      </c>
    </row>
    <row r="26" spans="2:21" ht="15.75" customHeight="1" x14ac:dyDescent="0.25">
      <c r="B26" s="130">
        <f t="shared" si="6"/>
        <v>14</v>
      </c>
      <c r="C26" s="60"/>
      <c r="D26" s="58"/>
      <c r="E26" s="174"/>
      <c r="F26" s="172">
        <f t="shared" si="0"/>
        <v>0</v>
      </c>
      <c r="G26" s="58"/>
      <c r="H26" s="174"/>
      <c r="I26" s="172">
        <f t="shared" si="1"/>
        <v>0</v>
      </c>
      <c r="J26" s="58"/>
      <c r="K26" s="174"/>
      <c r="L26" s="172">
        <f t="shared" si="2"/>
        <v>0</v>
      </c>
      <c r="M26" s="58"/>
      <c r="N26" s="174"/>
      <c r="O26" s="172">
        <f t="shared" si="3"/>
        <v>0</v>
      </c>
      <c r="P26" s="58"/>
      <c r="Q26" s="174"/>
      <c r="R26" s="172">
        <f t="shared" si="4"/>
        <v>0</v>
      </c>
      <c r="S26" s="58"/>
      <c r="T26" s="174"/>
      <c r="U26" s="172">
        <f t="shared" si="5"/>
        <v>0</v>
      </c>
    </row>
    <row r="27" spans="2:21" ht="15.75" customHeight="1" x14ac:dyDescent="0.25">
      <c r="B27" s="130">
        <f t="shared" si="6"/>
        <v>15</v>
      </c>
      <c r="C27" s="60"/>
      <c r="D27" s="58"/>
      <c r="E27" s="174"/>
      <c r="F27" s="172">
        <f t="shared" si="0"/>
        <v>0</v>
      </c>
      <c r="G27" s="58"/>
      <c r="H27" s="174"/>
      <c r="I27" s="172">
        <f t="shared" si="1"/>
        <v>0</v>
      </c>
      <c r="J27" s="58"/>
      <c r="K27" s="174"/>
      <c r="L27" s="172">
        <f t="shared" si="2"/>
        <v>0</v>
      </c>
      <c r="M27" s="58"/>
      <c r="N27" s="174"/>
      <c r="O27" s="172">
        <f t="shared" si="3"/>
        <v>0</v>
      </c>
      <c r="P27" s="58"/>
      <c r="Q27" s="174"/>
      <c r="R27" s="172">
        <f t="shared" si="4"/>
        <v>0</v>
      </c>
      <c r="S27" s="58"/>
      <c r="T27" s="174"/>
      <c r="U27" s="172">
        <f t="shared" si="5"/>
        <v>0</v>
      </c>
    </row>
    <row r="28" spans="2:21" ht="15.75" customHeight="1" x14ac:dyDescent="0.25">
      <c r="B28" s="130">
        <f t="shared" si="6"/>
        <v>16</v>
      </c>
      <c r="C28" s="60"/>
      <c r="D28" s="58"/>
      <c r="E28" s="174"/>
      <c r="F28" s="172">
        <f t="shared" si="0"/>
        <v>0</v>
      </c>
      <c r="G28" s="58"/>
      <c r="H28" s="174"/>
      <c r="I28" s="172">
        <f t="shared" si="1"/>
        <v>0</v>
      </c>
      <c r="J28" s="58"/>
      <c r="K28" s="174"/>
      <c r="L28" s="172">
        <f t="shared" si="2"/>
        <v>0</v>
      </c>
      <c r="M28" s="58"/>
      <c r="N28" s="174"/>
      <c r="O28" s="172">
        <f t="shared" si="3"/>
        <v>0</v>
      </c>
      <c r="P28" s="58"/>
      <c r="Q28" s="174"/>
      <c r="R28" s="172">
        <f t="shared" si="4"/>
        <v>0</v>
      </c>
      <c r="S28" s="58"/>
      <c r="T28" s="174"/>
      <c r="U28" s="172">
        <f t="shared" si="5"/>
        <v>0</v>
      </c>
    </row>
    <row r="29" spans="2:21" ht="15.75" customHeight="1" x14ac:dyDescent="0.25">
      <c r="B29" s="130">
        <f t="shared" si="6"/>
        <v>17</v>
      </c>
      <c r="C29" s="60"/>
      <c r="D29" s="58"/>
      <c r="E29" s="174"/>
      <c r="F29" s="172">
        <f t="shared" si="0"/>
        <v>0</v>
      </c>
      <c r="G29" s="58"/>
      <c r="H29" s="174"/>
      <c r="I29" s="172">
        <f t="shared" si="1"/>
        <v>0</v>
      </c>
      <c r="J29" s="58"/>
      <c r="K29" s="174"/>
      <c r="L29" s="172">
        <f t="shared" si="2"/>
        <v>0</v>
      </c>
      <c r="M29" s="58"/>
      <c r="N29" s="174"/>
      <c r="O29" s="172">
        <f t="shared" si="3"/>
        <v>0</v>
      </c>
      <c r="P29" s="58"/>
      <c r="Q29" s="174"/>
      <c r="R29" s="172">
        <f t="shared" si="4"/>
        <v>0</v>
      </c>
      <c r="S29" s="58"/>
      <c r="T29" s="174"/>
      <c r="U29" s="172">
        <f t="shared" si="5"/>
        <v>0</v>
      </c>
    </row>
    <row r="30" spans="2:21" ht="15.75" customHeight="1" x14ac:dyDescent="0.25">
      <c r="B30" s="136">
        <f t="shared" si="6"/>
        <v>18</v>
      </c>
      <c r="C30" s="60"/>
      <c r="D30" s="58"/>
      <c r="E30" s="174"/>
      <c r="F30" s="172">
        <f t="shared" si="0"/>
        <v>0</v>
      </c>
      <c r="G30" s="58"/>
      <c r="H30" s="174"/>
      <c r="I30" s="172">
        <f t="shared" si="1"/>
        <v>0</v>
      </c>
      <c r="J30" s="58"/>
      <c r="K30" s="174"/>
      <c r="L30" s="172">
        <f t="shared" si="2"/>
        <v>0</v>
      </c>
      <c r="M30" s="58"/>
      <c r="N30" s="174"/>
      <c r="O30" s="172">
        <f t="shared" si="3"/>
        <v>0</v>
      </c>
      <c r="P30" s="58"/>
      <c r="Q30" s="174"/>
      <c r="R30" s="172">
        <f t="shared" si="4"/>
        <v>0</v>
      </c>
      <c r="S30" s="58"/>
      <c r="T30" s="174"/>
      <c r="U30" s="172">
        <f t="shared" si="5"/>
        <v>0</v>
      </c>
    </row>
    <row r="31" spans="2:21" ht="15" customHeight="1" x14ac:dyDescent="0.25">
      <c r="B31" s="136">
        <f t="shared" si="6"/>
        <v>19</v>
      </c>
      <c r="C31" s="60"/>
      <c r="D31" s="58"/>
      <c r="E31" s="174"/>
      <c r="F31" s="172">
        <f t="shared" si="0"/>
        <v>0</v>
      </c>
      <c r="G31" s="58"/>
      <c r="H31" s="174"/>
      <c r="I31" s="172">
        <f t="shared" si="1"/>
        <v>0</v>
      </c>
      <c r="J31" s="58"/>
      <c r="K31" s="174"/>
      <c r="L31" s="172">
        <f t="shared" si="2"/>
        <v>0</v>
      </c>
      <c r="M31" s="58"/>
      <c r="N31" s="174"/>
      <c r="O31" s="172">
        <f t="shared" si="3"/>
        <v>0</v>
      </c>
      <c r="P31" s="58"/>
      <c r="Q31" s="174"/>
      <c r="R31" s="172">
        <f t="shared" si="4"/>
        <v>0</v>
      </c>
      <c r="S31" s="58"/>
      <c r="T31" s="174"/>
      <c r="U31" s="172">
        <f t="shared" si="5"/>
        <v>0</v>
      </c>
    </row>
    <row r="32" spans="2:21" ht="14.5" thickBot="1" x14ac:dyDescent="0.3">
      <c r="B32" s="137">
        <f>B31+1</f>
        <v>20</v>
      </c>
      <c r="C32" s="60"/>
      <c r="D32" s="58"/>
      <c r="E32" s="174"/>
      <c r="F32" s="172">
        <f t="shared" si="0"/>
        <v>0</v>
      </c>
      <c r="G32" s="58"/>
      <c r="H32" s="174"/>
      <c r="I32" s="172">
        <f t="shared" si="1"/>
        <v>0</v>
      </c>
      <c r="J32" s="58"/>
      <c r="K32" s="174"/>
      <c r="L32" s="172">
        <f t="shared" si="2"/>
        <v>0</v>
      </c>
      <c r="M32" s="58"/>
      <c r="N32" s="174"/>
      <c r="O32" s="172">
        <f t="shared" si="3"/>
        <v>0</v>
      </c>
      <c r="P32" s="58"/>
      <c r="Q32" s="174"/>
      <c r="R32" s="172">
        <f t="shared" si="4"/>
        <v>0</v>
      </c>
      <c r="S32" s="58"/>
      <c r="T32" s="174"/>
      <c r="U32" s="172">
        <f t="shared" si="5"/>
        <v>0</v>
      </c>
    </row>
    <row r="33" spans="1:21" ht="31.5" customHeight="1" thickBot="1" x14ac:dyDescent="0.3">
      <c r="C33" s="166" t="s">
        <v>2</v>
      </c>
      <c r="D33" s="53">
        <f>SUM(D13:D32)</f>
        <v>0</v>
      </c>
      <c r="E33" s="97"/>
      <c r="F33" s="55">
        <f>D33+E33</f>
        <v>0</v>
      </c>
      <c r="G33" s="53">
        <f>SUM(G13:G32)</f>
        <v>0</v>
      </c>
      <c r="H33" s="97"/>
      <c r="I33" s="55">
        <f>G33+H33</f>
        <v>0</v>
      </c>
      <c r="J33" s="53">
        <f>SUM(J13:J32)</f>
        <v>0</v>
      </c>
      <c r="K33" s="97"/>
      <c r="L33" s="55">
        <f>J33+K33</f>
        <v>0</v>
      </c>
      <c r="M33" s="53">
        <f>SUM(M13:M32)</f>
        <v>0</v>
      </c>
      <c r="N33" s="97"/>
      <c r="O33" s="55">
        <f>M33+N33</f>
        <v>0</v>
      </c>
      <c r="P33" s="53">
        <f>SUM(P13:P32)</f>
        <v>0</v>
      </c>
      <c r="Q33" s="97"/>
      <c r="R33" s="55">
        <f>P33+Q33</f>
        <v>0</v>
      </c>
      <c r="S33" s="53">
        <f>SUM(S13:S32)</f>
        <v>0</v>
      </c>
      <c r="T33" s="97"/>
      <c r="U33" s="55">
        <f>S33+T33</f>
        <v>0</v>
      </c>
    </row>
    <row r="34" spans="1:21" ht="6" customHeight="1" x14ac:dyDescent="0.25">
      <c r="A34" s="22"/>
      <c r="B34" s="22"/>
      <c r="C34" s="22"/>
      <c r="D34" s="22"/>
      <c r="E34" s="22"/>
      <c r="F34" s="22"/>
      <c r="G34" s="22"/>
      <c r="H34" s="22"/>
      <c r="I34" s="22"/>
      <c r="J34" s="22"/>
      <c r="K34" s="22"/>
      <c r="L34" s="22"/>
      <c r="M34" s="22"/>
      <c r="N34" s="22"/>
    </row>
  </sheetData>
  <sheetProtection insertRows="0"/>
  <protectedRanges>
    <protectedRange password="CC9E" sqref="A1:IV5 A9:IV10 A8 D8:IV8 A13:IV65536 F12:G12 I12:J12 L12:M12 O12:P12 U12:IV12 R12:S12 A7:IV7 A6 D6:IV6 A11:B12 D11:IV11 D12" name="Rango1"/>
    <protectedRange password="CC9E" sqref="B8:C8" name="Rango1_1"/>
    <protectedRange password="CC9E" sqref="E12" name="Rango1_1_1"/>
    <protectedRange password="CC9E" sqref="H12" name="Rango1_1_2"/>
    <protectedRange password="CC9E" sqref="K12" name="Rango1_1_3"/>
    <protectedRange password="CC9E" sqref="N12" name="Rango1_1_4"/>
    <protectedRange password="CC9E" sqref="T12 Q12" name="Rango1_1_5"/>
    <protectedRange password="CC9E" sqref="B6:C6" name="Rango1_3_1"/>
    <protectedRange password="CC9E" sqref="C11:C12" name="Rango1_2"/>
  </protectedRanges>
  <mergeCells count="11">
    <mergeCell ref="M11:O11"/>
    <mergeCell ref="P11:R11"/>
    <mergeCell ref="S11:U11"/>
    <mergeCell ref="D1:I1"/>
    <mergeCell ref="B11:B12"/>
    <mergeCell ref="C11:C12"/>
    <mergeCell ref="D11:F11"/>
    <mergeCell ref="G11:I11"/>
    <mergeCell ref="J11:L11"/>
    <mergeCell ref="B8:C8"/>
    <mergeCell ref="B6:C6"/>
  </mergeCells>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4"/>
  <sheetViews>
    <sheetView showGridLines="0" zoomScale="70" zoomScaleNormal="70" workbookViewId="0">
      <pane xSplit="3" ySplit="12" topLeftCell="D13" activePane="bottomRight" state="frozen"/>
      <selection activeCell="C5" sqref="C5:D5"/>
      <selection pane="topRight" activeCell="C5" sqref="C5:D5"/>
      <selection pane="bottomLeft" activeCell="C5" sqref="C5:D5"/>
      <selection pane="bottomRight" activeCell="B6" sqref="B6:C6"/>
    </sheetView>
  </sheetViews>
  <sheetFormatPr baseColWidth="10" defaultColWidth="11.453125" defaultRowHeight="14" x14ac:dyDescent="0.25"/>
  <cols>
    <col min="1" max="1" width="1.6328125" style="16" customWidth="1"/>
    <col min="2" max="2" width="14.6328125" style="16" customWidth="1"/>
    <col min="3" max="3" width="99" style="16" customWidth="1"/>
    <col min="4" max="4" width="15.36328125" style="16" customWidth="1"/>
    <col min="5" max="5" width="14" style="16" customWidth="1"/>
    <col min="6" max="12" width="15.36328125" style="16" customWidth="1"/>
    <col min="13" max="13" width="14.90625" style="16" customWidth="1"/>
    <col min="14" max="14" width="14.08984375" style="16" customWidth="1"/>
    <col min="15" max="15" width="14.36328125" style="16" customWidth="1"/>
    <col min="16" max="16" width="14.453125" style="16" customWidth="1"/>
    <col min="17" max="17" width="15.54296875" style="16" customWidth="1"/>
    <col min="18" max="18" width="14.08984375" style="16" customWidth="1"/>
    <col min="19" max="19" width="13.54296875" style="16" customWidth="1"/>
    <col min="20" max="20" width="13.36328125" style="16" customWidth="1"/>
    <col min="21" max="21" width="14" style="16" customWidth="1"/>
    <col min="22" max="16384" width="11.453125" style="16"/>
  </cols>
  <sheetData>
    <row r="1" spans="2:21" ht="70.5" customHeight="1" x14ac:dyDescent="0.25">
      <c r="D1" s="219"/>
      <c r="E1" s="219"/>
      <c r="F1" s="219"/>
      <c r="G1" s="219"/>
      <c r="H1" s="219"/>
      <c r="I1" s="219"/>
      <c r="J1" s="12"/>
      <c r="K1" s="12"/>
      <c r="L1" s="12"/>
    </row>
    <row r="2" spans="2:21" ht="14.5" x14ac:dyDescent="0.25">
      <c r="B2" s="116"/>
    </row>
    <row r="4" spans="2:21" x14ac:dyDescent="0.25">
      <c r="B4" s="93" t="s">
        <v>81</v>
      </c>
    </row>
    <row r="5" spans="2:21" x14ac:dyDescent="0.25">
      <c r="B5" s="93"/>
    </row>
    <row r="6" spans="2:21" ht="44.4" customHeight="1" x14ac:dyDescent="0.25">
      <c r="B6" s="215" t="s">
        <v>152</v>
      </c>
      <c r="C6" s="215"/>
    </row>
    <row r="8" spans="2:21" ht="27.65" customHeight="1" x14ac:dyDescent="0.25">
      <c r="B8" s="215" t="s">
        <v>153</v>
      </c>
      <c r="C8" s="215"/>
      <c r="D8" s="88"/>
    </row>
    <row r="9" spans="2:21" x14ac:dyDescent="0.25">
      <c r="C9" s="167"/>
      <c r="D9" s="88"/>
    </row>
    <row r="10" spans="2:21" ht="6" customHeight="1" thickBot="1" x14ac:dyDescent="0.3"/>
    <row r="11" spans="2:21" ht="15.75" customHeight="1" thickBot="1" x14ac:dyDescent="0.3">
      <c r="B11" s="211" t="s">
        <v>10</v>
      </c>
      <c r="C11" s="211" t="s">
        <v>147</v>
      </c>
      <c r="D11" s="216">
        <f>Personal!F13</f>
        <v>2024</v>
      </c>
      <c r="E11" s="217"/>
      <c r="F11" s="218"/>
      <c r="G11" s="216">
        <f>D11+1</f>
        <v>2025</v>
      </c>
      <c r="H11" s="217"/>
      <c r="I11" s="218"/>
      <c r="J11" s="216">
        <f>G11+1</f>
        <v>2026</v>
      </c>
      <c r="K11" s="217"/>
      <c r="L11" s="218"/>
      <c r="M11" s="216">
        <f>J11+1</f>
        <v>2027</v>
      </c>
      <c r="N11" s="217"/>
      <c r="O11" s="218"/>
      <c r="P11" s="216">
        <f>M11+1</f>
        <v>2028</v>
      </c>
      <c r="Q11" s="217"/>
      <c r="R11" s="218"/>
      <c r="S11" s="216">
        <f>P11+1</f>
        <v>2029</v>
      </c>
      <c r="T11" s="217"/>
      <c r="U11" s="218"/>
    </row>
    <row r="12" spans="2:21" s="56" customFormat="1" ht="67.75" customHeight="1" thickBot="1" x14ac:dyDescent="0.3">
      <c r="B12" s="212"/>
      <c r="C12" s="212"/>
      <c r="D12" s="138" t="s">
        <v>6</v>
      </c>
      <c r="E12" s="139" t="s">
        <v>139</v>
      </c>
      <c r="F12" s="140" t="s">
        <v>4</v>
      </c>
      <c r="G12" s="138" t="s">
        <v>6</v>
      </c>
      <c r="H12" s="139" t="s">
        <v>139</v>
      </c>
      <c r="I12" s="140" t="s">
        <v>4</v>
      </c>
      <c r="J12" s="138" t="s">
        <v>6</v>
      </c>
      <c r="K12" s="139" t="s">
        <v>139</v>
      </c>
      <c r="L12" s="140" t="s">
        <v>4</v>
      </c>
      <c r="M12" s="138" t="s">
        <v>6</v>
      </c>
      <c r="N12" s="139" t="s">
        <v>139</v>
      </c>
      <c r="O12" s="140" t="s">
        <v>4</v>
      </c>
      <c r="P12" s="138" t="s">
        <v>6</v>
      </c>
      <c r="Q12" s="139" t="s">
        <v>139</v>
      </c>
      <c r="R12" s="140" t="s">
        <v>4</v>
      </c>
      <c r="S12" s="138" t="s">
        <v>6</v>
      </c>
      <c r="T12" s="139" t="s">
        <v>139</v>
      </c>
      <c r="U12" s="140" t="s">
        <v>4</v>
      </c>
    </row>
    <row r="13" spans="2:21" ht="15.75" customHeight="1" x14ac:dyDescent="0.25">
      <c r="B13" s="129">
        <v>1</v>
      </c>
      <c r="C13" s="57"/>
      <c r="D13" s="58"/>
      <c r="E13" s="59"/>
      <c r="F13" s="172">
        <f>SUM(D13:E13)</f>
        <v>0</v>
      </c>
      <c r="G13" s="58"/>
      <c r="H13" s="59"/>
      <c r="I13" s="172">
        <f>SUM(G13:H13)</f>
        <v>0</v>
      </c>
      <c r="J13" s="58"/>
      <c r="K13" s="59"/>
      <c r="L13" s="172">
        <f>SUM(J13:K13)</f>
        <v>0</v>
      </c>
      <c r="M13" s="58"/>
      <c r="N13" s="59"/>
      <c r="O13" s="172">
        <f>SUM(M13:N13)</f>
        <v>0</v>
      </c>
      <c r="P13" s="58"/>
      <c r="Q13" s="59"/>
      <c r="R13" s="172">
        <f>SUM(P13:Q13)</f>
        <v>0</v>
      </c>
      <c r="S13" s="58"/>
      <c r="T13" s="59"/>
      <c r="U13" s="172">
        <f>SUM(S13:T13)</f>
        <v>0</v>
      </c>
    </row>
    <row r="14" spans="2:21" ht="15.75" customHeight="1" x14ac:dyDescent="0.25">
      <c r="B14" s="130">
        <f>B13+1</f>
        <v>2</v>
      </c>
      <c r="C14" s="60"/>
      <c r="D14" s="58"/>
      <c r="E14" s="59"/>
      <c r="F14" s="172">
        <f t="shared" ref="F14:F32" si="0">SUM(D14:E14)</f>
        <v>0</v>
      </c>
      <c r="G14" s="58"/>
      <c r="H14" s="59"/>
      <c r="I14" s="172">
        <f t="shared" ref="I14:I32" si="1">SUM(G14:H14)</f>
        <v>0</v>
      </c>
      <c r="J14" s="58"/>
      <c r="K14" s="59"/>
      <c r="L14" s="172">
        <f t="shared" ref="L14:L32" si="2">SUM(J14:K14)</f>
        <v>0</v>
      </c>
      <c r="M14" s="58"/>
      <c r="N14" s="59"/>
      <c r="O14" s="172">
        <f t="shared" ref="O14:O32" si="3">SUM(M14:N14)</f>
        <v>0</v>
      </c>
      <c r="P14" s="58"/>
      <c r="Q14" s="59"/>
      <c r="R14" s="172">
        <f t="shared" ref="R14:R32" si="4">SUM(P14:Q14)</f>
        <v>0</v>
      </c>
      <c r="S14" s="58"/>
      <c r="T14" s="59"/>
      <c r="U14" s="172">
        <f t="shared" ref="U14:U32" si="5">SUM(S14:T14)</f>
        <v>0</v>
      </c>
    </row>
    <row r="15" spans="2:21" ht="15.75" customHeight="1" x14ac:dyDescent="0.25">
      <c r="B15" s="130">
        <f t="shared" ref="B15:B31" si="6">B14+1</f>
        <v>3</v>
      </c>
      <c r="C15" s="60"/>
      <c r="D15" s="58"/>
      <c r="E15" s="59"/>
      <c r="F15" s="172">
        <f t="shared" si="0"/>
        <v>0</v>
      </c>
      <c r="G15" s="58"/>
      <c r="H15" s="59"/>
      <c r="I15" s="172">
        <f t="shared" si="1"/>
        <v>0</v>
      </c>
      <c r="J15" s="58"/>
      <c r="K15" s="59"/>
      <c r="L15" s="172">
        <f t="shared" si="2"/>
        <v>0</v>
      </c>
      <c r="M15" s="58"/>
      <c r="N15" s="59"/>
      <c r="O15" s="172">
        <f t="shared" si="3"/>
        <v>0</v>
      </c>
      <c r="P15" s="58"/>
      <c r="Q15" s="59"/>
      <c r="R15" s="172">
        <f t="shared" si="4"/>
        <v>0</v>
      </c>
      <c r="S15" s="58"/>
      <c r="T15" s="59"/>
      <c r="U15" s="172">
        <f t="shared" si="5"/>
        <v>0</v>
      </c>
    </row>
    <row r="16" spans="2:21" ht="15.75" customHeight="1" x14ac:dyDescent="0.25">
      <c r="B16" s="130">
        <f t="shared" si="6"/>
        <v>4</v>
      </c>
      <c r="C16" s="60"/>
      <c r="D16" s="58"/>
      <c r="E16" s="59"/>
      <c r="F16" s="172">
        <f t="shared" si="0"/>
        <v>0</v>
      </c>
      <c r="G16" s="58"/>
      <c r="H16" s="59"/>
      <c r="I16" s="172">
        <f t="shared" si="1"/>
        <v>0</v>
      </c>
      <c r="J16" s="58"/>
      <c r="K16" s="59"/>
      <c r="L16" s="172">
        <f t="shared" si="2"/>
        <v>0</v>
      </c>
      <c r="M16" s="58"/>
      <c r="N16" s="59"/>
      <c r="O16" s="172">
        <f t="shared" si="3"/>
        <v>0</v>
      </c>
      <c r="P16" s="58"/>
      <c r="Q16" s="59"/>
      <c r="R16" s="172">
        <f t="shared" si="4"/>
        <v>0</v>
      </c>
      <c r="S16" s="58"/>
      <c r="T16" s="59"/>
      <c r="U16" s="172">
        <f t="shared" si="5"/>
        <v>0</v>
      </c>
    </row>
    <row r="17" spans="2:21" ht="15.75" customHeight="1" x14ac:dyDescent="0.25">
      <c r="B17" s="130">
        <f t="shared" si="6"/>
        <v>5</v>
      </c>
      <c r="C17" s="60"/>
      <c r="D17" s="58"/>
      <c r="E17" s="59"/>
      <c r="F17" s="172">
        <f t="shared" si="0"/>
        <v>0</v>
      </c>
      <c r="G17" s="58"/>
      <c r="H17" s="59"/>
      <c r="I17" s="172">
        <f t="shared" si="1"/>
        <v>0</v>
      </c>
      <c r="J17" s="58"/>
      <c r="K17" s="59"/>
      <c r="L17" s="172">
        <f t="shared" si="2"/>
        <v>0</v>
      </c>
      <c r="M17" s="58"/>
      <c r="N17" s="59"/>
      <c r="O17" s="172">
        <f t="shared" si="3"/>
        <v>0</v>
      </c>
      <c r="P17" s="58"/>
      <c r="Q17" s="59"/>
      <c r="R17" s="172">
        <f t="shared" si="4"/>
        <v>0</v>
      </c>
      <c r="S17" s="58"/>
      <c r="T17" s="59"/>
      <c r="U17" s="172">
        <f t="shared" si="5"/>
        <v>0</v>
      </c>
    </row>
    <row r="18" spans="2:21" ht="15.75" customHeight="1" x14ac:dyDescent="0.25">
      <c r="B18" s="130">
        <f t="shared" si="6"/>
        <v>6</v>
      </c>
      <c r="C18" s="60"/>
      <c r="D18" s="58"/>
      <c r="E18" s="59"/>
      <c r="F18" s="172">
        <f t="shared" si="0"/>
        <v>0</v>
      </c>
      <c r="G18" s="58"/>
      <c r="H18" s="59"/>
      <c r="I18" s="172">
        <f t="shared" si="1"/>
        <v>0</v>
      </c>
      <c r="J18" s="58"/>
      <c r="K18" s="59"/>
      <c r="L18" s="172">
        <f t="shared" si="2"/>
        <v>0</v>
      </c>
      <c r="M18" s="58"/>
      <c r="N18" s="59"/>
      <c r="O18" s="172">
        <f t="shared" si="3"/>
        <v>0</v>
      </c>
      <c r="P18" s="58"/>
      <c r="Q18" s="59"/>
      <c r="R18" s="172">
        <f t="shared" si="4"/>
        <v>0</v>
      </c>
      <c r="S18" s="58"/>
      <c r="T18" s="59"/>
      <c r="U18" s="172">
        <f t="shared" si="5"/>
        <v>0</v>
      </c>
    </row>
    <row r="19" spans="2:21" ht="15.75" customHeight="1" x14ac:dyDescent="0.25">
      <c r="B19" s="130">
        <f t="shared" si="6"/>
        <v>7</v>
      </c>
      <c r="C19" s="60"/>
      <c r="D19" s="58"/>
      <c r="E19" s="59"/>
      <c r="F19" s="172">
        <f t="shared" si="0"/>
        <v>0</v>
      </c>
      <c r="G19" s="58"/>
      <c r="H19" s="59"/>
      <c r="I19" s="172">
        <f t="shared" si="1"/>
        <v>0</v>
      </c>
      <c r="J19" s="58"/>
      <c r="K19" s="59"/>
      <c r="L19" s="172">
        <f t="shared" si="2"/>
        <v>0</v>
      </c>
      <c r="M19" s="58"/>
      <c r="N19" s="59"/>
      <c r="O19" s="172">
        <f t="shared" si="3"/>
        <v>0</v>
      </c>
      <c r="P19" s="58"/>
      <c r="Q19" s="59"/>
      <c r="R19" s="172">
        <f t="shared" si="4"/>
        <v>0</v>
      </c>
      <c r="S19" s="58"/>
      <c r="T19" s="59"/>
      <c r="U19" s="172">
        <f t="shared" si="5"/>
        <v>0</v>
      </c>
    </row>
    <row r="20" spans="2:21" ht="15.75" customHeight="1" x14ac:dyDescent="0.25">
      <c r="B20" s="130">
        <f t="shared" si="6"/>
        <v>8</v>
      </c>
      <c r="C20" s="60"/>
      <c r="D20" s="58"/>
      <c r="E20" s="59"/>
      <c r="F20" s="172">
        <f t="shared" si="0"/>
        <v>0</v>
      </c>
      <c r="G20" s="58"/>
      <c r="H20" s="59"/>
      <c r="I20" s="172">
        <f t="shared" si="1"/>
        <v>0</v>
      </c>
      <c r="J20" s="58"/>
      <c r="K20" s="59"/>
      <c r="L20" s="172">
        <f t="shared" si="2"/>
        <v>0</v>
      </c>
      <c r="M20" s="58"/>
      <c r="N20" s="59"/>
      <c r="O20" s="172">
        <f t="shared" si="3"/>
        <v>0</v>
      </c>
      <c r="P20" s="58"/>
      <c r="Q20" s="59"/>
      <c r="R20" s="172">
        <f t="shared" si="4"/>
        <v>0</v>
      </c>
      <c r="S20" s="58"/>
      <c r="T20" s="59"/>
      <c r="U20" s="172">
        <f t="shared" si="5"/>
        <v>0</v>
      </c>
    </row>
    <row r="21" spans="2:21" ht="15.75" customHeight="1" x14ac:dyDescent="0.25">
      <c r="B21" s="130">
        <f t="shared" si="6"/>
        <v>9</v>
      </c>
      <c r="C21" s="60"/>
      <c r="D21" s="58"/>
      <c r="E21" s="59"/>
      <c r="F21" s="172">
        <f t="shared" si="0"/>
        <v>0</v>
      </c>
      <c r="G21" s="58"/>
      <c r="H21" s="59"/>
      <c r="I21" s="172">
        <f t="shared" si="1"/>
        <v>0</v>
      </c>
      <c r="J21" s="58"/>
      <c r="K21" s="59"/>
      <c r="L21" s="172">
        <f t="shared" si="2"/>
        <v>0</v>
      </c>
      <c r="M21" s="58"/>
      <c r="N21" s="59"/>
      <c r="O21" s="172">
        <f t="shared" si="3"/>
        <v>0</v>
      </c>
      <c r="P21" s="58"/>
      <c r="Q21" s="59"/>
      <c r="R21" s="172">
        <f t="shared" si="4"/>
        <v>0</v>
      </c>
      <c r="S21" s="58"/>
      <c r="T21" s="59"/>
      <c r="U21" s="172">
        <f t="shared" si="5"/>
        <v>0</v>
      </c>
    </row>
    <row r="22" spans="2:21" ht="15.75" customHeight="1" x14ac:dyDescent="0.25">
      <c r="B22" s="130">
        <f t="shared" si="6"/>
        <v>10</v>
      </c>
      <c r="C22" s="60"/>
      <c r="D22" s="58"/>
      <c r="E22" s="59"/>
      <c r="F22" s="172">
        <f t="shared" si="0"/>
        <v>0</v>
      </c>
      <c r="G22" s="58"/>
      <c r="H22" s="59"/>
      <c r="I22" s="172">
        <f t="shared" si="1"/>
        <v>0</v>
      </c>
      <c r="J22" s="58"/>
      <c r="K22" s="59"/>
      <c r="L22" s="172">
        <f t="shared" si="2"/>
        <v>0</v>
      </c>
      <c r="M22" s="58"/>
      <c r="N22" s="59"/>
      <c r="O22" s="172">
        <f t="shared" si="3"/>
        <v>0</v>
      </c>
      <c r="P22" s="58"/>
      <c r="Q22" s="59"/>
      <c r="R22" s="172">
        <f t="shared" si="4"/>
        <v>0</v>
      </c>
      <c r="S22" s="58"/>
      <c r="T22" s="59"/>
      <c r="U22" s="172">
        <f t="shared" si="5"/>
        <v>0</v>
      </c>
    </row>
    <row r="23" spans="2:21" ht="15.75" customHeight="1" x14ac:dyDescent="0.25">
      <c r="B23" s="130">
        <f t="shared" si="6"/>
        <v>11</v>
      </c>
      <c r="C23" s="60"/>
      <c r="D23" s="58"/>
      <c r="E23" s="59"/>
      <c r="F23" s="172">
        <f t="shared" si="0"/>
        <v>0</v>
      </c>
      <c r="G23" s="58"/>
      <c r="H23" s="59"/>
      <c r="I23" s="172">
        <f t="shared" si="1"/>
        <v>0</v>
      </c>
      <c r="J23" s="58"/>
      <c r="K23" s="59"/>
      <c r="L23" s="172">
        <f t="shared" si="2"/>
        <v>0</v>
      </c>
      <c r="M23" s="58"/>
      <c r="N23" s="59"/>
      <c r="O23" s="172">
        <f t="shared" si="3"/>
        <v>0</v>
      </c>
      <c r="P23" s="58"/>
      <c r="Q23" s="59"/>
      <c r="R23" s="172">
        <f t="shared" si="4"/>
        <v>0</v>
      </c>
      <c r="S23" s="58"/>
      <c r="T23" s="59"/>
      <c r="U23" s="172">
        <f t="shared" si="5"/>
        <v>0</v>
      </c>
    </row>
    <row r="24" spans="2:21" ht="15.75" customHeight="1" x14ac:dyDescent="0.25">
      <c r="B24" s="130">
        <f t="shared" si="6"/>
        <v>12</v>
      </c>
      <c r="C24" s="60"/>
      <c r="D24" s="58"/>
      <c r="E24" s="59"/>
      <c r="F24" s="172">
        <f t="shared" si="0"/>
        <v>0</v>
      </c>
      <c r="G24" s="58"/>
      <c r="H24" s="59"/>
      <c r="I24" s="172">
        <f t="shared" si="1"/>
        <v>0</v>
      </c>
      <c r="J24" s="58"/>
      <c r="K24" s="59"/>
      <c r="L24" s="172">
        <f t="shared" si="2"/>
        <v>0</v>
      </c>
      <c r="M24" s="58"/>
      <c r="N24" s="59"/>
      <c r="O24" s="172">
        <f t="shared" si="3"/>
        <v>0</v>
      </c>
      <c r="P24" s="58"/>
      <c r="Q24" s="59"/>
      <c r="R24" s="172">
        <f t="shared" si="4"/>
        <v>0</v>
      </c>
      <c r="S24" s="58"/>
      <c r="T24" s="59"/>
      <c r="U24" s="172">
        <f t="shared" si="5"/>
        <v>0</v>
      </c>
    </row>
    <row r="25" spans="2:21" ht="15.75" customHeight="1" x14ac:dyDescent="0.25">
      <c r="B25" s="130">
        <f t="shared" si="6"/>
        <v>13</v>
      </c>
      <c r="C25" s="60"/>
      <c r="D25" s="58"/>
      <c r="E25" s="59"/>
      <c r="F25" s="172">
        <f t="shared" si="0"/>
        <v>0</v>
      </c>
      <c r="G25" s="58"/>
      <c r="H25" s="59"/>
      <c r="I25" s="172">
        <f t="shared" si="1"/>
        <v>0</v>
      </c>
      <c r="J25" s="58"/>
      <c r="K25" s="59"/>
      <c r="L25" s="172">
        <f t="shared" si="2"/>
        <v>0</v>
      </c>
      <c r="M25" s="58"/>
      <c r="N25" s="59"/>
      <c r="O25" s="172">
        <f t="shared" si="3"/>
        <v>0</v>
      </c>
      <c r="P25" s="58"/>
      <c r="Q25" s="59"/>
      <c r="R25" s="172">
        <f t="shared" si="4"/>
        <v>0</v>
      </c>
      <c r="S25" s="58"/>
      <c r="T25" s="59"/>
      <c r="U25" s="172">
        <f t="shared" si="5"/>
        <v>0</v>
      </c>
    </row>
    <row r="26" spans="2:21" ht="15.75" customHeight="1" x14ac:dyDescent="0.25">
      <c r="B26" s="130">
        <f t="shared" si="6"/>
        <v>14</v>
      </c>
      <c r="C26" s="60"/>
      <c r="D26" s="58"/>
      <c r="E26" s="59"/>
      <c r="F26" s="172">
        <f t="shared" si="0"/>
        <v>0</v>
      </c>
      <c r="G26" s="58"/>
      <c r="H26" s="59"/>
      <c r="I26" s="172">
        <f t="shared" si="1"/>
        <v>0</v>
      </c>
      <c r="J26" s="58"/>
      <c r="K26" s="59"/>
      <c r="L26" s="172">
        <f t="shared" si="2"/>
        <v>0</v>
      </c>
      <c r="M26" s="58"/>
      <c r="N26" s="59"/>
      <c r="O26" s="172">
        <f t="shared" si="3"/>
        <v>0</v>
      </c>
      <c r="P26" s="58"/>
      <c r="Q26" s="59"/>
      <c r="R26" s="172">
        <f t="shared" si="4"/>
        <v>0</v>
      </c>
      <c r="S26" s="58"/>
      <c r="T26" s="59"/>
      <c r="U26" s="172">
        <f t="shared" si="5"/>
        <v>0</v>
      </c>
    </row>
    <row r="27" spans="2:21" ht="15.75" customHeight="1" x14ac:dyDescent="0.25">
      <c r="B27" s="130">
        <f t="shared" si="6"/>
        <v>15</v>
      </c>
      <c r="C27" s="60"/>
      <c r="D27" s="58"/>
      <c r="E27" s="59"/>
      <c r="F27" s="172">
        <f t="shared" si="0"/>
        <v>0</v>
      </c>
      <c r="G27" s="58"/>
      <c r="H27" s="59"/>
      <c r="I27" s="172">
        <f t="shared" si="1"/>
        <v>0</v>
      </c>
      <c r="J27" s="58"/>
      <c r="K27" s="59"/>
      <c r="L27" s="172">
        <f t="shared" si="2"/>
        <v>0</v>
      </c>
      <c r="M27" s="58"/>
      <c r="N27" s="59"/>
      <c r="O27" s="172">
        <f t="shared" si="3"/>
        <v>0</v>
      </c>
      <c r="P27" s="58"/>
      <c r="Q27" s="59"/>
      <c r="R27" s="172">
        <f t="shared" si="4"/>
        <v>0</v>
      </c>
      <c r="S27" s="58"/>
      <c r="T27" s="59"/>
      <c r="U27" s="172">
        <f t="shared" si="5"/>
        <v>0</v>
      </c>
    </row>
    <row r="28" spans="2:21" ht="15.75" customHeight="1" x14ac:dyDescent="0.25">
      <c r="B28" s="130">
        <f t="shared" si="6"/>
        <v>16</v>
      </c>
      <c r="C28" s="60"/>
      <c r="D28" s="58"/>
      <c r="E28" s="59"/>
      <c r="F28" s="172">
        <f t="shared" si="0"/>
        <v>0</v>
      </c>
      <c r="G28" s="58"/>
      <c r="H28" s="59"/>
      <c r="I28" s="172">
        <f t="shared" si="1"/>
        <v>0</v>
      </c>
      <c r="J28" s="58"/>
      <c r="K28" s="59"/>
      <c r="L28" s="172">
        <f t="shared" si="2"/>
        <v>0</v>
      </c>
      <c r="M28" s="58"/>
      <c r="N28" s="59"/>
      <c r="O28" s="172">
        <f t="shared" si="3"/>
        <v>0</v>
      </c>
      <c r="P28" s="58"/>
      <c r="Q28" s="59"/>
      <c r="R28" s="172">
        <f t="shared" si="4"/>
        <v>0</v>
      </c>
      <c r="S28" s="58"/>
      <c r="T28" s="59"/>
      <c r="U28" s="172">
        <f t="shared" si="5"/>
        <v>0</v>
      </c>
    </row>
    <row r="29" spans="2:21" ht="15.75" customHeight="1" x14ac:dyDescent="0.25">
      <c r="B29" s="130">
        <f t="shared" si="6"/>
        <v>17</v>
      </c>
      <c r="C29" s="60"/>
      <c r="D29" s="58"/>
      <c r="E29" s="59"/>
      <c r="F29" s="172">
        <f t="shared" si="0"/>
        <v>0</v>
      </c>
      <c r="G29" s="58"/>
      <c r="H29" s="59"/>
      <c r="I29" s="172">
        <f t="shared" si="1"/>
        <v>0</v>
      </c>
      <c r="J29" s="58"/>
      <c r="K29" s="59"/>
      <c r="L29" s="172">
        <f t="shared" si="2"/>
        <v>0</v>
      </c>
      <c r="M29" s="58"/>
      <c r="N29" s="59"/>
      <c r="O29" s="172">
        <f t="shared" si="3"/>
        <v>0</v>
      </c>
      <c r="P29" s="58"/>
      <c r="Q29" s="59"/>
      <c r="R29" s="172">
        <f t="shared" si="4"/>
        <v>0</v>
      </c>
      <c r="S29" s="58"/>
      <c r="T29" s="59"/>
      <c r="U29" s="172">
        <f t="shared" si="5"/>
        <v>0</v>
      </c>
    </row>
    <row r="30" spans="2:21" ht="15.75" customHeight="1" x14ac:dyDescent="0.25">
      <c r="B30" s="136">
        <f t="shared" si="6"/>
        <v>18</v>
      </c>
      <c r="C30" s="60"/>
      <c r="D30" s="58"/>
      <c r="E30" s="59"/>
      <c r="F30" s="172">
        <f t="shared" si="0"/>
        <v>0</v>
      </c>
      <c r="G30" s="58"/>
      <c r="H30" s="59"/>
      <c r="I30" s="172">
        <f t="shared" si="1"/>
        <v>0</v>
      </c>
      <c r="J30" s="58"/>
      <c r="K30" s="59"/>
      <c r="L30" s="172">
        <f t="shared" si="2"/>
        <v>0</v>
      </c>
      <c r="M30" s="58"/>
      <c r="N30" s="59"/>
      <c r="O30" s="172">
        <f t="shared" si="3"/>
        <v>0</v>
      </c>
      <c r="P30" s="58"/>
      <c r="Q30" s="59"/>
      <c r="R30" s="172">
        <f t="shared" si="4"/>
        <v>0</v>
      </c>
      <c r="S30" s="58"/>
      <c r="T30" s="59"/>
      <c r="U30" s="172">
        <f t="shared" si="5"/>
        <v>0</v>
      </c>
    </row>
    <row r="31" spans="2:21" ht="15" customHeight="1" x14ac:dyDescent="0.25">
      <c r="B31" s="136">
        <f t="shared" si="6"/>
        <v>19</v>
      </c>
      <c r="C31" s="60"/>
      <c r="D31" s="58"/>
      <c r="E31" s="59"/>
      <c r="F31" s="172">
        <f t="shared" si="0"/>
        <v>0</v>
      </c>
      <c r="G31" s="58"/>
      <c r="H31" s="59"/>
      <c r="I31" s="172">
        <f t="shared" si="1"/>
        <v>0</v>
      </c>
      <c r="J31" s="58"/>
      <c r="K31" s="59"/>
      <c r="L31" s="172">
        <f t="shared" si="2"/>
        <v>0</v>
      </c>
      <c r="M31" s="58"/>
      <c r="N31" s="59"/>
      <c r="O31" s="172">
        <f t="shared" si="3"/>
        <v>0</v>
      </c>
      <c r="P31" s="58"/>
      <c r="Q31" s="59"/>
      <c r="R31" s="172">
        <f t="shared" si="4"/>
        <v>0</v>
      </c>
      <c r="S31" s="58"/>
      <c r="T31" s="59"/>
      <c r="U31" s="172">
        <f t="shared" si="5"/>
        <v>0</v>
      </c>
    </row>
    <row r="32" spans="2:21" ht="14.5" thickBot="1" x14ac:dyDescent="0.3">
      <c r="B32" s="137">
        <f>B31+1</f>
        <v>20</v>
      </c>
      <c r="C32" s="60"/>
      <c r="D32" s="58"/>
      <c r="E32" s="59"/>
      <c r="F32" s="172">
        <f t="shared" si="0"/>
        <v>0</v>
      </c>
      <c r="G32" s="58"/>
      <c r="H32" s="59"/>
      <c r="I32" s="172">
        <f t="shared" si="1"/>
        <v>0</v>
      </c>
      <c r="J32" s="58"/>
      <c r="K32" s="59"/>
      <c r="L32" s="172">
        <f t="shared" si="2"/>
        <v>0</v>
      </c>
      <c r="M32" s="58"/>
      <c r="N32" s="59"/>
      <c r="O32" s="172">
        <f t="shared" si="3"/>
        <v>0</v>
      </c>
      <c r="P32" s="58"/>
      <c r="Q32" s="59"/>
      <c r="R32" s="172">
        <f t="shared" si="4"/>
        <v>0</v>
      </c>
      <c r="S32" s="58"/>
      <c r="T32" s="59"/>
      <c r="U32" s="172">
        <f t="shared" si="5"/>
        <v>0</v>
      </c>
    </row>
    <row r="33" spans="1:21" ht="31.5" customHeight="1" thickBot="1" x14ac:dyDescent="0.3">
      <c r="C33" s="166" t="s">
        <v>2</v>
      </c>
      <c r="D33" s="53">
        <f>SUM(D13:D32)</f>
        <v>0</v>
      </c>
      <c r="E33" s="54">
        <f>SUM(E13:E32)</f>
        <v>0</v>
      </c>
      <c r="F33" s="55">
        <f>D33+E33</f>
        <v>0</v>
      </c>
      <c r="G33" s="53">
        <f>SUM(G13:G32)</f>
        <v>0</v>
      </c>
      <c r="H33" s="54">
        <f>SUM(H13:H32)</f>
        <v>0</v>
      </c>
      <c r="I33" s="55">
        <f>G33+H33</f>
        <v>0</v>
      </c>
      <c r="J33" s="53">
        <f>SUM(J13:J32)</f>
        <v>0</v>
      </c>
      <c r="K33" s="54">
        <f>SUM(K13:K32)</f>
        <v>0</v>
      </c>
      <c r="L33" s="55">
        <f>J33+K33</f>
        <v>0</v>
      </c>
      <c r="M33" s="53">
        <f>SUM(M13:M32)</f>
        <v>0</v>
      </c>
      <c r="N33" s="54">
        <f>SUM(N13:N32)</f>
        <v>0</v>
      </c>
      <c r="O33" s="55">
        <f>M33+N33</f>
        <v>0</v>
      </c>
      <c r="P33" s="53">
        <f>SUM(P13:P32)</f>
        <v>0</v>
      </c>
      <c r="Q33" s="54">
        <f>SUM(Q13:Q32)</f>
        <v>0</v>
      </c>
      <c r="R33" s="55">
        <f>P33+Q33</f>
        <v>0</v>
      </c>
      <c r="S33" s="53">
        <f>SUM(S13:S32)</f>
        <v>0</v>
      </c>
      <c r="T33" s="54">
        <f>SUM(T13:T32)</f>
        <v>0</v>
      </c>
      <c r="U33" s="55">
        <f>S33+T33</f>
        <v>0</v>
      </c>
    </row>
    <row r="34" spans="1:21" ht="15.75" customHeight="1" x14ac:dyDescent="0.25">
      <c r="A34" s="22"/>
      <c r="B34" s="22"/>
      <c r="C34" s="22"/>
      <c r="D34" s="22"/>
      <c r="E34" s="22"/>
      <c r="F34" s="22"/>
      <c r="G34" s="22"/>
      <c r="H34" s="22"/>
      <c r="I34" s="22"/>
      <c r="J34" s="22"/>
      <c r="K34" s="22"/>
      <c r="L34" s="22"/>
      <c r="M34" s="22"/>
      <c r="N34" s="22"/>
    </row>
  </sheetData>
  <sheetProtection insertRows="0"/>
  <protectedRanges>
    <protectedRange password="CC9E" sqref="A8 C8:IV8 A9:IV11 A1:IV5 A13:IV65536 A12:D12 F12:G12 I12:J12 L12:M12 O12:P12 R12:S12 U12:IV12 A7:IV7 A6 D6:IV6" name="Rango1"/>
    <protectedRange password="CC9E" sqref="B8" name="Rango1_1"/>
    <protectedRange password="CC9E" sqref="E12" name="Rango1_1_4"/>
    <protectedRange password="CC9E" sqref="H12" name="Rango1_1_4_1"/>
    <protectedRange password="CC9E" sqref="K12" name="Rango1_1_4_2"/>
    <protectedRange password="CC9E" sqref="N12" name="Rango1_1_4_3"/>
    <protectedRange password="CC9E" sqref="Q12" name="Rango1_1_4_4"/>
    <protectedRange password="CC9E" sqref="T12" name="Rango1_1_4_5"/>
    <protectedRange password="CC9E" sqref="B6:C6" name="Rango1_3_1"/>
  </protectedRanges>
  <mergeCells count="11">
    <mergeCell ref="S11:U11"/>
    <mergeCell ref="J11:L11"/>
    <mergeCell ref="C11:C12"/>
    <mergeCell ref="D1:I1"/>
    <mergeCell ref="B8:C8"/>
    <mergeCell ref="B11:B12"/>
    <mergeCell ref="D11:F11"/>
    <mergeCell ref="G11:I11"/>
    <mergeCell ref="M11:O11"/>
    <mergeCell ref="P11:R11"/>
    <mergeCell ref="B6:C6"/>
  </mergeCells>
  <phoneticPr fontId="2" type="noConversion"/>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ignoredErrors>
    <ignoredError sqref="C10 A13:B32 C33 D12 A33:B33 J12 A11:B12 D33:E33 D11:F11 H11:I11 F12:G12 I12 L12" unlocked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6"/>
  <sheetViews>
    <sheetView showGridLines="0" zoomScale="70" zoomScaleNormal="70" workbookViewId="0">
      <pane xSplit="3" ySplit="14" topLeftCell="D15" activePane="bottomRight" state="frozen"/>
      <selection activeCell="C5" sqref="C5:D5"/>
      <selection pane="topRight" activeCell="C5" sqref="C5:D5"/>
      <selection pane="bottomLeft" activeCell="C5" sqref="C5:D5"/>
      <selection pane="bottomRight" activeCell="C1" sqref="C1"/>
    </sheetView>
  </sheetViews>
  <sheetFormatPr baseColWidth="10" defaultColWidth="11.453125" defaultRowHeight="14" x14ac:dyDescent="0.25"/>
  <cols>
    <col min="1" max="1" width="1.6328125" style="16" customWidth="1"/>
    <col min="2" max="2" width="14.6328125" style="16" customWidth="1"/>
    <col min="3" max="3" width="90.6328125" style="16" customWidth="1"/>
    <col min="4" max="12" width="15.36328125" style="16" customWidth="1"/>
    <col min="13" max="13" width="13.81640625" style="16" customWidth="1"/>
    <col min="14" max="14" width="13.90625" style="16" customWidth="1"/>
    <col min="15" max="15" width="13.453125" style="16" customWidth="1"/>
    <col min="16" max="16" width="14.36328125" style="16" customWidth="1"/>
    <col min="17" max="17" width="14.90625" style="16" customWidth="1"/>
    <col min="18" max="18" width="13.54296875" style="16" customWidth="1"/>
    <col min="19" max="19" width="13.36328125" style="16" customWidth="1"/>
    <col min="20" max="20" width="14.08984375" style="16" customWidth="1"/>
    <col min="21" max="21" width="13.453125" style="16" customWidth="1"/>
    <col min="22" max="16384" width="11.453125" style="16"/>
  </cols>
  <sheetData>
    <row r="1" spans="2:21" ht="64.5" customHeight="1" x14ac:dyDescent="0.25">
      <c r="D1" s="219"/>
      <c r="E1" s="219"/>
      <c r="F1" s="219"/>
      <c r="G1" s="219"/>
      <c r="H1" s="219"/>
      <c r="I1" s="219"/>
      <c r="J1" s="12"/>
      <c r="K1" s="12"/>
      <c r="L1" s="12"/>
    </row>
    <row r="2" spans="2:21" ht="14.5" x14ac:dyDescent="0.25">
      <c r="B2" s="116"/>
    </row>
    <row r="4" spans="2:21" x14ac:dyDescent="0.25">
      <c r="B4" s="93" t="s">
        <v>9</v>
      </c>
    </row>
    <row r="5" spans="2:21" x14ac:dyDescent="0.25">
      <c r="B5" s="93"/>
    </row>
    <row r="6" spans="2:21" ht="42" customHeight="1" x14ac:dyDescent="0.25">
      <c r="B6" s="215" t="s">
        <v>155</v>
      </c>
      <c r="C6" s="215"/>
    </row>
    <row r="8" spans="2:21" ht="40.25" customHeight="1" x14ac:dyDescent="0.25">
      <c r="B8" s="215" t="s">
        <v>156</v>
      </c>
      <c r="C8" s="215"/>
    </row>
    <row r="10" spans="2:21" ht="43.75" customHeight="1" x14ac:dyDescent="0.25">
      <c r="B10" s="215" t="s">
        <v>132</v>
      </c>
      <c r="C10" s="215"/>
    </row>
    <row r="11" spans="2:21" x14ac:dyDescent="0.25">
      <c r="B11" s="230"/>
      <c r="C11" s="230"/>
    </row>
    <row r="12" spans="2:21" ht="6" customHeight="1" thickBot="1" x14ac:dyDescent="0.3"/>
    <row r="13" spans="2:21" ht="15.75" customHeight="1" thickBot="1" x14ac:dyDescent="0.3">
      <c r="B13" s="211" t="s">
        <v>115</v>
      </c>
      <c r="C13" s="211" t="s">
        <v>154</v>
      </c>
      <c r="D13" s="216">
        <f>Personal!F13</f>
        <v>2024</v>
      </c>
      <c r="E13" s="217"/>
      <c r="F13" s="218"/>
      <c r="G13" s="216">
        <f>D13+1</f>
        <v>2025</v>
      </c>
      <c r="H13" s="217"/>
      <c r="I13" s="218"/>
      <c r="J13" s="216">
        <f>G13+1</f>
        <v>2026</v>
      </c>
      <c r="K13" s="217"/>
      <c r="L13" s="218"/>
      <c r="M13" s="216">
        <f>J13+1</f>
        <v>2027</v>
      </c>
      <c r="N13" s="217"/>
      <c r="O13" s="218"/>
      <c r="P13" s="216">
        <f>M13+1</f>
        <v>2028</v>
      </c>
      <c r="Q13" s="217"/>
      <c r="R13" s="218"/>
      <c r="S13" s="216">
        <f>P13+1</f>
        <v>2029</v>
      </c>
      <c r="T13" s="217"/>
      <c r="U13" s="218"/>
    </row>
    <row r="14" spans="2:21" s="56" customFormat="1" ht="67.25" customHeight="1" thickBot="1" x14ac:dyDescent="0.3">
      <c r="B14" s="212" t="s">
        <v>1</v>
      </c>
      <c r="C14" s="212"/>
      <c r="D14" s="138" t="s">
        <v>7</v>
      </c>
      <c r="E14" s="139" t="s">
        <v>139</v>
      </c>
      <c r="F14" s="140" t="s">
        <v>8</v>
      </c>
      <c r="G14" s="138" t="s">
        <v>7</v>
      </c>
      <c r="H14" s="139" t="s">
        <v>139</v>
      </c>
      <c r="I14" s="140" t="s">
        <v>8</v>
      </c>
      <c r="J14" s="138" t="s">
        <v>7</v>
      </c>
      <c r="K14" s="139" t="s">
        <v>139</v>
      </c>
      <c r="L14" s="140" t="s">
        <v>8</v>
      </c>
      <c r="M14" s="138" t="s">
        <v>7</v>
      </c>
      <c r="N14" s="139" t="s">
        <v>139</v>
      </c>
      <c r="O14" s="140" t="s">
        <v>8</v>
      </c>
      <c r="P14" s="138" t="s">
        <v>7</v>
      </c>
      <c r="Q14" s="139" t="s">
        <v>139</v>
      </c>
      <c r="R14" s="140" t="s">
        <v>8</v>
      </c>
      <c r="S14" s="138" t="s">
        <v>7</v>
      </c>
      <c r="T14" s="139" t="s">
        <v>139</v>
      </c>
      <c r="U14" s="140" t="s">
        <v>8</v>
      </c>
    </row>
    <row r="15" spans="2:21" ht="15.75" customHeight="1" x14ac:dyDescent="0.25">
      <c r="B15" s="129">
        <v>1</v>
      </c>
      <c r="C15" s="57"/>
      <c r="D15" s="58"/>
      <c r="E15" s="59"/>
      <c r="F15" s="172">
        <f>SUM(D15:E15)</f>
        <v>0</v>
      </c>
      <c r="G15" s="58"/>
      <c r="H15" s="59"/>
      <c r="I15" s="172">
        <f>SUM(G15:H15)</f>
        <v>0</v>
      </c>
      <c r="J15" s="58"/>
      <c r="K15" s="59"/>
      <c r="L15" s="172">
        <f>SUM(J15:K15)</f>
        <v>0</v>
      </c>
      <c r="M15" s="58"/>
      <c r="N15" s="59"/>
      <c r="O15" s="172">
        <f>SUM(M15:N15)</f>
        <v>0</v>
      </c>
      <c r="P15" s="58"/>
      <c r="Q15" s="59"/>
      <c r="R15" s="172">
        <f>SUM(P15:Q15)</f>
        <v>0</v>
      </c>
      <c r="S15" s="58"/>
      <c r="T15" s="59"/>
      <c r="U15" s="172">
        <f>SUM(S15:T15)</f>
        <v>0</v>
      </c>
    </row>
    <row r="16" spans="2:21" ht="15.75" customHeight="1" x14ac:dyDescent="0.25">
      <c r="B16" s="130">
        <f>B15+1</f>
        <v>2</v>
      </c>
      <c r="C16" s="60"/>
      <c r="D16" s="58"/>
      <c r="E16" s="59"/>
      <c r="F16" s="172">
        <f t="shared" ref="F16:F34" si="0">SUM(D16:E16)</f>
        <v>0</v>
      </c>
      <c r="G16" s="58"/>
      <c r="H16" s="59"/>
      <c r="I16" s="172">
        <f t="shared" ref="I16:I34" si="1">SUM(G16:H16)</f>
        <v>0</v>
      </c>
      <c r="J16" s="58"/>
      <c r="K16" s="59"/>
      <c r="L16" s="172">
        <f t="shared" ref="L16:L34" si="2">SUM(J16:K16)</f>
        <v>0</v>
      </c>
      <c r="M16" s="58"/>
      <c r="N16" s="59"/>
      <c r="O16" s="172">
        <f t="shared" ref="O16:O34" si="3">SUM(M16:N16)</f>
        <v>0</v>
      </c>
      <c r="P16" s="58"/>
      <c r="Q16" s="59"/>
      <c r="R16" s="172">
        <f t="shared" ref="R16:R34" si="4">SUM(P16:Q16)</f>
        <v>0</v>
      </c>
      <c r="S16" s="58"/>
      <c r="T16" s="59"/>
      <c r="U16" s="172">
        <f t="shared" ref="U16:U34" si="5">SUM(S16:T16)</f>
        <v>0</v>
      </c>
    </row>
    <row r="17" spans="2:21" ht="15.75" customHeight="1" x14ac:dyDescent="0.25">
      <c r="B17" s="130">
        <f t="shared" ref="B17:B33" si="6">B16+1</f>
        <v>3</v>
      </c>
      <c r="C17" s="60"/>
      <c r="D17" s="58"/>
      <c r="E17" s="59"/>
      <c r="F17" s="172">
        <f t="shared" si="0"/>
        <v>0</v>
      </c>
      <c r="G17" s="58"/>
      <c r="H17" s="59"/>
      <c r="I17" s="172">
        <f t="shared" si="1"/>
        <v>0</v>
      </c>
      <c r="J17" s="58"/>
      <c r="K17" s="59"/>
      <c r="L17" s="172">
        <f t="shared" si="2"/>
        <v>0</v>
      </c>
      <c r="M17" s="58"/>
      <c r="N17" s="59"/>
      <c r="O17" s="172">
        <f t="shared" si="3"/>
        <v>0</v>
      </c>
      <c r="P17" s="58"/>
      <c r="Q17" s="59"/>
      <c r="R17" s="172">
        <f t="shared" si="4"/>
        <v>0</v>
      </c>
      <c r="S17" s="58"/>
      <c r="T17" s="59"/>
      <c r="U17" s="172">
        <f t="shared" si="5"/>
        <v>0</v>
      </c>
    </row>
    <row r="18" spans="2:21" ht="15.75" customHeight="1" x14ac:dyDescent="0.25">
      <c r="B18" s="130">
        <f t="shared" si="6"/>
        <v>4</v>
      </c>
      <c r="C18" s="60"/>
      <c r="D18" s="58"/>
      <c r="E18" s="59"/>
      <c r="F18" s="172">
        <f t="shared" si="0"/>
        <v>0</v>
      </c>
      <c r="G18" s="58"/>
      <c r="H18" s="59"/>
      <c r="I18" s="172">
        <f t="shared" si="1"/>
        <v>0</v>
      </c>
      <c r="J18" s="58"/>
      <c r="K18" s="59"/>
      <c r="L18" s="172">
        <f t="shared" si="2"/>
        <v>0</v>
      </c>
      <c r="M18" s="58"/>
      <c r="N18" s="59"/>
      <c r="O18" s="172">
        <f t="shared" si="3"/>
        <v>0</v>
      </c>
      <c r="P18" s="58"/>
      <c r="Q18" s="59"/>
      <c r="R18" s="172">
        <f t="shared" si="4"/>
        <v>0</v>
      </c>
      <c r="S18" s="58"/>
      <c r="T18" s="59"/>
      <c r="U18" s="172">
        <f t="shared" si="5"/>
        <v>0</v>
      </c>
    </row>
    <row r="19" spans="2:21" ht="15.75" customHeight="1" x14ac:dyDescent="0.25">
      <c r="B19" s="130">
        <f t="shared" si="6"/>
        <v>5</v>
      </c>
      <c r="C19" s="60"/>
      <c r="D19" s="58"/>
      <c r="E19" s="59"/>
      <c r="F19" s="172">
        <f t="shared" si="0"/>
        <v>0</v>
      </c>
      <c r="G19" s="58"/>
      <c r="H19" s="59"/>
      <c r="I19" s="172">
        <f t="shared" si="1"/>
        <v>0</v>
      </c>
      <c r="J19" s="58"/>
      <c r="K19" s="59"/>
      <c r="L19" s="172">
        <f t="shared" si="2"/>
        <v>0</v>
      </c>
      <c r="M19" s="58"/>
      <c r="N19" s="59"/>
      <c r="O19" s="172">
        <f t="shared" si="3"/>
        <v>0</v>
      </c>
      <c r="P19" s="58"/>
      <c r="Q19" s="59"/>
      <c r="R19" s="172">
        <f t="shared" si="4"/>
        <v>0</v>
      </c>
      <c r="S19" s="58"/>
      <c r="T19" s="59"/>
      <c r="U19" s="172">
        <f t="shared" si="5"/>
        <v>0</v>
      </c>
    </row>
    <row r="20" spans="2:21" ht="15.75" customHeight="1" x14ac:dyDescent="0.25">
      <c r="B20" s="130">
        <f t="shared" si="6"/>
        <v>6</v>
      </c>
      <c r="C20" s="60"/>
      <c r="D20" s="58"/>
      <c r="E20" s="59"/>
      <c r="F20" s="172">
        <f t="shared" si="0"/>
        <v>0</v>
      </c>
      <c r="G20" s="58"/>
      <c r="H20" s="59"/>
      <c r="I20" s="172">
        <f t="shared" si="1"/>
        <v>0</v>
      </c>
      <c r="J20" s="58"/>
      <c r="K20" s="59"/>
      <c r="L20" s="172">
        <f t="shared" si="2"/>
        <v>0</v>
      </c>
      <c r="M20" s="58"/>
      <c r="N20" s="59"/>
      <c r="O20" s="172">
        <f t="shared" si="3"/>
        <v>0</v>
      </c>
      <c r="P20" s="58"/>
      <c r="Q20" s="59"/>
      <c r="R20" s="172">
        <f t="shared" si="4"/>
        <v>0</v>
      </c>
      <c r="S20" s="58"/>
      <c r="T20" s="59"/>
      <c r="U20" s="172">
        <f t="shared" si="5"/>
        <v>0</v>
      </c>
    </row>
    <row r="21" spans="2:21" ht="15.75" customHeight="1" x14ac:dyDescent="0.25">
      <c r="B21" s="130">
        <f t="shared" si="6"/>
        <v>7</v>
      </c>
      <c r="C21" s="60"/>
      <c r="D21" s="58"/>
      <c r="E21" s="59"/>
      <c r="F21" s="172">
        <f t="shared" si="0"/>
        <v>0</v>
      </c>
      <c r="G21" s="58"/>
      <c r="H21" s="59"/>
      <c r="I21" s="172">
        <f t="shared" si="1"/>
        <v>0</v>
      </c>
      <c r="J21" s="58"/>
      <c r="K21" s="59"/>
      <c r="L21" s="172">
        <f t="shared" si="2"/>
        <v>0</v>
      </c>
      <c r="M21" s="58"/>
      <c r="N21" s="59"/>
      <c r="O21" s="172">
        <f t="shared" si="3"/>
        <v>0</v>
      </c>
      <c r="P21" s="58"/>
      <c r="Q21" s="59"/>
      <c r="R21" s="172">
        <f t="shared" si="4"/>
        <v>0</v>
      </c>
      <c r="S21" s="58"/>
      <c r="T21" s="59"/>
      <c r="U21" s="172">
        <f t="shared" si="5"/>
        <v>0</v>
      </c>
    </row>
    <row r="22" spans="2:21" ht="15.75" customHeight="1" x14ac:dyDescent="0.25">
      <c r="B22" s="130">
        <f t="shared" si="6"/>
        <v>8</v>
      </c>
      <c r="C22" s="60"/>
      <c r="D22" s="58"/>
      <c r="E22" s="59"/>
      <c r="F22" s="172">
        <f t="shared" si="0"/>
        <v>0</v>
      </c>
      <c r="G22" s="58"/>
      <c r="H22" s="59"/>
      <c r="I22" s="172">
        <f t="shared" si="1"/>
        <v>0</v>
      </c>
      <c r="J22" s="58"/>
      <c r="K22" s="59"/>
      <c r="L22" s="172">
        <f t="shared" si="2"/>
        <v>0</v>
      </c>
      <c r="M22" s="58"/>
      <c r="N22" s="59"/>
      <c r="O22" s="172">
        <f t="shared" si="3"/>
        <v>0</v>
      </c>
      <c r="P22" s="58"/>
      <c r="Q22" s="59"/>
      <c r="R22" s="172">
        <f t="shared" si="4"/>
        <v>0</v>
      </c>
      <c r="S22" s="58"/>
      <c r="T22" s="59"/>
      <c r="U22" s="172">
        <f t="shared" si="5"/>
        <v>0</v>
      </c>
    </row>
    <row r="23" spans="2:21" ht="15.75" customHeight="1" x14ac:dyDescent="0.25">
      <c r="B23" s="130">
        <f t="shared" si="6"/>
        <v>9</v>
      </c>
      <c r="C23" s="60"/>
      <c r="D23" s="58"/>
      <c r="E23" s="59"/>
      <c r="F23" s="172">
        <f t="shared" si="0"/>
        <v>0</v>
      </c>
      <c r="G23" s="58"/>
      <c r="H23" s="59"/>
      <c r="I23" s="172">
        <f t="shared" si="1"/>
        <v>0</v>
      </c>
      <c r="J23" s="58"/>
      <c r="K23" s="59"/>
      <c r="L23" s="172">
        <f t="shared" si="2"/>
        <v>0</v>
      </c>
      <c r="M23" s="58"/>
      <c r="N23" s="59"/>
      <c r="O23" s="172">
        <f t="shared" si="3"/>
        <v>0</v>
      </c>
      <c r="P23" s="58"/>
      <c r="Q23" s="59"/>
      <c r="R23" s="172">
        <f t="shared" si="4"/>
        <v>0</v>
      </c>
      <c r="S23" s="58"/>
      <c r="T23" s="59"/>
      <c r="U23" s="172">
        <f t="shared" si="5"/>
        <v>0</v>
      </c>
    </row>
    <row r="24" spans="2:21" ht="15.75" customHeight="1" x14ac:dyDescent="0.25">
      <c r="B24" s="130">
        <f t="shared" si="6"/>
        <v>10</v>
      </c>
      <c r="C24" s="60"/>
      <c r="D24" s="58"/>
      <c r="E24" s="59"/>
      <c r="F24" s="172">
        <f t="shared" si="0"/>
        <v>0</v>
      </c>
      <c r="G24" s="58"/>
      <c r="H24" s="59"/>
      <c r="I24" s="172">
        <f t="shared" si="1"/>
        <v>0</v>
      </c>
      <c r="J24" s="58"/>
      <c r="K24" s="59"/>
      <c r="L24" s="172">
        <f t="shared" si="2"/>
        <v>0</v>
      </c>
      <c r="M24" s="58"/>
      <c r="N24" s="59"/>
      <c r="O24" s="172">
        <f t="shared" si="3"/>
        <v>0</v>
      </c>
      <c r="P24" s="58"/>
      <c r="Q24" s="59"/>
      <c r="R24" s="172">
        <f t="shared" si="4"/>
        <v>0</v>
      </c>
      <c r="S24" s="58"/>
      <c r="T24" s="59"/>
      <c r="U24" s="172">
        <f t="shared" si="5"/>
        <v>0</v>
      </c>
    </row>
    <row r="25" spans="2:21" ht="15.75" customHeight="1" x14ac:dyDescent="0.25">
      <c r="B25" s="130">
        <f t="shared" si="6"/>
        <v>11</v>
      </c>
      <c r="C25" s="60"/>
      <c r="D25" s="58"/>
      <c r="E25" s="59"/>
      <c r="F25" s="172">
        <f t="shared" si="0"/>
        <v>0</v>
      </c>
      <c r="G25" s="58"/>
      <c r="H25" s="59"/>
      <c r="I25" s="172">
        <f t="shared" si="1"/>
        <v>0</v>
      </c>
      <c r="J25" s="58"/>
      <c r="K25" s="59"/>
      <c r="L25" s="172">
        <f t="shared" si="2"/>
        <v>0</v>
      </c>
      <c r="M25" s="58"/>
      <c r="N25" s="59"/>
      <c r="O25" s="172">
        <f t="shared" si="3"/>
        <v>0</v>
      </c>
      <c r="P25" s="58"/>
      <c r="Q25" s="59"/>
      <c r="R25" s="172">
        <f t="shared" si="4"/>
        <v>0</v>
      </c>
      <c r="S25" s="58"/>
      <c r="T25" s="59"/>
      <c r="U25" s="172">
        <f t="shared" si="5"/>
        <v>0</v>
      </c>
    </row>
    <row r="26" spans="2:21" ht="15.75" customHeight="1" x14ac:dyDescent="0.25">
      <c r="B26" s="130">
        <f t="shared" si="6"/>
        <v>12</v>
      </c>
      <c r="C26" s="60"/>
      <c r="D26" s="58"/>
      <c r="E26" s="59"/>
      <c r="F26" s="172">
        <f t="shared" si="0"/>
        <v>0</v>
      </c>
      <c r="G26" s="58"/>
      <c r="H26" s="59"/>
      <c r="I26" s="172">
        <f t="shared" si="1"/>
        <v>0</v>
      </c>
      <c r="J26" s="58"/>
      <c r="K26" s="59"/>
      <c r="L26" s="172">
        <f t="shared" si="2"/>
        <v>0</v>
      </c>
      <c r="M26" s="58"/>
      <c r="N26" s="59"/>
      <c r="O26" s="172">
        <f t="shared" si="3"/>
        <v>0</v>
      </c>
      <c r="P26" s="58"/>
      <c r="Q26" s="59"/>
      <c r="R26" s="172">
        <f t="shared" si="4"/>
        <v>0</v>
      </c>
      <c r="S26" s="58"/>
      <c r="T26" s="59"/>
      <c r="U26" s="172">
        <f t="shared" si="5"/>
        <v>0</v>
      </c>
    </row>
    <row r="27" spans="2:21" ht="15.75" customHeight="1" x14ac:dyDescent="0.25">
      <c r="B27" s="130">
        <f t="shared" si="6"/>
        <v>13</v>
      </c>
      <c r="C27" s="60"/>
      <c r="D27" s="58"/>
      <c r="E27" s="59"/>
      <c r="F27" s="172">
        <f t="shared" si="0"/>
        <v>0</v>
      </c>
      <c r="G27" s="58"/>
      <c r="H27" s="59"/>
      <c r="I27" s="172">
        <f t="shared" si="1"/>
        <v>0</v>
      </c>
      <c r="J27" s="58"/>
      <c r="K27" s="59"/>
      <c r="L27" s="172">
        <f t="shared" si="2"/>
        <v>0</v>
      </c>
      <c r="M27" s="58"/>
      <c r="N27" s="59"/>
      <c r="O27" s="172">
        <f t="shared" si="3"/>
        <v>0</v>
      </c>
      <c r="P27" s="58"/>
      <c r="Q27" s="59"/>
      <c r="R27" s="172">
        <f t="shared" si="4"/>
        <v>0</v>
      </c>
      <c r="S27" s="58"/>
      <c r="T27" s="59"/>
      <c r="U27" s="172">
        <f t="shared" si="5"/>
        <v>0</v>
      </c>
    </row>
    <row r="28" spans="2:21" ht="15.75" customHeight="1" x14ac:dyDescent="0.25">
      <c r="B28" s="130">
        <f t="shared" si="6"/>
        <v>14</v>
      </c>
      <c r="C28" s="60"/>
      <c r="D28" s="58"/>
      <c r="E28" s="59"/>
      <c r="F28" s="172">
        <f t="shared" si="0"/>
        <v>0</v>
      </c>
      <c r="G28" s="58"/>
      <c r="H28" s="59"/>
      <c r="I28" s="172">
        <f t="shared" si="1"/>
        <v>0</v>
      </c>
      <c r="J28" s="58"/>
      <c r="K28" s="59"/>
      <c r="L28" s="172">
        <f t="shared" si="2"/>
        <v>0</v>
      </c>
      <c r="M28" s="58"/>
      <c r="N28" s="59"/>
      <c r="O28" s="172">
        <f t="shared" si="3"/>
        <v>0</v>
      </c>
      <c r="P28" s="58"/>
      <c r="Q28" s="59"/>
      <c r="R28" s="172">
        <f t="shared" si="4"/>
        <v>0</v>
      </c>
      <c r="S28" s="58"/>
      <c r="T28" s="59"/>
      <c r="U28" s="172">
        <f t="shared" si="5"/>
        <v>0</v>
      </c>
    </row>
    <row r="29" spans="2:21" ht="15.75" customHeight="1" x14ac:dyDescent="0.25">
      <c r="B29" s="130">
        <f t="shared" si="6"/>
        <v>15</v>
      </c>
      <c r="C29" s="60"/>
      <c r="D29" s="58"/>
      <c r="E29" s="59"/>
      <c r="F29" s="172">
        <f t="shared" si="0"/>
        <v>0</v>
      </c>
      <c r="G29" s="58"/>
      <c r="H29" s="59"/>
      <c r="I29" s="172">
        <f t="shared" si="1"/>
        <v>0</v>
      </c>
      <c r="J29" s="58"/>
      <c r="K29" s="59"/>
      <c r="L29" s="172">
        <f t="shared" si="2"/>
        <v>0</v>
      </c>
      <c r="M29" s="58"/>
      <c r="N29" s="59"/>
      <c r="O29" s="172">
        <f t="shared" si="3"/>
        <v>0</v>
      </c>
      <c r="P29" s="58"/>
      <c r="Q29" s="59"/>
      <c r="R29" s="172">
        <f t="shared" si="4"/>
        <v>0</v>
      </c>
      <c r="S29" s="58"/>
      <c r="T29" s="59"/>
      <c r="U29" s="172">
        <f t="shared" si="5"/>
        <v>0</v>
      </c>
    </row>
    <row r="30" spans="2:21" ht="15.75" customHeight="1" x14ac:dyDescent="0.25">
      <c r="B30" s="130">
        <f t="shared" si="6"/>
        <v>16</v>
      </c>
      <c r="C30" s="60"/>
      <c r="D30" s="58"/>
      <c r="E30" s="59"/>
      <c r="F30" s="172">
        <f t="shared" si="0"/>
        <v>0</v>
      </c>
      <c r="G30" s="58"/>
      <c r="H30" s="59"/>
      <c r="I30" s="172">
        <f t="shared" si="1"/>
        <v>0</v>
      </c>
      <c r="J30" s="58"/>
      <c r="K30" s="59"/>
      <c r="L30" s="172">
        <f t="shared" si="2"/>
        <v>0</v>
      </c>
      <c r="M30" s="58"/>
      <c r="N30" s="59"/>
      <c r="O30" s="172">
        <f t="shared" si="3"/>
        <v>0</v>
      </c>
      <c r="P30" s="58"/>
      <c r="Q30" s="59"/>
      <c r="R30" s="172">
        <f t="shared" si="4"/>
        <v>0</v>
      </c>
      <c r="S30" s="58"/>
      <c r="T30" s="59"/>
      <c r="U30" s="172">
        <f t="shared" si="5"/>
        <v>0</v>
      </c>
    </row>
    <row r="31" spans="2:21" ht="15.75" customHeight="1" x14ac:dyDescent="0.25">
      <c r="B31" s="130">
        <f t="shared" si="6"/>
        <v>17</v>
      </c>
      <c r="C31" s="60"/>
      <c r="D31" s="58"/>
      <c r="E31" s="59"/>
      <c r="F31" s="172">
        <f t="shared" si="0"/>
        <v>0</v>
      </c>
      <c r="G31" s="58"/>
      <c r="H31" s="59"/>
      <c r="I31" s="172">
        <f t="shared" si="1"/>
        <v>0</v>
      </c>
      <c r="J31" s="58"/>
      <c r="K31" s="59"/>
      <c r="L31" s="172">
        <f t="shared" si="2"/>
        <v>0</v>
      </c>
      <c r="M31" s="58"/>
      <c r="N31" s="59"/>
      <c r="O31" s="172">
        <f t="shared" si="3"/>
        <v>0</v>
      </c>
      <c r="P31" s="58"/>
      <c r="Q31" s="59"/>
      <c r="R31" s="172">
        <f t="shared" si="4"/>
        <v>0</v>
      </c>
      <c r="S31" s="58"/>
      <c r="T31" s="59"/>
      <c r="U31" s="172">
        <f t="shared" si="5"/>
        <v>0</v>
      </c>
    </row>
    <row r="32" spans="2:21" ht="15.75" customHeight="1" x14ac:dyDescent="0.25">
      <c r="B32" s="136">
        <f t="shared" si="6"/>
        <v>18</v>
      </c>
      <c r="C32" s="60"/>
      <c r="D32" s="58"/>
      <c r="E32" s="59"/>
      <c r="F32" s="172">
        <f t="shared" si="0"/>
        <v>0</v>
      </c>
      <c r="G32" s="58"/>
      <c r="H32" s="59"/>
      <c r="I32" s="172">
        <f t="shared" si="1"/>
        <v>0</v>
      </c>
      <c r="J32" s="58"/>
      <c r="K32" s="59"/>
      <c r="L32" s="172">
        <f t="shared" si="2"/>
        <v>0</v>
      </c>
      <c r="M32" s="58"/>
      <c r="N32" s="59"/>
      <c r="O32" s="172">
        <f t="shared" si="3"/>
        <v>0</v>
      </c>
      <c r="P32" s="58"/>
      <c r="Q32" s="59"/>
      <c r="R32" s="172">
        <f t="shared" si="4"/>
        <v>0</v>
      </c>
      <c r="S32" s="58"/>
      <c r="T32" s="59"/>
      <c r="U32" s="172">
        <f t="shared" si="5"/>
        <v>0</v>
      </c>
    </row>
    <row r="33" spans="1:21" ht="15" customHeight="1" x14ac:dyDescent="0.25">
      <c r="B33" s="136">
        <f t="shared" si="6"/>
        <v>19</v>
      </c>
      <c r="C33" s="60"/>
      <c r="D33" s="58"/>
      <c r="E33" s="59"/>
      <c r="F33" s="172">
        <f t="shared" si="0"/>
        <v>0</v>
      </c>
      <c r="G33" s="58"/>
      <c r="H33" s="59"/>
      <c r="I33" s="172">
        <f t="shared" si="1"/>
        <v>0</v>
      </c>
      <c r="J33" s="58"/>
      <c r="K33" s="59"/>
      <c r="L33" s="172">
        <f t="shared" si="2"/>
        <v>0</v>
      </c>
      <c r="M33" s="58"/>
      <c r="N33" s="59"/>
      <c r="O33" s="172">
        <f t="shared" si="3"/>
        <v>0</v>
      </c>
      <c r="P33" s="58"/>
      <c r="Q33" s="59"/>
      <c r="R33" s="172">
        <f t="shared" si="4"/>
        <v>0</v>
      </c>
      <c r="S33" s="58"/>
      <c r="T33" s="59"/>
      <c r="U33" s="172">
        <f t="shared" si="5"/>
        <v>0</v>
      </c>
    </row>
    <row r="34" spans="1:21" ht="14.5" thickBot="1" x14ac:dyDescent="0.3">
      <c r="B34" s="137">
        <f>B33+1</f>
        <v>20</v>
      </c>
      <c r="C34" s="60"/>
      <c r="D34" s="58"/>
      <c r="E34" s="59"/>
      <c r="F34" s="172">
        <f t="shared" si="0"/>
        <v>0</v>
      </c>
      <c r="G34" s="58"/>
      <c r="H34" s="59"/>
      <c r="I34" s="172">
        <f t="shared" si="1"/>
        <v>0</v>
      </c>
      <c r="J34" s="58"/>
      <c r="K34" s="59"/>
      <c r="L34" s="172">
        <f t="shared" si="2"/>
        <v>0</v>
      </c>
      <c r="M34" s="58"/>
      <c r="N34" s="59"/>
      <c r="O34" s="172">
        <f t="shared" si="3"/>
        <v>0</v>
      </c>
      <c r="P34" s="58"/>
      <c r="Q34" s="59"/>
      <c r="R34" s="172">
        <f t="shared" si="4"/>
        <v>0</v>
      </c>
      <c r="S34" s="58"/>
      <c r="T34" s="59"/>
      <c r="U34" s="172">
        <f t="shared" si="5"/>
        <v>0</v>
      </c>
    </row>
    <row r="35" spans="1:21" ht="31.5" customHeight="1" thickBot="1" x14ac:dyDescent="0.3">
      <c r="C35" s="166" t="s">
        <v>2</v>
      </c>
      <c r="D35" s="53">
        <f>SUM(D15:D34)</f>
        <v>0</v>
      </c>
      <c r="E35" s="54">
        <f>SUM(E15:E34)</f>
        <v>0</v>
      </c>
      <c r="F35" s="55">
        <f>D35+E35</f>
        <v>0</v>
      </c>
      <c r="G35" s="53">
        <f>SUM(G15:G34)</f>
        <v>0</v>
      </c>
      <c r="H35" s="54">
        <f>SUM(H15:H34)</f>
        <v>0</v>
      </c>
      <c r="I35" s="55">
        <f>G35+H35</f>
        <v>0</v>
      </c>
      <c r="J35" s="53">
        <f>SUM(J15:J34)</f>
        <v>0</v>
      </c>
      <c r="K35" s="54">
        <f>SUM(K15:K34)</f>
        <v>0</v>
      </c>
      <c r="L35" s="55">
        <f>J35+K35</f>
        <v>0</v>
      </c>
      <c r="M35" s="53">
        <f>SUM(M15:M34)</f>
        <v>0</v>
      </c>
      <c r="N35" s="54">
        <f>SUM(N15:N34)</f>
        <v>0</v>
      </c>
      <c r="O35" s="55">
        <f>M35+N35</f>
        <v>0</v>
      </c>
      <c r="P35" s="53">
        <f>SUM(P15:P34)</f>
        <v>0</v>
      </c>
      <c r="Q35" s="54">
        <f>SUM(Q15:Q34)</f>
        <v>0</v>
      </c>
      <c r="R35" s="55">
        <f>P35+Q35</f>
        <v>0</v>
      </c>
      <c r="S35" s="53">
        <f>SUM(S15:S34)</f>
        <v>0</v>
      </c>
      <c r="T35" s="54">
        <f>SUM(T15:T34)</f>
        <v>0</v>
      </c>
      <c r="U35" s="55">
        <f>S35+T35</f>
        <v>0</v>
      </c>
    </row>
    <row r="36" spans="1:21" ht="6" customHeight="1" x14ac:dyDescent="0.25">
      <c r="A36" s="22"/>
      <c r="B36" s="22"/>
      <c r="C36" s="22"/>
      <c r="D36" s="22"/>
      <c r="E36" s="22"/>
      <c r="F36" s="22"/>
      <c r="G36" s="22"/>
      <c r="H36" s="22"/>
      <c r="I36" s="22"/>
      <c r="J36" s="22"/>
      <c r="K36" s="22"/>
      <c r="L36" s="22"/>
      <c r="M36" s="22"/>
      <c r="N36" s="22"/>
    </row>
  </sheetData>
  <sheetProtection insertRows="0"/>
  <protectedRanges>
    <protectedRange password="CC9E" sqref="A10 C10:IV10 A11:IV13 A1:IV5 A15:IV65538 A14:D14 F14:G14 I14:J14 L14:M14 O14:P14 R14:S14 U14:IV14 A7:IV7 A6 D6:IV6 A9:IV9 A8 D8:IV8" name="Rango1"/>
    <protectedRange password="CC9E" sqref="B10" name="Rango1_1_1"/>
    <protectedRange password="CC9E" sqref="E14" name="Rango1_1_4"/>
    <protectedRange password="CC9E" sqref="H14" name="Rango1_1_4_1"/>
    <protectedRange password="CC9E" sqref="K14" name="Rango1_1_4_2"/>
    <protectedRange password="CC9E" sqref="N14" name="Rango1_1_4_4"/>
    <protectedRange password="CC9E" sqref="Q14" name="Rango1_1_4_5"/>
    <protectedRange password="CC9E" sqref="T14" name="Rango1_1_4_6"/>
    <protectedRange password="CC9E" sqref="B6:C6 B8:C8" name="Rango1_3_1"/>
  </protectedRanges>
  <mergeCells count="13">
    <mergeCell ref="M13:O13"/>
    <mergeCell ref="P13:R13"/>
    <mergeCell ref="B11:C11"/>
    <mergeCell ref="S13:U13"/>
    <mergeCell ref="D1:I1"/>
    <mergeCell ref="J13:L13"/>
    <mergeCell ref="B13:B14"/>
    <mergeCell ref="C13:C14"/>
    <mergeCell ref="D13:F13"/>
    <mergeCell ref="G13:I13"/>
    <mergeCell ref="B10:C10"/>
    <mergeCell ref="B6:C6"/>
    <mergeCell ref="B8:C8"/>
  </mergeCells>
  <phoneticPr fontId="2" type="noConversion"/>
  <pageMargins left="0.39370078740157483" right="0.39370078740157483" top="0.78740157480314965" bottom="0.78740157480314965" header="0" footer="0.39370078740157483"/>
  <pageSetup paperSize="9" scale="38" fitToHeight="0" orientation="landscape" r:id="rId1"/>
  <headerFooter alignWithMargins="0">
    <oddFooter xml:space="preserve">&amp;CP. &amp;P / &amp;N
</oddFooter>
  </headerFooter>
  <ignoredErrors>
    <ignoredError sqref="B35 J14 C35 B15:B34 D13:F13 B14 D14 D35:E35 H13:I13 F14:G14 I14 L14" unlockedFormula="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8"/>
  <sheetViews>
    <sheetView showGridLines="0" zoomScale="90" zoomScaleNormal="90" workbookViewId="0">
      <selection activeCell="C1" sqref="C1"/>
    </sheetView>
  </sheetViews>
  <sheetFormatPr baseColWidth="10" defaultColWidth="11.453125" defaultRowHeight="12.5" x14ac:dyDescent="0.25"/>
  <cols>
    <col min="1" max="1" width="1.453125" style="1" customWidth="1"/>
    <col min="2" max="2" width="14.6328125" style="1" customWidth="1"/>
    <col min="3" max="3" width="38.453125" style="1" customWidth="1"/>
    <col min="4" max="4" width="19.90625" style="1" customWidth="1"/>
    <col min="5" max="5" width="20.08984375" style="1" customWidth="1"/>
    <col min="6" max="6" width="19.6328125" style="1" customWidth="1"/>
    <col min="7" max="7" width="20.6328125" style="1" customWidth="1"/>
    <col min="8" max="8" width="20.453125" style="1" customWidth="1"/>
    <col min="9" max="9" width="22" style="1" customWidth="1"/>
    <col min="10" max="16384" width="11.453125" style="1"/>
  </cols>
  <sheetData>
    <row r="1" spans="1:9" ht="49.5" customHeight="1" x14ac:dyDescent="0.35">
      <c r="A1" s="13"/>
      <c r="D1" s="92"/>
      <c r="E1" s="92"/>
      <c r="F1" s="14"/>
    </row>
    <row r="2" spans="1:9" ht="18" customHeight="1" x14ac:dyDescent="0.35">
      <c r="A2" s="13"/>
      <c r="B2" s="117"/>
      <c r="D2" s="92"/>
      <c r="E2" s="92"/>
      <c r="F2" s="14"/>
    </row>
    <row r="3" spans="1:9" ht="18" customHeight="1" x14ac:dyDescent="0.35">
      <c r="A3" s="13"/>
      <c r="D3" s="92"/>
      <c r="E3" s="92"/>
      <c r="F3" s="14"/>
    </row>
    <row r="4" spans="1:9" ht="18" customHeight="1" x14ac:dyDescent="0.35">
      <c r="A4" s="13"/>
      <c r="B4" s="232" t="s">
        <v>85</v>
      </c>
      <c r="C4" s="232"/>
      <c r="D4" s="232"/>
      <c r="E4" s="232"/>
      <c r="F4" s="232"/>
      <c r="G4" s="232"/>
      <c r="H4" s="232"/>
      <c r="I4" s="232"/>
    </row>
    <row r="5" spans="1:9" ht="15.75" customHeight="1" x14ac:dyDescent="0.25">
      <c r="B5" s="2"/>
      <c r="C5" s="120"/>
      <c r="D5" s="92"/>
      <c r="E5" s="92"/>
    </row>
    <row r="6" spans="1:9" ht="4.5" customHeight="1" x14ac:dyDescent="0.25"/>
    <row r="7" spans="1:9" s="2" customFormat="1" ht="24" customHeight="1" x14ac:dyDescent="0.25">
      <c r="B7" s="234" t="s">
        <v>25</v>
      </c>
      <c r="C7" s="235"/>
      <c r="D7" s="235"/>
      <c r="E7" s="235"/>
      <c r="F7" s="235"/>
      <c r="G7" s="236"/>
      <c r="H7" s="236"/>
      <c r="I7" s="237"/>
    </row>
    <row r="8" spans="1:9" s="2" customFormat="1" ht="27.75" customHeight="1" x14ac:dyDescent="0.25">
      <c r="B8" s="231" t="s">
        <v>20</v>
      </c>
      <c r="C8" s="231"/>
      <c r="D8" s="143">
        <f>Personal!F13</f>
        <v>2024</v>
      </c>
      <c r="E8" s="143">
        <f>D8+1</f>
        <v>2025</v>
      </c>
      <c r="F8" s="143">
        <f>E8+1</f>
        <v>2026</v>
      </c>
      <c r="G8" s="143">
        <f>F8+1</f>
        <v>2027</v>
      </c>
      <c r="H8" s="143">
        <f>G8+1</f>
        <v>2028</v>
      </c>
      <c r="I8" s="143">
        <f>H8+1</f>
        <v>2029</v>
      </c>
    </row>
    <row r="9" spans="1:9" s="2" customFormat="1" ht="28.5" customHeight="1" x14ac:dyDescent="0.25">
      <c r="B9" s="233" t="s">
        <v>88</v>
      </c>
      <c r="C9" s="233"/>
      <c r="D9" s="3">
        <f>Personal!G39</f>
        <v>0</v>
      </c>
      <c r="E9" s="3">
        <f>Personal!L39</f>
        <v>0</v>
      </c>
      <c r="F9" s="3">
        <f>Personal!Q39</f>
        <v>0</v>
      </c>
      <c r="G9" s="3">
        <f>Personal!V39</f>
        <v>0</v>
      </c>
      <c r="H9" s="3">
        <f>Personal!AA39</f>
        <v>0</v>
      </c>
      <c r="I9" s="3">
        <f>Personal!AF39</f>
        <v>0</v>
      </c>
    </row>
    <row r="10" spans="1:9" s="2" customFormat="1" ht="28.5" customHeight="1" x14ac:dyDescent="0.25">
      <c r="B10" s="233" t="s">
        <v>21</v>
      </c>
      <c r="C10" s="233"/>
      <c r="D10" s="3">
        <f>Personal!G40</f>
        <v>0</v>
      </c>
      <c r="E10" s="3">
        <f>Personal!L40</f>
        <v>0</v>
      </c>
      <c r="F10" s="3">
        <f>Personal!Q40</f>
        <v>0</v>
      </c>
      <c r="G10" s="3">
        <f>Personal!V40</f>
        <v>0</v>
      </c>
      <c r="H10" s="3">
        <f>Personal!AA40</f>
        <v>0</v>
      </c>
      <c r="I10" s="3">
        <f>Personal!AF40</f>
        <v>0</v>
      </c>
    </row>
    <row r="11" spans="1:9" s="2" customFormat="1" ht="28.5" customHeight="1" x14ac:dyDescent="0.25">
      <c r="B11" s="233" t="s">
        <v>90</v>
      </c>
      <c r="C11" s="233"/>
      <c r="D11" s="3">
        <f>'El._inmovilizado (AMORTIZACIÓN)'!D33</f>
        <v>0</v>
      </c>
      <c r="E11" s="3">
        <f>'El._inmovilizado (AMORTIZACIÓN)'!G33</f>
        <v>0</v>
      </c>
      <c r="F11" s="3">
        <f>'El._inmovilizado (AMORTIZACIÓN)'!J33</f>
        <v>0</v>
      </c>
      <c r="G11" s="3">
        <f>'El._inmovilizado (AMORTIZACIÓN)'!M33</f>
        <v>0</v>
      </c>
      <c r="H11" s="3">
        <f>'El._inmovilizado (AMORTIZACIÓN)'!P33</f>
        <v>0</v>
      </c>
      <c r="I11" s="3">
        <f>'El._inmovilizado (AMORTIZACIÓN)'!S33</f>
        <v>0</v>
      </c>
    </row>
    <row r="12" spans="1:9" s="2" customFormat="1" ht="28.5" customHeight="1" x14ac:dyDescent="0.25">
      <c r="B12" s="233" t="s">
        <v>22</v>
      </c>
      <c r="C12" s="233"/>
      <c r="D12" s="3">
        <f>Fungibles!D33</f>
        <v>0</v>
      </c>
      <c r="E12" s="3">
        <f>Fungibles!G33</f>
        <v>0</v>
      </c>
      <c r="F12" s="3">
        <f>Fungibles!J33</f>
        <v>0</v>
      </c>
      <c r="G12" s="3">
        <f>Fungibles!M33</f>
        <v>0</v>
      </c>
      <c r="H12" s="3">
        <f>Fungibles!P33</f>
        <v>0</v>
      </c>
      <c r="I12" s="3">
        <f>Fungibles!S33</f>
        <v>0</v>
      </c>
    </row>
    <row r="13" spans="1:9" s="2" customFormat="1" ht="28.5" customHeight="1" x14ac:dyDescent="0.25">
      <c r="B13" s="233" t="s">
        <v>126</v>
      </c>
      <c r="C13" s="233"/>
      <c r="D13" s="3">
        <f>'C.Externas (OPIS)'!F39</f>
        <v>0</v>
      </c>
      <c r="E13" s="3">
        <f>'C.Externas (OPIS)'!I39</f>
        <v>0</v>
      </c>
      <c r="F13" s="3">
        <f>'C.Externas (OPIS)'!L39</f>
        <v>0</v>
      </c>
      <c r="G13" s="3">
        <f>'C.Externas (OPIS)'!O39</f>
        <v>0</v>
      </c>
      <c r="H13" s="3">
        <f>'C.Externas (OPIS)'!R39</f>
        <v>0</v>
      </c>
      <c r="I13" s="3">
        <f>'C.Externas (OPIS)'!U39</f>
        <v>0</v>
      </c>
    </row>
    <row r="14" spans="1:9" s="2" customFormat="1" ht="28.5" customHeight="1" x14ac:dyDescent="0.25">
      <c r="B14" s="233" t="s">
        <v>23</v>
      </c>
      <c r="C14" s="233"/>
      <c r="D14" s="3">
        <f>'C.Externas (Otros)'!E34</f>
        <v>0</v>
      </c>
      <c r="E14" s="3">
        <f>'C.Externas (Otros)'!H34</f>
        <v>0</v>
      </c>
      <c r="F14" s="3">
        <f>'C.Externas (Otros)'!K34</f>
        <v>0</v>
      </c>
      <c r="G14" s="3">
        <f>'C.Externas (Otros)'!N34</f>
        <v>0</v>
      </c>
      <c r="H14" s="3">
        <f>'C.Externas (Otros)'!Q34</f>
        <v>0</v>
      </c>
      <c r="I14" s="3">
        <f>'C.Externas (Otros)'!T34</f>
        <v>0</v>
      </c>
    </row>
    <row r="15" spans="1:9" s="2" customFormat="1" ht="42" customHeight="1" x14ac:dyDescent="0.25">
      <c r="B15" s="233" t="s">
        <v>28</v>
      </c>
      <c r="C15" s="233"/>
      <c r="D15" s="3">
        <f>'Otros Gastos'!D35</f>
        <v>0</v>
      </c>
      <c r="E15" s="3">
        <f>'Otros Gastos'!G35</f>
        <v>0</v>
      </c>
      <c r="F15" s="3">
        <f>'Otros Gastos'!J35</f>
        <v>0</v>
      </c>
      <c r="G15" s="3">
        <f>'Otros Gastos'!M35</f>
        <v>0</v>
      </c>
      <c r="H15" s="3">
        <f>'Otros Gastos'!P35</f>
        <v>0</v>
      </c>
      <c r="I15" s="3">
        <f>'Otros Gastos'!S35</f>
        <v>0</v>
      </c>
    </row>
    <row r="16" spans="1:9" s="2" customFormat="1" ht="30" customHeight="1" x14ac:dyDescent="0.25">
      <c r="B16" s="231" t="s">
        <v>24</v>
      </c>
      <c r="C16" s="231"/>
      <c r="D16" s="144">
        <f t="shared" ref="D16:I16" si="0">SUM(D9:D15)</f>
        <v>0</v>
      </c>
      <c r="E16" s="144">
        <f t="shared" si="0"/>
        <v>0</v>
      </c>
      <c r="F16" s="144">
        <f t="shared" si="0"/>
        <v>0</v>
      </c>
      <c r="G16" s="144">
        <f t="shared" si="0"/>
        <v>0</v>
      </c>
      <c r="H16" s="144">
        <f t="shared" si="0"/>
        <v>0</v>
      </c>
      <c r="I16" s="144">
        <f t="shared" si="0"/>
        <v>0</v>
      </c>
    </row>
    <row r="17" spans="2:9" ht="6" customHeight="1" x14ac:dyDescent="0.25"/>
    <row r="18" spans="2:9" s="2" customFormat="1" ht="30" customHeight="1" x14ac:dyDescent="0.25">
      <c r="B18" s="231" t="s">
        <v>84</v>
      </c>
      <c r="C18" s="231"/>
      <c r="D18" s="144">
        <f>'El._inmovilizado (INVERSIÓN)'!D33</f>
        <v>0</v>
      </c>
      <c r="E18" s="144">
        <f>'El._inmovilizado (INVERSIÓN)'!G33</f>
        <v>0</v>
      </c>
      <c r="F18" s="144">
        <f>'El._inmovilizado (INVERSIÓN)'!J33</f>
        <v>0</v>
      </c>
      <c r="G18" s="144">
        <f>'El._inmovilizado (INVERSIÓN)'!M33</f>
        <v>0</v>
      </c>
      <c r="H18" s="144">
        <f>'El._inmovilizado (INVERSIÓN)'!P33</f>
        <v>0</v>
      </c>
      <c r="I18" s="144">
        <f>'El._inmovilizado (INVERSIÓN)'!S33</f>
        <v>0</v>
      </c>
    </row>
  </sheetData>
  <sheetProtection algorithmName="SHA-512" hashValue="m5G6fuFT4ZM/J/Ey+9k8Uh6pEJ2CdsPaUhKSQr4HsspVuNaebbV7MidSwV/NXzhIUXs++UqkZs6T00RDTK35dA==" saltValue="QmvwqDqfvCBjvOufa3KTsA==" spinCount="100000" sheet="1" objects="1" scenarios="1"/>
  <mergeCells count="12">
    <mergeCell ref="B18:C18"/>
    <mergeCell ref="B4:I4"/>
    <mergeCell ref="B10:C10"/>
    <mergeCell ref="B7:I7"/>
    <mergeCell ref="B13:C13"/>
    <mergeCell ref="B14:C14"/>
    <mergeCell ref="B15:C15"/>
    <mergeCell ref="B16:C16"/>
    <mergeCell ref="B11:C11"/>
    <mergeCell ref="B12:C12"/>
    <mergeCell ref="B8:C8"/>
    <mergeCell ref="B9:C9"/>
  </mergeCells>
  <phoneticPr fontId="2" type="noConversion"/>
  <pageMargins left="0.70866141732283472" right="0.70866141732283472" top="0.74803149606299213" bottom="0.74803149606299213" header="0.31496062992125984" footer="0.31496062992125984"/>
  <pageSetup paperSize="9" scale="49" orientation="portrait" r:id="rId1"/>
  <ignoredErrors>
    <ignoredError sqref="G13" 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7"/>
  <sheetViews>
    <sheetView showGridLines="0" zoomScale="90" zoomScaleNormal="90" workbookViewId="0">
      <selection activeCell="D27" sqref="D27"/>
    </sheetView>
  </sheetViews>
  <sheetFormatPr baseColWidth="10" defaultColWidth="11.453125" defaultRowHeight="12.5" x14ac:dyDescent="0.25"/>
  <cols>
    <col min="1" max="1" width="3.6328125" style="1" customWidth="1"/>
    <col min="2" max="2" width="14.6328125" style="1" customWidth="1"/>
    <col min="3" max="3" width="37.08984375" style="1" customWidth="1"/>
    <col min="4" max="4" width="21.08984375" style="1" customWidth="1"/>
    <col min="5" max="5" width="23.08984375" style="1" customWidth="1"/>
    <col min="6" max="6" width="22.54296875" style="1" customWidth="1"/>
    <col min="7" max="7" width="21.54296875" style="1" customWidth="1"/>
    <col min="8" max="8" width="21.08984375" style="1" customWidth="1"/>
    <col min="9" max="9" width="23" style="1" customWidth="1"/>
    <col min="10" max="16384" width="11.453125" style="1"/>
  </cols>
  <sheetData>
    <row r="1" spans="1:9" ht="49.5" customHeight="1" x14ac:dyDescent="0.35">
      <c r="A1" s="13"/>
      <c r="D1" s="238"/>
      <c r="E1" s="238"/>
      <c r="F1" s="14"/>
    </row>
    <row r="2" spans="1:9" ht="16.5" customHeight="1" x14ac:dyDescent="0.35">
      <c r="A2" s="13"/>
      <c r="B2" s="117"/>
      <c r="D2" s="89"/>
      <c r="E2" s="89"/>
      <c r="F2" s="14"/>
    </row>
    <row r="3" spans="1:9" ht="16.5" customHeight="1" x14ac:dyDescent="0.35">
      <c r="A3" s="13"/>
      <c r="D3" s="89"/>
      <c r="E3" s="89"/>
      <c r="F3" s="14"/>
    </row>
    <row r="4" spans="1:9" ht="16.5" customHeight="1" x14ac:dyDescent="0.35">
      <c r="A4" s="13"/>
      <c r="B4" s="232" t="s">
        <v>86</v>
      </c>
      <c r="C4" s="232"/>
      <c r="D4" s="232"/>
      <c r="E4" s="232"/>
      <c r="F4" s="232"/>
      <c r="G4" s="232"/>
      <c r="H4" s="232"/>
      <c r="I4" s="232"/>
    </row>
    <row r="5" spans="1:9" ht="15.75" customHeight="1" x14ac:dyDescent="0.25">
      <c r="B5" s="2"/>
      <c r="C5" s="121"/>
    </row>
    <row r="6" spans="1:9" ht="4.5" customHeight="1" x14ac:dyDescent="0.25"/>
    <row r="7" spans="1:9" s="2" customFormat="1" ht="24" customHeight="1" x14ac:dyDescent="0.25">
      <c r="B7" s="239" t="s">
        <v>26</v>
      </c>
      <c r="C7" s="239"/>
      <c r="D7" s="239"/>
      <c r="E7" s="239"/>
      <c r="F7" s="239"/>
      <c r="G7" s="240"/>
      <c r="H7" s="240"/>
      <c r="I7" s="240"/>
    </row>
    <row r="8" spans="1:9" s="2" customFormat="1" ht="27.75" customHeight="1" x14ac:dyDescent="0.25">
      <c r="B8" s="231" t="s">
        <v>20</v>
      </c>
      <c r="C8" s="231"/>
      <c r="D8" s="143">
        <f>Personal!F13</f>
        <v>2024</v>
      </c>
      <c r="E8" s="143">
        <f>D8+1</f>
        <v>2025</v>
      </c>
      <c r="F8" s="143">
        <f>E8+1</f>
        <v>2026</v>
      </c>
      <c r="G8" s="143">
        <f>F8+1</f>
        <v>2027</v>
      </c>
      <c r="H8" s="143">
        <f>G8+1</f>
        <v>2028</v>
      </c>
      <c r="I8" s="143">
        <f>H8+1</f>
        <v>2029</v>
      </c>
    </row>
    <row r="9" spans="1:9" s="2" customFormat="1" ht="28.5" customHeight="1" x14ac:dyDescent="0.25">
      <c r="B9" s="233" t="s">
        <v>88</v>
      </c>
      <c r="C9" s="233"/>
      <c r="D9" s="3">
        <f>Personal!I39</f>
        <v>1207853.6299999997</v>
      </c>
      <c r="E9" s="3">
        <f>Personal!N39</f>
        <v>1200000</v>
      </c>
      <c r="F9" s="3">
        <f>Personal!S39</f>
        <v>1200000</v>
      </c>
      <c r="G9" s="3">
        <f>Personal!X39</f>
        <v>0</v>
      </c>
      <c r="H9" s="3">
        <f>Personal!AC39</f>
        <v>0</v>
      </c>
      <c r="I9" s="3">
        <f>Personal!AH39</f>
        <v>0</v>
      </c>
    </row>
    <row r="10" spans="1:9" s="2" customFormat="1" ht="28.5" customHeight="1" x14ac:dyDescent="0.25">
      <c r="B10" s="233" t="s">
        <v>21</v>
      </c>
      <c r="C10" s="233"/>
      <c r="D10" s="4"/>
      <c r="E10" s="4"/>
      <c r="F10" s="4"/>
      <c r="G10" s="4"/>
      <c r="H10" s="4"/>
      <c r="I10" s="4"/>
    </row>
    <row r="11" spans="1:9" s="2" customFormat="1" ht="28.5" customHeight="1" x14ac:dyDescent="0.25">
      <c r="B11" s="233" t="s">
        <v>90</v>
      </c>
      <c r="C11" s="233"/>
      <c r="D11" s="3">
        <f>'El._inmovilizado (AMORTIZACIÓN)'!E33</f>
        <v>0</v>
      </c>
      <c r="E11" s="3">
        <f>'El._inmovilizado (AMORTIZACIÓN)'!H33</f>
        <v>0</v>
      </c>
      <c r="F11" s="3">
        <f>'El._inmovilizado (AMORTIZACIÓN)'!K33</f>
        <v>0</v>
      </c>
      <c r="G11" s="3">
        <f>'El._inmovilizado (AMORTIZACIÓN)'!N33</f>
        <v>0</v>
      </c>
      <c r="H11" s="3">
        <f>'El._inmovilizado (AMORTIZACIÓN)'!Q33</f>
        <v>0</v>
      </c>
      <c r="I11" s="3">
        <f>'El._inmovilizado (AMORTIZACIÓN)'!T33</f>
        <v>0</v>
      </c>
    </row>
    <row r="12" spans="1:9" s="2" customFormat="1" ht="28.5" customHeight="1" x14ac:dyDescent="0.25">
      <c r="B12" s="233" t="s">
        <v>22</v>
      </c>
      <c r="C12" s="233"/>
      <c r="D12" s="3">
        <f>Fungibles!E33</f>
        <v>0</v>
      </c>
      <c r="E12" s="3">
        <f>Fungibles!H33</f>
        <v>0</v>
      </c>
      <c r="F12" s="3">
        <f>Fungibles!K33</f>
        <v>0</v>
      </c>
      <c r="G12" s="3">
        <f>Fungibles!N33</f>
        <v>0</v>
      </c>
      <c r="H12" s="3">
        <f>Fungibles!Q33</f>
        <v>0</v>
      </c>
      <c r="I12" s="3">
        <f>Fungibles!T33</f>
        <v>0</v>
      </c>
    </row>
    <row r="13" spans="1:9" s="2" customFormat="1" ht="28.5" customHeight="1" x14ac:dyDescent="0.25">
      <c r="B13" s="233" t="s">
        <v>126</v>
      </c>
      <c r="C13" s="233"/>
      <c r="D13" s="3">
        <f>'C.Externas (OPIS)'!G39</f>
        <v>0</v>
      </c>
      <c r="E13" s="3">
        <f>'C.Externas (OPIS)'!J39</f>
        <v>0</v>
      </c>
      <c r="F13" s="3">
        <f>'C.Externas (OPIS)'!M39</f>
        <v>0</v>
      </c>
      <c r="G13" s="3">
        <f>'C.Externas (OPIS)'!P39</f>
        <v>0</v>
      </c>
      <c r="H13" s="3">
        <f>'C.Externas (OPIS)'!S39</f>
        <v>0</v>
      </c>
      <c r="I13" s="3">
        <f>'C.Externas (OPIS)'!V39</f>
        <v>0</v>
      </c>
    </row>
    <row r="14" spans="1:9" s="2" customFormat="1" ht="28.5" customHeight="1" x14ac:dyDescent="0.25">
      <c r="B14" s="233" t="s">
        <v>23</v>
      </c>
      <c r="C14" s="233"/>
      <c r="D14" s="3">
        <f>'C.Externas (Otros)'!F34</f>
        <v>0</v>
      </c>
      <c r="E14" s="3">
        <f>'C.Externas (Otros)'!I34</f>
        <v>0</v>
      </c>
      <c r="F14" s="3">
        <f>'C.Externas (Otros)'!L34</f>
        <v>0</v>
      </c>
      <c r="G14" s="3">
        <f>'C.Externas (Otros)'!O34</f>
        <v>0</v>
      </c>
      <c r="H14" s="3">
        <f>'C.Externas (Otros)'!R34</f>
        <v>0</v>
      </c>
      <c r="I14" s="3">
        <f>'C.Externas (Otros)'!U34</f>
        <v>0</v>
      </c>
    </row>
    <row r="15" spans="1:9" s="2" customFormat="1" ht="42" customHeight="1" x14ac:dyDescent="0.25">
      <c r="B15" s="233" t="s">
        <v>28</v>
      </c>
      <c r="C15" s="233"/>
      <c r="D15" s="3">
        <f>'Otros Gastos'!E35</f>
        <v>0</v>
      </c>
      <c r="E15" s="3">
        <f>'Otros Gastos'!H35</f>
        <v>0</v>
      </c>
      <c r="F15" s="3">
        <f>'Otros Gastos'!K35</f>
        <v>0</v>
      </c>
      <c r="G15" s="3">
        <f>'Otros Gastos'!N35</f>
        <v>0</v>
      </c>
      <c r="H15" s="3">
        <f>'Otros Gastos'!Q35</f>
        <v>0</v>
      </c>
      <c r="I15" s="3">
        <f>'Otros Gastos'!T35</f>
        <v>0</v>
      </c>
    </row>
    <row r="16" spans="1:9" s="2" customFormat="1" ht="30" customHeight="1" x14ac:dyDescent="0.25">
      <c r="B16" s="231" t="s">
        <v>24</v>
      </c>
      <c r="C16" s="231"/>
      <c r="D16" s="144">
        <f t="shared" ref="D16:I16" si="0">SUM(D9:D15)</f>
        <v>1207853.6299999997</v>
      </c>
      <c r="E16" s="144">
        <f t="shared" si="0"/>
        <v>1200000</v>
      </c>
      <c r="F16" s="144">
        <f t="shared" si="0"/>
        <v>1200000</v>
      </c>
      <c r="G16" s="144">
        <f t="shared" si="0"/>
        <v>0</v>
      </c>
      <c r="H16" s="144">
        <f t="shared" si="0"/>
        <v>0</v>
      </c>
      <c r="I16" s="144">
        <f t="shared" si="0"/>
        <v>0</v>
      </c>
    </row>
    <row r="17" ht="6" customHeight="1" x14ac:dyDescent="0.25"/>
  </sheetData>
  <sheetProtection algorithmName="SHA-512" hashValue="XT/XRwpLKEUEUeR0byFFGT3528Gj/nuMItGkUrN7mDF0xkHBF0AO2XaG6l1CHdw2AWoeqRKCmxHtC6d08K752w==" saltValue="WxLtcYcw403trbTg6qhiQg==" spinCount="100000" sheet="1" objects="1" scenarios="1"/>
  <mergeCells count="12">
    <mergeCell ref="B15:C15"/>
    <mergeCell ref="B16:C16"/>
    <mergeCell ref="B11:C11"/>
    <mergeCell ref="D1:E1"/>
    <mergeCell ref="B12:C12"/>
    <mergeCell ref="B8:C8"/>
    <mergeCell ref="B9:C9"/>
    <mergeCell ref="B4:I4"/>
    <mergeCell ref="B10:C10"/>
    <mergeCell ref="B7:I7"/>
    <mergeCell ref="B13:C13"/>
    <mergeCell ref="B14:C14"/>
  </mergeCells>
  <phoneticPr fontId="2" type="noConversion"/>
  <dataValidations count="1">
    <dataValidation type="decimal" allowBlank="1" showInputMessage="1" showErrorMessage="1" sqref="D10:I10">
      <formula1>0</formula1>
      <formula2>0</formula2>
    </dataValidation>
  </dataValidations>
  <pageMargins left="0.70866141732283472" right="0.70866141732283472" top="0.74803149606299213" bottom="0.74803149606299213" header="0.31496062992125984" footer="0.31496062992125984"/>
  <pageSetup paperSize="9" scale="46"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9"/>
  <sheetViews>
    <sheetView showGridLines="0" zoomScale="90" zoomScaleNormal="90" workbookViewId="0">
      <selection activeCell="C1" sqref="C1"/>
    </sheetView>
  </sheetViews>
  <sheetFormatPr baseColWidth="10" defaultColWidth="11.453125" defaultRowHeight="12.5" x14ac:dyDescent="0.25"/>
  <cols>
    <col min="1" max="1" width="3.6328125" style="1" customWidth="1"/>
    <col min="2" max="2" width="14.6328125" style="1" customWidth="1"/>
    <col min="3" max="3" width="36" style="1" customWidth="1"/>
    <col min="4" max="4" width="21.54296875" style="1" customWidth="1"/>
    <col min="5" max="5" width="22.36328125" style="1" customWidth="1"/>
    <col min="6" max="6" width="21.54296875" style="1" customWidth="1"/>
    <col min="7" max="7" width="20.6328125" style="1" customWidth="1"/>
    <col min="8" max="8" width="21.36328125" style="1" customWidth="1"/>
    <col min="9" max="9" width="21.08984375" style="1" customWidth="1"/>
    <col min="10" max="16384" width="11.453125" style="1"/>
  </cols>
  <sheetData>
    <row r="1" spans="1:9" ht="49.5" customHeight="1" x14ac:dyDescent="0.35">
      <c r="A1" s="13"/>
      <c r="D1" s="92"/>
      <c r="E1" s="92"/>
      <c r="F1" s="14"/>
    </row>
    <row r="2" spans="1:9" ht="17.25" customHeight="1" x14ac:dyDescent="0.35">
      <c r="A2" s="13"/>
      <c r="B2" s="117"/>
      <c r="D2" s="92"/>
      <c r="E2" s="92"/>
      <c r="F2" s="14"/>
    </row>
    <row r="3" spans="1:9" ht="17.25" customHeight="1" x14ac:dyDescent="0.35">
      <c r="A3" s="13"/>
      <c r="D3" s="92"/>
      <c r="E3" s="92"/>
      <c r="F3" s="14"/>
    </row>
    <row r="4" spans="1:9" ht="17.25" customHeight="1" x14ac:dyDescent="0.35">
      <c r="A4" s="13"/>
      <c r="B4" s="94" t="s">
        <v>83</v>
      </c>
      <c r="D4" s="92"/>
      <c r="E4" s="92"/>
      <c r="F4" s="14"/>
    </row>
    <row r="5" spans="1:9" ht="15.75" customHeight="1" x14ac:dyDescent="0.25">
      <c r="B5" s="2"/>
      <c r="C5" s="120"/>
      <c r="D5" s="92"/>
      <c r="E5" s="92"/>
    </row>
    <row r="6" spans="1:9" ht="4.5" customHeight="1" x14ac:dyDescent="0.25"/>
    <row r="7" spans="1:9" s="2" customFormat="1" ht="24" customHeight="1" x14ac:dyDescent="0.25">
      <c r="B7" s="239" t="s">
        <v>19</v>
      </c>
      <c r="C7" s="239"/>
      <c r="D7" s="239"/>
      <c r="E7" s="239"/>
      <c r="F7" s="239"/>
      <c r="G7" s="240"/>
      <c r="H7" s="240"/>
      <c r="I7" s="240"/>
    </row>
    <row r="8" spans="1:9" s="2" customFormat="1" ht="11.25" customHeight="1" x14ac:dyDescent="0.25">
      <c r="B8" s="90"/>
      <c r="C8" s="90"/>
      <c r="D8" s="90"/>
      <c r="E8" s="90"/>
      <c r="F8" s="90"/>
      <c r="G8" s="91"/>
      <c r="H8" s="91"/>
      <c r="I8" s="91"/>
    </row>
    <row r="9" spans="1:9" s="2" customFormat="1" ht="27.75" customHeight="1" x14ac:dyDescent="0.25">
      <c r="B9" s="231" t="s">
        <v>20</v>
      </c>
      <c r="C9" s="231"/>
      <c r="D9" s="143">
        <f>Personal!F13</f>
        <v>2024</v>
      </c>
      <c r="E9" s="143">
        <f>D9+1</f>
        <v>2025</v>
      </c>
      <c r="F9" s="143">
        <f>E9+1</f>
        <v>2026</v>
      </c>
      <c r="G9" s="143">
        <f>F9+1</f>
        <v>2027</v>
      </c>
      <c r="H9" s="143">
        <f>G9+1</f>
        <v>2028</v>
      </c>
      <c r="I9" s="143">
        <f>H9+1</f>
        <v>2029</v>
      </c>
    </row>
    <row r="10" spans="1:9" s="2" customFormat="1" ht="28.5" customHeight="1" x14ac:dyDescent="0.25">
      <c r="B10" s="233" t="s">
        <v>88</v>
      </c>
      <c r="C10" s="233"/>
      <c r="D10" s="3">
        <f>'I+D'!D9+iT!D9</f>
        <v>1207853.6299999997</v>
      </c>
      <c r="E10" s="3">
        <f>'I+D'!E9+iT!E9</f>
        <v>1200000</v>
      </c>
      <c r="F10" s="3">
        <f>'I+D'!F9+iT!F9</f>
        <v>1200000</v>
      </c>
      <c r="G10" s="3">
        <f>'I+D'!G9+iT!G9</f>
        <v>0</v>
      </c>
      <c r="H10" s="3">
        <f>'I+D'!H9+iT!H9</f>
        <v>0</v>
      </c>
      <c r="I10" s="3">
        <f>'I+D'!I9+iT!I9</f>
        <v>0</v>
      </c>
    </row>
    <row r="11" spans="1:9" s="2" customFormat="1" ht="28.5" customHeight="1" x14ac:dyDescent="0.25">
      <c r="B11" s="233" t="s">
        <v>21</v>
      </c>
      <c r="C11" s="233"/>
      <c r="D11" s="3">
        <f>'I+D'!D10+iT!D10</f>
        <v>0</v>
      </c>
      <c r="E11" s="3">
        <f>'I+D'!E10+iT!E10</f>
        <v>0</v>
      </c>
      <c r="F11" s="3">
        <f>'I+D'!F10+iT!F10</f>
        <v>0</v>
      </c>
      <c r="G11" s="3">
        <f>'I+D'!G10+iT!G10</f>
        <v>0</v>
      </c>
      <c r="H11" s="3">
        <f>'I+D'!H10+iT!H10</f>
        <v>0</v>
      </c>
      <c r="I11" s="3">
        <f>'I+D'!I10+iT!I10</f>
        <v>0</v>
      </c>
    </row>
    <row r="12" spans="1:9" s="2" customFormat="1" ht="28.5" customHeight="1" x14ac:dyDescent="0.25">
      <c r="B12" s="233" t="s">
        <v>90</v>
      </c>
      <c r="C12" s="233"/>
      <c r="D12" s="3">
        <f>'I+D'!D11+iT!D11</f>
        <v>0</v>
      </c>
      <c r="E12" s="3">
        <f>'I+D'!E11+iT!E11</f>
        <v>0</v>
      </c>
      <c r="F12" s="3">
        <f>'I+D'!F11+iT!F11</f>
        <v>0</v>
      </c>
      <c r="G12" s="3">
        <f>'I+D'!G11+iT!G11</f>
        <v>0</v>
      </c>
      <c r="H12" s="3">
        <f>'I+D'!H11+iT!H11</f>
        <v>0</v>
      </c>
      <c r="I12" s="3">
        <f>'I+D'!I11+iT!I11</f>
        <v>0</v>
      </c>
    </row>
    <row r="13" spans="1:9" s="2" customFormat="1" ht="28.5" customHeight="1" x14ac:dyDescent="0.25">
      <c r="B13" s="233" t="s">
        <v>22</v>
      </c>
      <c r="C13" s="233"/>
      <c r="D13" s="3">
        <f>'I+D'!D12+iT!D12</f>
        <v>0</v>
      </c>
      <c r="E13" s="3">
        <f>'I+D'!E12+iT!E12</f>
        <v>0</v>
      </c>
      <c r="F13" s="3">
        <f>'I+D'!F12+iT!F12</f>
        <v>0</v>
      </c>
      <c r="G13" s="3">
        <f>'I+D'!G12+iT!G12</f>
        <v>0</v>
      </c>
      <c r="H13" s="3">
        <f>'I+D'!H12+iT!H12</f>
        <v>0</v>
      </c>
      <c r="I13" s="3">
        <f>'I+D'!I12+iT!I12</f>
        <v>0</v>
      </c>
    </row>
    <row r="14" spans="1:9" s="2" customFormat="1" ht="28.5" customHeight="1" x14ac:dyDescent="0.25">
      <c r="B14" s="233" t="s">
        <v>126</v>
      </c>
      <c r="C14" s="233"/>
      <c r="D14" s="3">
        <f>'I+D'!D13+iT!D13</f>
        <v>0</v>
      </c>
      <c r="E14" s="3">
        <f>'I+D'!E13+iT!E13</f>
        <v>0</v>
      </c>
      <c r="F14" s="3">
        <f>'I+D'!F13+iT!F13</f>
        <v>0</v>
      </c>
      <c r="G14" s="3">
        <f>'I+D'!G13+iT!G13</f>
        <v>0</v>
      </c>
      <c r="H14" s="3">
        <f>'I+D'!H13+iT!H13</f>
        <v>0</v>
      </c>
      <c r="I14" s="3">
        <f>'I+D'!I13+iT!I13</f>
        <v>0</v>
      </c>
    </row>
    <row r="15" spans="1:9" s="2" customFormat="1" ht="28.5" customHeight="1" x14ac:dyDescent="0.25">
      <c r="B15" s="233" t="s">
        <v>23</v>
      </c>
      <c r="C15" s="233"/>
      <c r="D15" s="3">
        <f>'I+D'!D14+iT!D14</f>
        <v>0</v>
      </c>
      <c r="E15" s="3">
        <f>'I+D'!E14+iT!E14</f>
        <v>0</v>
      </c>
      <c r="F15" s="3">
        <f>'I+D'!F14+iT!F14</f>
        <v>0</v>
      </c>
      <c r="G15" s="3">
        <f>'I+D'!G14+iT!G14</f>
        <v>0</v>
      </c>
      <c r="H15" s="3">
        <f>'I+D'!H14+iT!H14</f>
        <v>0</v>
      </c>
      <c r="I15" s="3">
        <f>'I+D'!I14+iT!I14</f>
        <v>0</v>
      </c>
    </row>
    <row r="16" spans="1:9" s="2" customFormat="1" ht="42" customHeight="1" x14ac:dyDescent="0.25">
      <c r="B16" s="233" t="s">
        <v>28</v>
      </c>
      <c r="C16" s="233"/>
      <c r="D16" s="3">
        <f>'I+D'!D15+iT!D15</f>
        <v>0</v>
      </c>
      <c r="E16" s="3">
        <f>'I+D'!E15+iT!E15</f>
        <v>0</v>
      </c>
      <c r="F16" s="3">
        <f>'I+D'!F15+iT!F15</f>
        <v>0</v>
      </c>
      <c r="G16" s="3">
        <f>'I+D'!G15+iT!G15</f>
        <v>0</v>
      </c>
      <c r="H16" s="3">
        <f>'I+D'!H15+iT!H15</f>
        <v>0</v>
      </c>
      <c r="I16" s="3">
        <f>'I+D'!I15+iT!I15</f>
        <v>0</v>
      </c>
    </row>
    <row r="17" spans="2:9" s="2" customFormat="1" ht="30" customHeight="1" x14ac:dyDescent="0.25">
      <c r="B17" s="231" t="s">
        <v>24</v>
      </c>
      <c r="C17" s="231"/>
      <c r="D17" s="144">
        <f t="shared" ref="D17:I17" si="0">SUM(D10:D16)</f>
        <v>1207853.6299999997</v>
      </c>
      <c r="E17" s="144">
        <f t="shared" si="0"/>
        <v>1200000</v>
      </c>
      <c r="F17" s="144">
        <f t="shared" si="0"/>
        <v>1200000</v>
      </c>
      <c r="G17" s="144">
        <f t="shared" si="0"/>
        <v>0</v>
      </c>
      <c r="H17" s="144">
        <f t="shared" si="0"/>
        <v>0</v>
      </c>
      <c r="I17" s="144">
        <f t="shared" si="0"/>
        <v>0</v>
      </c>
    </row>
    <row r="18" spans="2:9" ht="6" customHeight="1" x14ac:dyDescent="0.25"/>
    <row r="19" spans="2:9" s="2" customFormat="1" ht="30" customHeight="1" x14ac:dyDescent="0.25">
      <c r="B19" s="231" t="s">
        <v>84</v>
      </c>
      <c r="C19" s="231"/>
      <c r="D19" s="144">
        <f>'El._inmovilizado (INVERSIÓN)'!D33</f>
        <v>0</v>
      </c>
      <c r="E19" s="144">
        <f>'El._inmovilizado (INVERSIÓN)'!G33</f>
        <v>0</v>
      </c>
      <c r="F19" s="144">
        <f>'El._inmovilizado (INVERSIÓN)'!J33</f>
        <v>0</v>
      </c>
      <c r="G19" s="144">
        <f>'El._inmovilizado (INVERSIÓN)'!M33</f>
        <v>0</v>
      </c>
      <c r="H19" s="144">
        <f>'El._inmovilizado (INVERSIÓN)'!P33</f>
        <v>0</v>
      </c>
      <c r="I19" s="144">
        <f>'El._inmovilizado (INVERSIÓN)'!S33</f>
        <v>0</v>
      </c>
    </row>
  </sheetData>
  <sheetProtection algorithmName="SHA-512" hashValue="B0h2tij0VIuXMaKo+w0KdbfhG5FxoFIxoUt3xBCeSLin9/abrblYKRRW/DyidwvA2mmZJLZvOprwiS4SlAmkYg==" saltValue="2/AVxeYp0ZGhwgVAqIZjvw==" spinCount="100000" sheet="1" objects="1" scenarios="1"/>
  <mergeCells count="11">
    <mergeCell ref="B9:C9"/>
    <mergeCell ref="B10:C10"/>
    <mergeCell ref="B11:C11"/>
    <mergeCell ref="B7:I7"/>
    <mergeCell ref="B15:C15"/>
    <mergeCell ref="B16:C16"/>
    <mergeCell ref="B17:C17"/>
    <mergeCell ref="B12:C12"/>
    <mergeCell ref="B19:C19"/>
    <mergeCell ref="B14:C14"/>
    <mergeCell ref="B13:C13"/>
  </mergeCells>
  <phoneticPr fontId="2" type="noConversion"/>
  <pageMargins left="0.70866141732283472" right="0.70866141732283472" top="0.74803149606299213" bottom="0.74803149606299213" header="0.31496062992125984" footer="0.31496062992125984"/>
  <pageSetup paperSize="9" scale="48"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8"/>
  <sheetViews>
    <sheetView showGridLines="0" zoomScaleNormal="100" workbookViewId="0">
      <selection activeCell="B1" sqref="B1"/>
    </sheetView>
  </sheetViews>
  <sheetFormatPr baseColWidth="10" defaultColWidth="11.453125" defaultRowHeight="15.5" x14ac:dyDescent="0.25"/>
  <cols>
    <col min="1" max="1" width="14.6328125" style="49" customWidth="1"/>
    <col min="2" max="2" width="43.54296875" style="49" customWidth="1"/>
    <col min="3" max="3" width="28.08984375" style="49" customWidth="1"/>
    <col min="4" max="4" width="13.08984375" style="49" customWidth="1"/>
    <col min="5" max="5" width="12.08984375" style="49" customWidth="1"/>
    <col min="6" max="6" width="12.453125" style="49" customWidth="1"/>
    <col min="7" max="7" width="12.36328125" style="49" customWidth="1"/>
    <col min="8" max="8" width="12.54296875" style="49" customWidth="1"/>
    <col min="9" max="9" width="12.81640625" style="49" customWidth="1"/>
    <col min="10" max="10" width="15.08984375" style="49" customWidth="1"/>
    <col min="11" max="11" width="4.6328125" style="49" customWidth="1"/>
    <col min="12" max="16384" width="11.453125" style="49"/>
  </cols>
  <sheetData>
    <row r="1" spans="1:10" ht="72" customHeight="1" x14ac:dyDescent="0.25">
      <c r="C1" s="241"/>
      <c r="D1" s="241"/>
      <c r="E1" s="241"/>
      <c r="F1" s="241"/>
      <c r="G1" s="241"/>
      <c r="H1" s="241"/>
      <c r="I1" s="12"/>
      <c r="J1" s="12"/>
    </row>
    <row r="2" spans="1:10" ht="15.75" customHeight="1" x14ac:dyDescent="0.25">
      <c r="C2" s="11"/>
      <c r="D2" s="11"/>
      <c r="E2" s="11"/>
      <c r="F2" s="11"/>
      <c r="G2" s="11"/>
      <c r="H2" s="11"/>
      <c r="I2" s="12"/>
      <c r="J2" s="12"/>
    </row>
    <row r="3" spans="1:10" ht="15.75" customHeight="1" x14ac:dyDescent="0.25">
      <c r="A3" s="93" t="s">
        <v>77</v>
      </c>
      <c r="C3" s="14"/>
      <c r="D3" s="14"/>
      <c r="E3" s="14"/>
      <c r="F3" s="14"/>
      <c r="G3" s="14"/>
      <c r="H3" s="14"/>
      <c r="I3" s="14"/>
      <c r="J3" s="14"/>
    </row>
    <row r="4" spans="1:10" s="95" customFormat="1" ht="15.75" customHeight="1" x14ac:dyDescent="0.25">
      <c r="C4" s="14"/>
      <c r="D4" s="14"/>
      <c r="E4" s="14"/>
      <c r="F4" s="14"/>
      <c r="G4" s="14"/>
      <c r="H4" s="14"/>
      <c r="I4" s="14"/>
      <c r="J4" s="14"/>
    </row>
    <row r="5" spans="1:10" x14ac:dyDescent="0.25">
      <c r="A5" s="50" t="s">
        <v>33</v>
      </c>
    </row>
    <row r="6" spans="1:10" ht="6" customHeight="1" thickBot="1" x14ac:dyDescent="0.3">
      <c r="B6" s="50"/>
      <c r="C6" s="51"/>
      <c r="D6" s="51"/>
      <c r="E6" s="51"/>
      <c r="F6" s="51"/>
      <c r="G6" s="51"/>
      <c r="H6" s="51"/>
    </row>
    <row r="7" spans="1:10" ht="15.75" customHeight="1" thickBot="1" x14ac:dyDescent="0.3">
      <c r="A7" s="242" t="s">
        <v>107</v>
      </c>
      <c r="B7" s="145" t="s">
        <v>30</v>
      </c>
      <c r="C7" s="146" t="s">
        <v>31</v>
      </c>
      <c r="D7" s="246" t="s">
        <v>34</v>
      </c>
      <c r="E7" s="247"/>
      <c r="F7" s="248"/>
      <c r="G7" s="249" t="s">
        <v>35</v>
      </c>
      <c r="H7" s="249"/>
      <c r="I7" s="249"/>
      <c r="J7" s="145" t="s">
        <v>118</v>
      </c>
    </row>
    <row r="8" spans="1:10" ht="39.75" customHeight="1" thickBot="1" x14ac:dyDescent="0.3">
      <c r="A8" s="243"/>
      <c r="B8" s="147" t="s">
        <v>116</v>
      </c>
      <c r="C8" s="168" t="s">
        <v>117</v>
      </c>
      <c r="D8" s="148" t="s">
        <v>7</v>
      </c>
      <c r="E8" s="149" t="s">
        <v>139</v>
      </c>
      <c r="F8" s="145" t="s">
        <v>32</v>
      </c>
      <c r="G8" s="148" t="s">
        <v>7</v>
      </c>
      <c r="H8" s="149" t="s">
        <v>139</v>
      </c>
      <c r="I8" s="150" t="s">
        <v>32</v>
      </c>
      <c r="J8" s="151" t="s">
        <v>119</v>
      </c>
    </row>
    <row r="9" spans="1:10" x14ac:dyDescent="0.25">
      <c r="A9" s="175">
        <v>1</v>
      </c>
      <c r="B9" s="176" t="s">
        <v>88</v>
      </c>
      <c r="C9" s="43"/>
      <c r="D9" s="45"/>
      <c r="E9" s="46"/>
      <c r="F9" s="177">
        <f>SUM(D9:E9)</f>
        <v>0</v>
      </c>
      <c r="G9" s="45"/>
      <c r="H9" s="46"/>
      <c r="I9" s="178">
        <f>SUM(G9:H9)</f>
        <v>0</v>
      </c>
      <c r="J9" s="179" t="str">
        <f>IF(F9=0,"",(I9-F9)/F9*100)</f>
        <v/>
      </c>
    </row>
    <row r="10" spans="1:10" ht="26" x14ac:dyDescent="0.25">
      <c r="A10" s="180">
        <v>2</v>
      </c>
      <c r="B10" s="181" t="s">
        <v>102</v>
      </c>
      <c r="C10" s="43"/>
      <c r="D10" s="45"/>
      <c r="E10" s="46"/>
      <c r="F10" s="177">
        <f t="shared" ref="F10:F15" si="0">SUM(D10:E10)</f>
        <v>0</v>
      </c>
      <c r="G10" s="125"/>
      <c r="H10" s="46"/>
      <c r="I10" s="178">
        <f t="shared" ref="I10:I15" si="1">SUM(G10:H10)</f>
        <v>0</v>
      </c>
      <c r="J10" s="182" t="str">
        <f t="shared" ref="J10:J16" si="2">IF(F10=0,"",(I10-F10)/F10*100)</f>
        <v/>
      </c>
    </row>
    <row r="11" spans="1:10" ht="26" x14ac:dyDescent="0.25">
      <c r="A11" s="183">
        <v>3</v>
      </c>
      <c r="B11" s="184" t="s">
        <v>87</v>
      </c>
      <c r="C11" s="44"/>
      <c r="D11" s="47"/>
      <c r="E11" s="48"/>
      <c r="F11" s="185">
        <f t="shared" si="0"/>
        <v>0</v>
      </c>
      <c r="G11" s="47"/>
      <c r="H11" s="48"/>
      <c r="I11" s="186">
        <f t="shared" si="1"/>
        <v>0</v>
      </c>
      <c r="J11" s="182" t="str">
        <f t="shared" si="2"/>
        <v/>
      </c>
    </row>
    <row r="12" spans="1:10" x14ac:dyDescent="0.25">
      <c r="A12" s="183">
        <v>4</v>
      </c>
      <c r="B12" s="184" t="s">
        <v>22</v>
      </c>
      <c r="C12" s="44"/>
      <c r="D12" s="47"/>
      <c r="E12" s="48"/>
      <c r="F12" s="185">
        <f t="shared" si="0"/>
        <v>0</v>
      </c>
      <c r="G12" s="47"/>
      <c r="H12" s="48"/>
      <c r="I12" s="186">
        <f t="shared" si="1"/>
        <v>0</v>
      </c>
      <c r="J12" s="182" t="str">
        <f t="shared" si="2"/>
        <v/>
      </c>
    </row>
    <row r="13" spans="1:10" ht="26" x14ac:dyDescent="0.25">
      <c r="A13" s="183">
        <v>5</v>
      </c>
      <c r="B13" s="184" t="s">
        <v>126</v>
      </c>
      <c r="C13" s="44"/>
      <c r="D13" s="47"/>
      <c r="E13" s="48"/>
      <c r="F13" s="185">
        <f t="shared" si="0"/>
        <v>0</v>
      </c>
      <c r="G13" s="47"/>
      <c r="H13" s="48"/>
      <c r="I13" s="186">
        <f t="shared" si="1"/>
        <v>0</v>
      </c>
      <c r="J13" s="182" t="str">
        <f t="shared" si="2"/>
        <v/>
      </c>
    </row>
    <row r="14" spans="1:10" x14ac:dyDescent="0.25">
      <c r="A14" s="183">
        <v>6</v>
      </c>
      <c r="B14" s="184" t="s">
        <v>66</v>
      </c>
      <c r="C14" s="44"/>
      <c r="D14" s="47"/>
      <c r="E14" s="48"/>
      <c r="F14" s="185">
        <f t="shared" si="0"/>
        <v>0</v>
      </c>
      <c r="G14" s="47"/>
      <c r="H14" s="48"/>
      <c r="I14" s="186">
        <f t="shared" si="1"/>
        <v>0</v>
      </c>
      <c r="J14" s="182" t="str">
        <f t="shared" si="2"/>
        <v/>
      </c>
    </row>
    <row r="15" spans="1:10" ht="16" thickBot="1" x14ac:dyDescent="0.3">
      <c r="A15" s="183">
        <v>7</v>
      </c>
      <c r="B15" s="184" t="s">
        <v>28</v>
      </c>
      <c r="C15" s="44"/>
      <c r="D15" s="47"/>
      <c r="E15" s="48"/>
      <c r="F15" s="185">
        <f t="shared" si="0"/>
        <v>0</v>
      </c>
      <c r="G15" s="47"/>
      <c r="H15" s="48"/>
      <c r="I15" s="186">
        <f t="shared" si="1"/>
        <v>0</v>
      </c>
      <c r="J15" s="187" t="str">
        <f t="shared" si="2"/>
        <v/>
      </c>
    </row>
    <row r="16" spans="1:10" ht="16" thickBot="1" x14ac:dyDescent="0.3">
      <c r="A16" s="244" t="s">
        <v>2</v>
      </c>
      <c r="B16" s="245"/>
      <c r="C16" s="245"/>
      <c r="D16" s="152">
        <f t="shared" ref="D16:I16" si="3">SUM(D9:D15)</f>
        <v>0</v>
      </c>
      <c r="E16" s="153">
        <f t="shared" si="3"/>
        <v>0</v>
      </c>
      <c r="F16" s="154">
        <f t="shared" si="3"/>
        <v>0</v>
      </c>
      <c r="G16" s="152">
        <f t="shared" si="3"/>
        <v>0</v>
      </c>
      <c r="H16" s="153">
        <f t="shared" si="3"/>
        <v>0</v>
      </c>
      <c r="I16" s="155">
        <f t="shared" si="3"/>
        <v>0</v>
      </c>
      <c r="J16" s="188" t="str">
        <f t="shared" si="2"/>
        <v/>
      </c>
    </row>
    <row r="17" spans="1:8" x14ac:dyDescent="0.25">
      <c r="A17" s="52"/>
      <c r="C17" s="51"/>
      <c r="D17" s="51"/>
      <c r="E17" s="51"/>
      <c r="F17" s="51"/>
      <c r="G17" s="51"/>
      <c r="H17" s="51"/>
    </row>
    <row r="18" spans="1:8" x14ac:dyDescent="0.25">
      <c r="B18" s="50"/>
      <c r="C18" s="51"/>
      <c r="D18" s="51"/>
      <c r="E18" s="51"/>
      <c r="F18" s="51"/>
      <c r="G18" s="51"/>
      <c r="H18" s="51"/>
    </row>
  </sheetData>
  <sheetProtection insertRows="0"/>
  <protectedRanges>
    <protectedRange password="CC9E" sqref="A17 A18:B65533 A1:B16 C1:IT65533" name="Rango2"/>
  </protectedRanges>
  <mergeCells count="5">
    <mergeCell ref="C1:H1"/>
    <mergeCell ref="A7:A8"/>
    <mergeCell ref="A16:C16"/>
    <mergeCell ref="D7:F7"/>
    <mergeCell ref="G7:I7"/>
  </mergeCells>
  <phoneticPr fontId="2" type="noConversion"/>
  <pageMargins left="0.78" right="0.39370078740157483" top="0.38" bottom="0.62" header="0" footer="0.3"/>
  <pageSetup paperSize="9" scale="55" orientation="portrait" r:id="rId1"/>
  <headerFooter alignWithMargins="0">
    <oddFooter xml:space="preserve">&amp;CP. &amp;P / &amp;N
</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160"/>
  <sheetViews>
    <sheetView showGridLines="0" tabSelected="1" zoomScale="75" workbookViewId="0">
      <pane ySplit="6" topLeftCell="A7" activePane="bottomLeft" state="frozen"/>
      <selection pane="bottomLeft" activeCell="K14" sqref="K14"/>
    </sheetView>
  </sheetViews>
  <sheetFormatPr baseColWidth="10" defaultColWidth="11.453125" defaultRowHeight="14" x14ac:dyDescent="0.25"/>
  <cols>
    <col min="1" max="1" width="0.90625" style="16" customWidth="1"/>
    <col min="2" max="2" width="1.08984375" style="16" customWidth="1"/>
    <col min="3" max="4" width="7.6328125" style="6" customWidth="1"/>
    <col min="5" max="5" width="47.36328125" style="6" customWidth="1"/>
    <col min="6" max="6" width="38.08984375" style="6" bestFit="1" customWidth="1"/>
    <col min="7" max="7" width="14.90625" style="7" bestFit="1" customWidth="1"/>
    <col min="8" max="8" width="54.7265625" style="6" bestFit="1" customWidth="1"/>
    <col min="9" max="11" width="18.90625" style="6" customWidth="1"/>
    <col min="12" max="12" width="17.08984375" style="16" customWidth="1"/>
    <col min="13" max="36" width="11.453125" style="16"/>
    <col min="37" max="16384" width="11.453125" style="6"/>
  </cols>
  <sheetData>
    <row r="1" spans="3:15" s="15" customFormat="1" ht="64.5" customHeight="1" x14ac:dyDescent="0.25">
      <c r="F1" s="241"/>
      <c r="G1" s="241"/>
      <c r="H1" s="241"/>
      <c r="I1" s="28"/>
      <c r="J1" s="28"/>
      <c r="K1" s="28"/>
      <c r="L1" s="11"/>
      <c r="M1" s="11"/>
      <c r="N1" s="11"/>
      <c r="O1" s="11"/>
    </row>
    <row r="2" spans="3:15" s="15" customFormat="1" ht="20.25" customHeight="1" x14ac:dyDescent="0.25">
      <c r="F2" s="28"/>
      <c r="G2" s="28"/>
      <c r="H2" s="28"/>
      <c r="I2" s="28"/>
      <c r="J2" s="28"/>
      <c r="K2" s="28"/>
      <c r="L2" s="11"/>
      <c r="M2" s="11"/>
      <c r="N2" s="11"/>
      <c r="O2" s="11"/>
    </row>
    <row r="3" spans="3:15" s="15" customFormat="1" ht="20.25" customHeight="1" x14ac:dyDescent="0.25">
      <c r="C3" s="96" t="s">
        <v>134</v>
      </c>
      <c r="F3" s="28"/>
      <c r="G3" s="28"/>
      <c r="H3" s="28"/>
      <c r="I3" s="28"/>
      <c r="J3" s="28"/>
      <c r="K3" s="28"/>
      <c r="L3" s="11"/>
      <c r="M3" s="11"/>
      <c r="N3" s="11"/>
      <c r="O3" s="11"/>
    </row>
    <row r="4" spans="3:15" ht="14.5" thickBot="1" x14ac:dyDescent="0.3">
      <c r="C4" s="17"/>
      <c r="D4" s="17"/>
      <c r="E4" s="17"/>
      <c r="F4" s="17"/>
      <c r="G4" s="17"/>
      <c r="H4" s="17"/>
      <c r="I4" s="18"/>
      <c r="J4" s="18"/>
      <c r="K4" s="18"/>
    </row>
    <row r="5" spans="3:15" s="20" customFormat="1" ht="30" customHeight="1" thickBot="1" x14ac:dyDescent="0.3">
      <c r="C5" s="257" t="s">
        <v>107</v>
      </c>
      <c r="D5" s="257"/>
      <c r="E5" s="257" t="s">
        <v>37</v>
      </c>
      <c r="F5" s="257" t="s">
        <v>38</v>
      </c>
      <c r="G5" s="257" t="s">
        <v>39</v>
      </c>
      <c r="H5" s="257" t="s">
        <v>40</v>
      </c>
      <c r="I5" s="257" t="s">
        <v>41</v>
      </c>
      <c r="J5" s="258"/>
      <c r="K5" s="258"/>
    </row>
    <row r="6" spans="3:15" s="20" customFormat="1" ht="30" customHeight="1" thickBot="1" x14ac:dyDescent="0.3">
      <c r="C6" s="258"/>
      <c r="D6" s="258"/>
      <c r="E6" s="258"/>
      <c r="F6" s="258"/>
      <c r="G6" s="258"/>
      <c r="H6" s="258"/>
      <c r="I6" s="156" t="s">
        <v>12</v>
      </c>
      <c r="J6" s="156" t="s">
        <v>42</v>
      </c>
      <c r="K6" s="156" t="s">
        <v>2</v>
      </c>
    </row>
    <row r="7" spans="3:15" s="20" customFormat="1" ht="17.25" customHeight="1" thickBot="1" x14ac:dyDescent="0.3">
      <c r="C7" s="259"/>
      <c r="D7" s="260"/>
      <c r="E7" s="260"/>
      <c r="F7" s="260"/>
      <c r="G7" s="260"/>
      <c r="H7" s="260"/>
      <c r="I7" s="260"/>
      <c r="J7" s="260"/>
      <c r="K7" s="261"/>
    </row>
    <row r="8" spans="3:15" s="20" customFormat="1" ht="17.25" customHeight="1" thickBot="1" x14ac:dyDescent="0.3">
      <c r="C8" s="254" t="s">
        <v>88</v>
      </c>
      <c r="D8" s="255"/>
      <c r="E8" s="255"/>
      <c r="F8" s="255"/>
      <c r="G8" s="255"/>
      <c r="H8" s="255"/>
      <c r="I8" s="255"/>
      <c r="J8" s="255"/>
      <c r="K8" s="256"/>
    </row>
    <row r="9" spans="3:15" ht="19.5" customHeight="1" x14ac:dyDescent="0.25">
      <c r="C9" s="264">
        <v>1</v>
      </c>
      <c r="D9" s="265"/>
      <c r="E9" s="25" t="s">
        <v>160</v>
      </c>
      <c r="F9" s="29" t="s">
        <v>192</v>
      </c>
      <c r="G9" s="8">
        <v>2024</v>
      </c>
      <c r="H9" s="29" t="s">
        <v>161</v>
      </c>
      <c r="I9" s="31"/>
      <c r="J9" s="32">
        <v>37400</v>
      </c>
      <c r="K9" s="32">
        <f>I9+J9</f>
        <v>37400</v>
      </c>
    </row>
    <row r="10" spans="3:15" ht="19.5" customHeight="1" x14ac:dyDescent="0.25">
      <c r="C10" s="264">
        <v>2</v>
      </c>
      <c r="D10" s="265"/>
      <c r="E10" s="25" t="s">
        <v>162</v>
      </c>
      <c r="F10" s="29" t="s">
        <v>192</v>
      </c>
      <c r="G10" s="8">
        <v>2024</v>
      </c>
      <c r="H10" s="29" t="s">
        <v>163</v>
      </c>
      <c r="I10" s="31"/>
      <c r="J10" s="32">
        <v>69770.55</v>
      </c>
      <c r="K10" s="32">
        <f t="shared" ref="K10:K27" si="0">I10+J10</f>
        <v>69770.55</v>
      </c>
    </row>
    <row r="11" spans="3:15" ht="19.5" customHeight="1" x14ac:dyDescent="0.25">
      <c r="C11" s="250">
        <f t="shared" ref="C11:C30" si="1">C10+1</f>
        <v>3</v>
      </c>
      <c r="D11" s="251"/>
      <c r="E11" s="25" t="s">
        <v>164</v>
      </c>
      <c r="F11" s="29" t="s">
        <v>192</v>
      </c>
      <c r="G11" s="8">
        <v>2024</v>
      </c>
      <c r="H11" s="29" t="s">
        <v>163</v>
      </c>
      <c r="I11" s="31"/>
      <c r="J11" s="32">
        <v>51480</v>
      </c>
      <c r="K11" s="32">
        <f t="shared" si="0"/>
        <v>51480</v>
      </c>
    </row>
    <row r="12" spans="3:15" ht="19.5" customHeight="1" x14ac:dyDescent="0.25">
      <c r="C12" s="250">
        <f t="shared" si="1"/>
        <v>4</v>
      </c>
      <c r="D12" s="251"/>
      <c r="E12" s="25" t="s">
        <v>165</v>
      </c>
      <c r="F12" s="29" t="s">
        <v>192</v>
      </c>
      <c r="G12" s="8">
        <v>2024</v>
      </c>
      <c r="H12" s="29" t="s">
        <v>166</v>
      </c>
      <c r="I12" s="31"/>
      <c r="J12" s="32">
        <v>90217.600000000006</v>
      </c>
      <c r="K12" s="32">
        <f t="shared" si="0"/>
        <v>90217.600000000006</v>
      </c>
    </row>
    <row r="13" spans="3:15" ht="19.5" customHeight="1" x14ac:dyDescent="0.25">
      <c r="C13" s="250">
        <f t="shared" si="1"/>
        <v>5</v>
      </c>
      <c r="D13" s="251"/>
      <c r="E13" s="25" t="s">
        <v>167</v>
      </c>
      <c r="F13" s="29" t="s">
        <v>192</v>
      </c>
      <c r="G13" s="8">
        <v>2024</v>
      </c>
      <c r="H13" s="29" t="s">
        <v>168</v>
      </c>
      <c r="I13" s="31"/>
      <c r="J13" s="32">
        <v>43560</v>
      </c>
      <c r="K13" s="32">
        <f t="shared" si="0"/>
        <v>43560</v>
      </c>
    </row>
    <row r="14" spans="3:15" ht="19.5" customHeight="1" x14ac:dyDescent="0.25">
      <c r="C14" s="250">
        <f t="shared" si="1"/>
        <v>6</v>
      </c>
      <c r="D14" s="251"/>
      <c r="E14" s="25" t="s">
        <v>169</v>
      </c>
      <c r="F14" s="29" t="s">
        <v>192</v>
      </c>
      <c r="G14" s="8">
        <v>2024</v>
      </c>
      <c r="H14" s="29" t="s">
        <v>166</v>
      </c>
      <c r="I14" s="31"/>
      <c r="J14" s="32">
        <v>68692.800000000003</v>
      </c>
      <c r="K14" s="32">
        <f t="shared" si="0"/>
        <v>68692.800000000003</v>
      </c>
    </row>
    <row r="15" spans="3:15" ht="19.5" customHeight="1" x14ac:dyDescent="0.25">
      <c r="C15" s="250">
        <f t="shared" si="1"/>
        <v>7</v>
      </c>
      <c r="D15" s="251"/>
      <c r="E15" s="25" t="s">
        <v>170</v>
      </c>
      <c r="F15" s="29" t="s">
        <v>192</v>
      </c>
      <c r="G15" s="8">
        <v>2024</v>
      </c>
      <c r="H15" s="29" t="s">
        <v>161</v>
      </c>
      <c r="I15" s="31"/>
      <c r="J15" s="32">
        <v>16505.88</v>
      </c>
      <c r="K15" s="32">
        <f t="shared" si="0"/>
        <v>16505.88</v>
      </c>
    </row>
    <row r="16" spans="3:15" ht="19.5" customHeight="1" x14ac:dyDescent="0.25">
      <c r="C16" s="309">
        <f t="shared" si="1"/>
        <v>8</v>
      </c>
      <c r="D16" s="310"/>
      <c r="E16" s="307" t="s">
        <v>171</v>
      </c>
      <c r="F16" s="29" t="s">
        <v>192</v>
      </c>
      <c r="G16" s="8">
        <v>2024</v>
      </c>
      <c r="H16" s="29" t="s">
        <v>168</v>
      </c>
      <c r="I16" s="31"/>
      <c r="J16" s="32">
        <v>50864</v>
      </c>
      <c r="K16" s="32">
        <f t="shared" si="0"/>
        <v>50864</v>
      </c>
    </row>
    <row r="17" spans="3:11" ht="19.5" customHeight="1" x14ac:dyDescent="0.25">
      <c r="C17" s="309">
        <f t="shared" si="1"/>
        <v>9</v>
      </c>
      <c r="D17" s="310"/>
      <c r="E17" s="307" t="s">
        <v>172</v>
      </c>
      <c r="F17" s="29" t="s">
        <v>192</v>
      </c>
      <c r="G17" s="8">
        <v>2024</v>
      </c>
      <c r="H17" s="29" t="s">
        <v>163</v>
      </c>
      <c r="I17" s="31"/>
      <c r="J17" s="32">
        <v>66422.399999999994</v>
      </c>
      <c r="K17" s="32">
        <f t="shared" si="0"/>
        <v>66422.399999999994</v>
      </c>
    </row>
    <row r="18" spans="3:11" ht="19.5" customHeight="1" x14ac:dyDescent="0.25">
      <c r="C18" s="309">
        <f t="shared" si="1"/>
        <v>10</v>
      </c>
      <c r="D18" s="310"/>
      <c r="E18" s="307" t="s">
        <v>173</v>
      </c>
      <c r="F18" s="29" t="s">
        <v>192</v>
      </c>
      <c r="G18" s="8">
        <v>2024</v>
      </c>
      <c r="H18" s="29" t="s">
        <v>161</v>
      </c>
      <c r="I18" s="31"/>
      <c r="J18" s="32">
        <v>42995.35</v>
      </c>
      <c r="K18" s="32">
        <f t="shared" si="0"/>
        <v>42995.35</v>
      </c>
    </row>
    <row r="19" spans="3:11" ht="19.5" customHeight="1" x14ac:dyDescent="0.25">
      <c r="C19" s="309">
        <f t="shared" si="1"/>
        <v>11</v>
      </c>
      <c r="D19" s="310"/>
      <c r="E19" s="307" t="s">
        <v>174</v>
      </c>
      <c r="F19" s="29" t="s">
        <v>192</v>
      </c>
      <c r="G19" s="8">
        <v>2024</v>
      </c>
      <c r="H19" s="29" t="s">
        <v>163</v>
      </c>
      <c r="I19" s="31"/>
      <c r="J19" s="32">
        <v>69770.55</v>
      </c>
      <c r="K19" s="32">
        <f t="shared" si="0"/>
        <v>69770.55</v>
      </c>
    </row>
    <row r="20" spans="3:11" ht="19.5" customHeight="1" x14ac:dyDescent="0.25">
      <c r="C20" s="309">
        <f t="shared" si="1"/>
        <v>12</v>
      </c>
      <c r="D20" s="310"/>
      <c r="E20" s="307" t="s">
        <v>175</v>
      </c>
      <c r="F20" s="29" t="s">
        <v>192</v>
      </c>
      <c r="G20" s="8">
        <v>2024</v>
      </c>
      <c r="H20" s="29" t="s">
        <v>176</v>
      </c>
      <c r="I20" s="31"/>
      <c r="J20" s="32">
        <v>57780.800000000003</v>
      </c>
      <c r="K20" s="32">
        <f t="shared" si="0"/>
        <v>57780.800000000003</v>
      </c>
    </row>
    <row r="21" spans="3:11" ht="19.5" customHeight="1" x14ac:dyDescent="0.25">
      <c r="C21" s="309">
        <f t="shared" si="1"/>
        <v>13</v>
      </c>
      <c r="D21" s="310"/>
      <c r="E21" s="307" t="s">
        <v>177</v>
      </c>
      <c r="F21" s="29" t="s">
        <v>192</v>
      </c>
      <c r="G21" s="8">
        <v>2024</v>
      </c>
      <c r="H21" s="29" t="s">
        <v>178</v>
      </c>
      <c r="I21" s="31"/>
      <c r="J21" s="32">
        <v>49016</v>
      </c>
      <c r="K21" s="32">
        <f t="shared" si="0"/>
        <v>49016</v>
      </c>
    </row>
    <row r="22" spans="3:11" ht="19.5" customHeight="1" x14ac:dyDescent="0.25">
      <c r="C22" s="309">
        <f t="shared" si="1"/>
        <v>14</v>
      </c>
      <c r="D22" s="310"/>
      <c r="E22" s="307" t="s">
        <v>179</v>
      </c>
      <c r="F22" s="29" t="s">
        <v>192</v>
      </c>
      <c r="G22" s="8">
        <v>2024</v>
      </c>
      <c r="H22" s="29" t="s">
        <v>166</v>
      </c>
      <c r="I22" s="31"/>
      <c r="J22" s="32">
        <v>63008</v>
      </c>
      <c r="K22" s="32">
        <f t="shared" si="0"/>
        <v>63008</v>
      </c>
    </row>
    <row r="23" spans="3:11" ht="19.5" customHeight="1" x14ac:dyDescent="0.25">
      <c r="C23" s="309">
        <f t="shared" si="1"/>
        <v>15</v>
      </c>
      <c r="D23" s="310"/>
      <c r="E23" s="307" t="s">
        <v>180</v>
      </c>
      <c r="F23" s="29" t="s">
        <v>192</v>
      </c>
      <c r="G23" s="8">
        <v>2024</v>
      </c>
      <c r="H23" s="29" t="s">
        <v>178</v>
      </c>
      <c r="I23" s="31"/>
      <c r="J23" s="32">
        <v>44512</v>
      </c>
      <c r="K23" s="32">
        <f t="shared" si="0"/>
        <v>44512</v>
      </c>
    </row>
    <row r="24" spans="3:11" ht="19.5" customHeight="1" x14ac:dyDescent="0.25">
      <c r="C24" s="309">
        <f t="shared" si="1"/>
        <v>16</v>
      </c>
      <c r="D24" s="310"/>
      <c r="E24" s="307" t="s">
        <v>181</v>
      </c>
      <c r="F24" s="29" t="s">
        <v>192</v>
      </c>
      <c r="G24" s="8">
        <v>2024</v>
      </c>
      <c r="H24" s="29" t="s">
        <v>161</v>
      </c>
      <c r="I24" s="31"/>
      <c r="J24" s="32">
        <v>43929.599999999999</v>
      </c>
      <c r="K24" s="32">
        <f t="shared" si="0"/>
        <v>43929.599999999999</v>
      </c>
    </row>
    <row r="25" spans="3:11" ht="19.5" customHeight="1" x14ac:dyDescent="0.25">
      <c r="C25" s="309">
        <f t="shared" si="1"/>
        <v>17</v>
      </c>
      <c r="D25" s="310"/>
      <c r="E25" s="307" t="s">
        <v>182</v>
      </c>
      <c r="F25" s="29" t="s">
        <v>192</v>
      </c>
      <c r="G25" s="8">
        <v>2024</v>
      </c>
      <c r="H25" s="29" t="s">
        <v>183</v>
      </c>
      <c r="I25" s="31"/>
      <c r="J25" s="32">
        <v>57657.599999999999</v>
      </c>
      <c r="K25" s="32">
        <f t="shared" si="0"/>
        <v>57657.599999999999</v>
      </c>
    </row>
    <row r="26" spans="3:11" ht="19.5" customHeight="1" x14ac:dyDescent="0.25">
      <c r="C26" s="309">
        <f t="shared" si="1"/>
        <v>18</v>
      </c>
      <c r="D26" s="310"/>
      <c r="E26" s="307" t="s">
        <v>184</v>
      </c>
      <c r="F26" s="29" t="s">
        <v>192</v>
      </c>
      <c r="G26" s="8">
        <v>2024</v>
      </c>
      <c r="H26" s="29" t="s">
        <v>161</v>
      </c>
      <c r="I26" s="31"/>
      <c r="J26" s="32">
        <v>33543.1</v>
      </c>
      <c r="K26" s="32">
        <f t="shared" si="0"/>
        <v>33543.1</v>
      </c>
    </row>
    <row r="27" spans="3:11" ht="19.5" customHeight="1" x14ac:dyDescent="0.25">
      <c r="C27" s="309">
        <f t="shared" si="1"/>
        <v>19</v>
      </c>
      <c r="D27" s="310"/>
      <c r="E27" s="307" t="s">
        <v>185</v>
      </c>
      <c r="F27" s="29" t="s">
        <v>192</v>
      </c>
      <c r="G27" s="8">
        <v>2024</v>
      </c>
      <c r="H27" s="29" t="s">
        <v>161</v>
      </c>
      <c r="I27" s="31"/>
      <c r="J27" s="32">
        <v>51636.2</v>
      </c>
      <c r="K27" s="32">
        <f t="shared" si="0"/>
        <v>51636.2</v>
      </c>
    </row>
    <row r="28" spans="3:11" ht="19.5" customHeight="1" x14ac:dyDescent="0.25">
      <c r="C28" s="309">
        <f t="shared" si="1"/>
        <v>20</v>
      </c>
      <c r="D28" s="310"/>
      <c r="E28" s="308" t="s">
        <v>186</v>
      </c>
      <c r="F28" s="29" t="s">
        <v>192</v>
      </c>
      <c r="G28" s="8">
        <v>2024</v>
      </c>
      <c r="H28" s="29" t="s">
        <v>163</v>
      </c>
      <c r="I28" s="31"/>
      <c r="J28" s="33">
        <v>74870.399999999994</v>
      </c>
      <c r="K28" s="32">
        <f t="shared" ref="K28:K30" si="2">I28+J28</f>
        <v>74870.399999999994</v>
      </c>
    </row>
    <row r="29" spans="3:11" ht="19.5" customHeight="1" x14ac:dyDescent="0.25">
      <c r="C29" s="309">
        <f t="shared" si="1"/>
        <v>21</v>
      </c>
      <c r="D29" s="310"/>
      <c r="E29" s="308" t="s">
        <v>187</v>
      </c>
      <c r="F29" s="29" t="s">
        <v>192</v>
      </c>
      <c r="G29" s="8">
        <v>2024</v>
      </c>
      <c r="H29" s="29" t="s">
        <v>168</v>
      </c>
      <c r="I29" s="31"/>
      <c r="J29" s="33">
        <v>55598.400000000001</v>
      </c>
      <c r="K29" s="32">
        <f t="shared" si="2"/>
        <v>55598.400000000001</v>
      </c>
    </row>
    <row r="30" spans="3:11" ht="19.5" customHeight="1" thickBot="1" x14ac:dyDescent="0.3">
      <c r="C30" s="309">
        <f t="shared" si="1"/>
        <v>22</v>
      </c>
      <c r="D30" s="310"/>
      <c r="E30" s="308" t="s">
        <v>188</v>
      </c>
      <c r="F30" s="29" t="s">
        <v>192</v>
      </c>
      <c r="G30" s="8">
        <v>2024</v>
      </c>
      <c r="H30" s="29" t="s">
        <v>161</v>
      </c>
      <c r="I30" s="31"/>
      <c r="J30" s="33">
        <v>68622.399999999994</v>
      </c>
      <c r="K30" s="32">
        <f t="shared" si="2"/>
        <v>68622.399999999994</v>
      </c>
    </row>
    <row r="31" spans="3:11" s="21" customFormat="1" ht="19.5" customHeight="1" thickBot="1" x14ac:dyDescent="0.3">
      <c r="C31" s="198" t="s">
        <v>36</v>
      </c>
      <c r="D31" s="306"/>
      <c r="E31" s="270"/>
      <c r="F31" s="270"/>
      <c r="G31" s="270"/>
      <c r="H31" s="271"/>
      <c r="I31" s="157">
        <f>SUM(I9:I30)</f>
        <v>0</v>
      </c>
      <c r="J31" s="157">
        <f>SUM(J9:J30)</f>
        <v>1207853.6299999997</v>
      </c>
      <c r="K31" s="157">
        <f>SUM(K9:K30)</f>
        <v>1207853.6299999997</v>
      </c>
    </row>
    <row r="32" spans="3:11" s="20" customFormat="1" ht="17.25" customHeight="1" thickBot="1" x14ac:dyDescent="0.3">
      <c r="C32" s="259"/>
      <c r="D32" s="260"/>
      <c r="E32" s="260"/>
      <c r="F32" s="260"/>
      <c r="G32" s="260"/>
      <c r="H32" s="260"/>
      <c r="I32" s="260"/>
      <c r="J32" s="260"/>
      <c r="K32" s="261"/>
    </row>
    <row r="33" spans="3:11" s="20" customFormat="1" ht="17.25" customHeight="1" thickBot="1" x14ac:dyDescent="0.3">
      <c r="C33" s="266" t="s">
        <v>89</v>
      </c>
      <c r="D33" s="267"/>
      <c r="E33" s="267"/>
      <c r="F33" s="267"/>
      <c r="G33" s="267"/>
      <c r="H33" s="267"/>
      <c r="I33" s="267"/>
      <c r="J33" s="267"/>
      <c r="K33" s="267"/>
    </row>
    <row r="34" spans="3:11" ht="19.5" customHeight="1" x14ac:dyDescent="0.25">
      <c r="C34" s="252">
        <v>1</v>
      </c>
      <c r="D34" s="253"/>
      <c r="E34" s="25"/>
      <c r="F34" s="9"/>
      <c r="G34" s="8"/>
      <c r="H34" s="40"/>
      <c r="I34" s="34"/>
      <c r="J34" s="35"/>
      <c r="K34" s="32">
        <f>I34</f>
        <v>0</v>
      </c>
    </row>
    <row r="35" spans="3:11" ht="19.5" customHeight="1" x14ac:dyDescent="0.25">
      <c r="C35" s="262">
        <f t="shared" ref="C35:C43" si="3">C34+1</f>
        <v>2</v>
      </c>
      <c r="D35" s="263"/>
      <c r="E35" s="23"/>
      <c r="F35" s="9"/>
      <c r="G35" s="8"/>
      <c r="H35" s="41"/>
      <c r="I35" s="32"/>
      <c r="J35" s="36"/>
      <c r="K35" s="32">
        <f t="shared" ref="K35:K43" si="4">I35</f>
        <v>0</v>
      </c>
    </row>
    <row r="36" spans="3:11" ht="19.5" customHeight="1" x14ac:dyDescent="0.25">
      <c r="C36" s="262">
        <f t="shared" si="3"/>
        <v>3</v>
      </c>
      <c r="D36" s="263"/>
      <c r="E36" s="23"/>
      <c r="F36" s="9"/>
      <c r="G36" s="8"/>
      <c r="H36" s="30"/>
      <c r="I36" s="32"/>
      <c r="J36" s="36"/>
      <c r="K36" s="32">
        <f t="shared" si="4"/>
        <v>0</v>
      </c>
    </row>
    <row r="37" spans="3:11" ht="19.5" customHeight="1" x14ac:dyDescent="0.25">
      <c r="C37" s="262">
        <f t="shared" si="3"/>
        <v>4</v>
      </c>
      <c r="D37" s="263"/>
      <c r="E37" s="23"/>
      <c r="F37" s="9"/>
      <c r="G37" s="8"/>
      <c r="H37" s="30"/>
      <c r="I37" s="32"/>
      <c r="J37" s="36"/>
      <c r="K37" s="32">
        <f t="shared" si="4"/>
        <v>0</v>
      </c>
    </row>
    <row r="38" spans="3:11" ht="19.5" customHeight="1" x14ac:dyDescent="0.25">
      <c r="C38" s="262">
        <f t="shared" si="3"/>
        <v>5</v>
      </c>
      <c r="D38" s="263"/>
      <c r="E38" s="23"/>
      <c r="F38" s="9"/>
      <c r="G38" s="8"/>
      <c r="H38" s="30"/>
      <c r="I38" s="32"/>
      <c r="J38" s="36"/>
      <c r="K38" s="32">
        <f t="shared" si="4"/>
        <v>0</v>
      </c>
    </row>
    <row r="39" spans="3:11" ht="19.5" customHeight="1" x14ac:dyDescent="0.25">
      <c r="C39" s="262">
        <f t="shared" si="3"/>
        <v>6</v>
      </c>
      <c r="D39" s="263"/>
      <c r="E39" s="23"/>
      <c r="F39" s="9"/>
      <c r="G39" s="8"/>
      <c r="H39" s="30"/>
      <c r="I39" s="32"/>
      <c r="J39" s="36"/>
      <c r="K39" s="32">
        <f t="shared" si="4"/>
        <v>0</v>
      </c>
    </row>
    <row r="40" spans="3:11" ht="19.5" customHeight="1" x14ac:dyDescent="0.25">
      <c r="C40" s="262">
        <f t="shared" si="3"/>
        <v>7</v>
      </c>
      <c r="D40" s="263"/>
      <c r="E40" s="23"/>
      <c r="F40" s="9"/>
      <c r="G40" s="8"/>
      <c r="H40" s="30"/>
      <c r="I40" s="32"/>
      <c r="J40" s="36"/>
      <c r="K40" s="32">
        <f t="shared" si="4"/>
        <v>0</v>
      </c>
    </row>
    <row r="41" spans="3:11" ht="19.5" customHeight="1" x14ac:dyDescent="0.25">
      <c r="C41" s="262">
        <f t="shared" si="3"/>
        <v>8</v>
      </c>
      <c r="D41" s="263"/>
      <c r="E41" s="23"/>
      <c r="F41" s="9"/>
      <c r="G41" s="8"/>
      <c r="H41" s="30"/>
      <c r="I41" s="32"/>
      <c r="J41" s="36"/>
      <c r="K41" s="32">
        <f t="shared" si="4"/>
        <v>0</v>
      </c>
    </row>
    <row r="42" spans="3:11" ht="19.5" customHeight="1" x14ac:dyDescent="0.25">
      <c r="C42" s="262">
        <f t="shared" si="3"/>
        <v>9</v>
      </c>
      <c r="D42" s="263"/>
      <c r="E42" s="23"/>
      <c r="F42" s="9"/>
      <c r="G42" s="8"/>
      <c r="H42" s="30"/>
      <c r="I42" s="32"/>
      <c r="J42" s="36"/>
      <c r="K42" s="32">
        <f t="shared" si="4"/>
        <v>0</v>
      </c>
    </row>
    <row r="43" spans="3:11" ht="19.5" customHeight="1" thickBot="1" x14ac:dyDescent="0.3">
      <c r="C43" s="262">
        <f t="shared" si="3"/>
        <v>10</v>
      </c>
      <c r="D43" s="263"/>
      <c r="E43" s="24"/>
      <c r="F43" s="9"/>
      <c r="G43" s="8"/>
      <c r="H43" s="30"/>
      <c r="I43" s="37"/>
      <c r="J43" s="36"/>
      <c r="K43" s="32">
        <f t="shared" si="4"/>
        <v>0</v>
      </c>
    </row>
    <row r="44" spans="3:11" s="21" customFormat="1" ht="19.5" customHeight="1" thickBot="1" x14ac:dyDescent="0.3">
      <c r="C44" s="191" t="s">
        <v>36</v>
      </c>
      <c r="D44" s="268"/>
      <c r="E44" s="268"/>
      <c r="F44" s="268"/>
      <c r="G44" s="268"/>
      <c r="H44" s="269"/>
      <c r="I44" s="157">
        <f>SUM(I34:I43)</f>
        <v>0</v>
      </c>
      <c r="J44" s="38"/>
      <c r="K44" s="157">
        <f>SUM(K34:K43)</f>
        <v>0</v>
      </c>
    </row>
    <row r="45" spans="3:11" s="21" customFormat="1" ht="19.5" customHeight="1" thickBot="1" x14ac:dyDescent="0.3">
      <c r="C45" s="274"/>
      <c r="D45" s="275"/>
      <c r="E45" s="275"/>
      <c r="F45" s="275"/>
      <c r="G45" s="275"/>
      <c r="H45" s="275"/>
      <c r="I45" s="275"/>
      <c r="J45" s="275"/>
      <c r="K45" s="275"/>
    </row>
    <row r="46" spans="3:11" s="21" customFormat="1" ht="32.25" customHeight="1" thickBot="1" x14ac:dyDescent="0.3">
      <c r="C46" s="257" t="s">
        <v>107</v>
      </c>
      <c r="D46" s="257"/>
      <c r="E46" s="257" t="s">
        <v>43</v>
      </c>
      <c r="F46" s="257" t="s">
        <v>44</v>
      </c>
      <c r="G46" s="257" t="s">
        <v>39</v>
      </c>
      <c r="H46" s="257" t="s">
        <v>30</v>
      </c>
      <c r="I46" s="257" t="s">
        <v>41</v>
      </c>
      <c r="J46" s="258"/>
      <c r="K46" s="258"/>
    </row>
    <row r="47" spans="3:11" s="21" customFormat="1" ht="30.75" customHeight="1" thickBot="1" x14ac:dyDescent="0.3">
      <c r="C47" s="258"/>
      <c r="D47" s="258"/>
      <c r="E47" s="258"/>
      <c r="F47" s="258"/>
      <c r="G47" s="258"/>
      <c r="H47" s="258"/>
      <c r="I47" s="156" t="s">
        <v>12</v>
      </c>
      <c r="J47" s="156" t="s">
        <v>42</v>
      </c>
      <c r="K47" s="156" t="s">
        <v>2</v>
      </c>
    </row>
    <row r="48" spans="3:11" s="20" customFormat="1" ht="17.25" customHeight="1" thickBot="1" x14ac:dyDescent="0.3">
      <c r="C48" s="274"/>
      <c r="D48" s="275"/>
      <c r="E48" s="275"/>
      <c r="F48" s="275"/>
      <c r="G48" s="275"/>
      <c r="H48" s="275"/>
      <c r="I48" s="275"/>
      <c r="J48" s="275"/>
      <c r="K48" s="275"/>
    </row>
    <row r="49" spans="3:11" s="20" customFormat="1" ht="17.25" customHeight="1" thickBot="1" x14ac:dyDescent="0.3">
      <c r="C49" s="254" t="s">
        <v>90</v>
      </c>
      <c r="D49" s="255"/>
      <c r="E49" s="255"/>
      <c r="F49" s="255"/>
      <c r="G49" s="255"/>
      <c r="H49" s="255"/>
      <c r="I49" s="255"/>
      <c r="J49" s="255"/>
      <c r="K49" s="256"/>
    </row>
    <row r="50" spans="3:11" ht="19.5" customHeight="1" x14ac:dyDescent="0.25">
      <c r="C50" s="276">
        <v>1</v>
      </c>
      <c r="D50" s="277"/>
      <c r="E50" s="25"/>
      <c r="F50" s="9"/>
      <c r="G50" s="8"/>
      <c r="H50" s="29"/>
      <c r="I50" s="34"/>
      <c r="J50" s="32"/>
      <c r="K50" s="32">
        <f>I50+J50</f>
        <v>0</v>
      </c>
    </row>
    <row r="51" spans="3:11" ht="19.5" customHeight="1" x14ac:dyDescent="0.25">
      <c r="C51" s="272">
        <f t="shared" ref="C51:C59" si="5">C50+1</f>
        <v>2</v>
      </c>
      <c r="D51" s="273"/>
      <c r="E51" s="23"/>
      <c r="F51" s="9"/>
      <c r="G51" s="8"/>
      <c r="H51" s="29"/>
      <c r="I51" s="32"/>
      <c r="J51" s="33"/>
      <c r="K51" s="32">
        <f t="shared" ref="K51:K59" si="6">I51+J51</f>
        <v>0</v>
      </c>
    </row>
    <row r="52" spans="3:11" ht="19.5" customHeight="1" x14ac:dyDescent="0.25">
      <c r="C52" s="272">
        <f t="shared" si="5"/>
        <v>3</v>
      </c>
      <c r="D52" s="273"/>
      <c r="E52" s="23"/>
      <c r="F52" s="9"/>
      <c r="G52" s="8"/>
      <c r="H52" s="29"/>
      <c r="I52" s="32"/>
      <c r="J52" s="33"/>
      <c r="K52" s="32">
        <f t="shared" si="6"/>
        <v>0</v>
      </c>
    </row>
    <row r="53" spans="3:11" ht="19.5" customHeight="1" x14ac:dyDescent="0.25">
      <c r="C53" s="272">
        <f t="shared" si="5"/>
        <v>4</v>
      </c>
      <c r="D53" s="273"/>
      <c r="E53" s="23"/>
      <c r="F53" s="9"/>
      <c r="G53" s="8"/>
      <c r="H53" s="29"/>
      <c r="I53" s="32"/>
      <c r="J53" s="33"/>
      <c r="K53" s="32">
        <f t="shared" si="6"/>
        <v>0</v>
      </c>
    </row>
    <row r="54" spans="3:11" ht="19.5" customHeight="1" x14ac:dyDescent="0.25">
      <c r="C54" s="272">
        <f t="shared" si="5"/>
        <v>5</v>
      </c>
      <c r="D54" s="273"/>
      <c r="E54" s="23"/>
      <c r="F54" s="9"/>
      <c r="G54" s="8"/>
      <c r="H54" s="29"/>
      <c r="I54" s="32"/>
      <c r="J54" s="33"/>
      <c r="K54" s="32">
        <f t="shared" si="6"/>
        <v>0</v>
      </c>
    </row>
    <row r="55" spans="3:11" ht="19.5" customHeight="1" x14ac:dyDescent="0.25">
      <c r="C55" s="272">
        <f t="shared" si="5"/>
        <v>6</v>
      </c>
      <c r="D55" s="273"/>
      <c r="E55" s="23"/>
      <c r="F55" s="9"/>
      <c r="G55" s="8"/>
      <c r="H55" s="29"/>
      <c r="I55" s="32"/>
      <c r="J55" s="33"/>
      <c r="K55" s="32">
        <f t="shared" si="6"/>
        <v>0</v>
      </c>
    </row>
    <row r="56" spans="3:11" ht="19.5" customHeight="1" x14ac:dyDescent="0.25">
      <c r="C56" s="272">
        <f t="shared" si="5"/>
        <v>7</v>
      </c>
      <c r="D56" s="273"/>
      <c r="E56" s="23"/>
      <c r="F56" s="9"/>
      <c r="G56" s="8"/>
      <c r="H56" s="29"/>
      <c r="I56" s="32"/>
      <c r="J56" s="33"/>
      <c r="K56" s="32">
        <f t="shared" si="6"/>
        <v>0</v>
      </c>
    </row>
    <row r="57" spans="3:11" ht="19.5" customHeight="1" x14ac:dyDescent="0.25">
      <c r="C57" s="272">
        <f t="shared" si="5"/>
        <v>8</v>
      </c>
      <c r="D57" s="273"/>
      <c r="E57" s="23"/>
      <c r="F57" s="9"/>
      <c r="G57" s="8"/>
      <c r="H57" s="29"/>
      <c r="I57" s="32"/>
      <c r="J57" s="33"/>
      <c r="K57" s="32">
        <f t="shared" si="6"/>
        <v>0</v>
      </c>
    </row>
    <row r="58" spans="3:11" ht="19.5" customHeight="1" x14ac:dyDescent="0.25">
      <c r="C58" s="272">
        <f t="shared" si="5"/>
        <v>9</v>
      </c>
      <c r="D58" s="273"/>
      <c r="E58" s="23"/>
      <c r="F58" s="9"/>
      <c r="G58" s="8"/>
      <c r="H58" s="29"/>
      <c r="I58" s="32"/>
      <c r="J58" s="33"/>
      <c r="K58" s="32">
        <f t="shared" si="6"/>
        <v>0</v>
      </c>
    </row>
    <row r="59" spans="3:11" ht="19.5" customHeight="1" thickBot="1" x14ac:dyDescent="0.3">
      <c r="C59" s="272">
        <f t="shared" si="5"/>
        <v>10</v>
      </c>
      <c r="D59" s="273"/>
      <c r="E59" s="24"/>
      <c r="F59" s="9"/>
      <c r="G59" s="8"/>
      <c r="H59" s="29"/>
      <c r="I59" s="37"/>
      <c r="J59" s="33"/>
      <c r="K59" s="32">
        <f t="shared" si="6"/>
        <v>0</v>
      </c>
    </row>
    <row r="60" spans="3:11" s="21" customFormat="1" ht="19.5" customHeight="1" thickBot="1" x14ac:dyDescent="0.3">
      <c r="C60" s="191" t="s">
        <v>36</v>
      </c>
      <c r="D60" s="270"/>
      <c r="E60" s="284"/>
      <c r="F60" s="270"/>
      <c r="G60" s="270"/>
      <c r="H60" s="271"/>
      <c r="I60" s="157">
        <f>SUM(I50:I59)</f>
        <v>0</v>
      </c>
      <c r="J60" s="157">
        <f>SUM(J50:J59)</f>
        <v>0</v>
      </c>
      <c r="K60" s="157">
        <f>SUM(K50:K59)</f>
        <v>0</v>
      </c>
    </row>
    <row r="61" spans="3:11" s="21" customFormat="1" ht="19.5" customHeight="1" thickBot="1" x14ac:dyDescent="0.3">
      <c r="C61" s="274"/>
      <c r="D61" s="275"/>
      <c r="E61" s="275"/>
      <c r="F61" s="275"/>
      <c r="G61" s="275"/>
      <c r="H61" s="275"/>
      <c r="I61" s="275"/>
      <c r="J61" s="275"/>
      <c r="K61" s="275"/>
    </row>
    <row r="62" spans="3:11" s="21" customFormat="1" ht="19.5" customHeight="1" thickBot="1" x14ac:dyDescent="0.3">
      <c r="C62" s="254" t="s">
        <v>45</v>
      </c>
      <c r="D62" s="255"/>
      <c r="E62" s="255"/>
      <c r="F62" s="255"/>
      <c r="G62" s="255"/>
      <c r="H62" s="255"/>
      <c r="I62" s="255"/>
      <c r="J62" s="255"/>
      <c r="K62" s="256"/>
    </row>
    <row r="63" spans="3:11" ht="19.5" customHeight="1" x14ac:dyDescent="0.25">
      <c r="C63" s="285">
        <v>1</v>
      </c>
      <c r="D63" s="286"/>
      <c r="E63" s="42"/>
      <c r="F63" s="10"/>
      <c r="G63" s="8"/>
      <c r="H63" s="29"/>
      <c r="I63" s="34"/>
      <c r="J63" s="32"/>
      <c r="K63" s="32">
        <f>I63+J63</f>
        <v>0</v>
      </c>
    </row>
    <row r="64" spans="3:11" ht="19.5" customHeight="1" x14ac:dyDescent="0.25">
      <c r="C64" s="282">
        <f t="shared" ref="C64:C72" si="7">C63+1</f>
        <v>2</v>
      </c>
      <c r="D64" s="283"/>
      <c r="E64" s="42"/>
      <c r="F64" s="10"/>
      <c r="G64" s="8"/>
      <c r="H64" s="29"/>
      <c r="I64" s="32"/>
      <c r="J64" s="33"/>
      <c r="K64" s="32">
        <f t="shared" ref="K64:K72" si="8">I64+J64</f>
        <v>0</v>
      </c>
    </row>
    <row r="65" spans="3:11" ht="19.5" customHeight="1" x14ac:dyDescent="0.25">
      <c r="C65" s="282">
        <f t="shared" si="7"/>
        <v>3</v>
      </c>
      <c r="D65" s="283"/>
      <c r="E65" s="23"/>
      <c r="F65" s="10"/>
      <c r="G65" s="8"/>
      <c r="H65" s="29"/>
      <c r="I65" s="32"/>
      <c r="J65" s="33"/>
      <c r="K65" s="32">
        <f t="shared" si="8"/>
        <v>0</v>
      </c>
    </row>
    <row r="66" spans="3:11" ht="19.5" customHeight="1" x14ac:dyDescent="0.25">
      <c r="C66" s="282">
        <f>C65+1</f>
        <v>4</v>
      </c>
      <c r="D66" s="283"/>
      <c r="E66" s="23"/>
      <c r="F66" s="10"/>
      <c r="G66" s="8"/>
      <c r="H66" s="29"/>
      <c r="I66" s="32"/>
      <c r="J66" s="33"/>
      <c r="K66" s="32">
        <f t="shared" si="8"/>
        <v>0</v>
      </c>
    </row>
    <row r="67" spans="3:11" ht="19.5" customHeight="1" x14ac:dyDescent="0.25">
      <c r="C67" s="282">
        <f t="shared" si="7"/>
        <v>5</v>
      </c>
      <c r="D67" s="283"/>
      <c r="E67" s="23"/>
      <c r="F67" s="10"/>
      <c r="G67" s="8"/>
      <c r="H67" s="29"/>
      <c r="I67" s="32"/>
      <c r="J67" s="33"/>
      <c r="K67" s="32">
        <f t="shared" si="8"/>
        <v>0</v>
      </c>
    </row>
    <row r="68" spans="3:11" ht="19.5" customHeight="1" x14ac:dyDescent="0.25">
      <c r="C68" s="282">
        <f t="shared" si="7"/>
        <v>6</v>
      </c>
      <c r="D68" s="283"/>
      <c r="E68" s="23"/>
      <c r="F68" s="10"/>
      <c r="G68" s="8"/>
      <c r="H68" s="29"/>
      <c r="I68" s="32"/>
      <c r="J68" s="33"/>
      <c r="K68" s="32">
        <f t="shared" si="8"/>
        <v>0</v>
      </c>
    </row>
    <row r="69" spans="3:11" ht="19.5" customHeight="1" x14ac:dyDescent="0.25">
      <c r="C69" s="282">
        <f t="shared" si="7"/>
        <v>7</v>
      </c>
      <c r="D69" s="283"/>
      <c r="E69" s="23"/>
      <c r="F69" s="10"/>
      <c r="G69" s="8"/>
      <c r="H69" s="29"/>
      <c r="I69" s="32"/>
      <c r="J69" s="33"/>
      <c r="K69" s="32">
        <f t="shared" si="8"/>
        <v>0</v>
      </c>
    </row>
    <row r="70" spans="3:11" ht="19.5" customHeight="1" x14ac:dyDescent="0.25">
      <c r="C70" s="282">
        <f t="shared" si="7"/>
        <v>8</v>
      </c>
      <c r="D70" s="283"/>
      <c r="E70" s="23"/>
      <c r="F70" s="10"/>
      <c r="G70" s="8"/>
      <c r="H70" s="29"/>
      <c r="I70" s="32"/>
      <c r="J70" s="33"/>
      <c r="K70" s="32">
        <f t="shared" si="8"/>
        <v>0</v>
      </c>
    </row>
    <row r="71" spans="3:11" ht="19.5" customHeight="1" x14ac:dyDescent="0.25">
      <c r="C71" s="282">
        <f t="shared" si="7"/>
        <v>9</v>
      </c>
      <c r="D71" s="283"/>
      <c r="E71" s="23"/>
      <c r="F71" s="10"/>
      <c r="G71" s="8"/>
      <c r="H71" s="29"/>
      <c r="I71" s="32"/>
      <c r="J71" s="33"/>
      <c r="K71" s="32">
        <f t="shared" si="8"/>
        <v>0</v>
      </c>
    </row>
    <row r="72" spans="3:11" ht="19.5" customHeight="1" thickBot="1" x14ac:dyDescent="0.3">
      <c r="C72" s="282">
        <f t="shared" si="7"/>
        <v>10</v>
      </c>
      <c r="D72" s="283"/>
      <c r="E72" s="24"/>
      <c r="F72" s="10"/>
      <c r="G72" s="8"/>
      <c r="H72" s="29"/>
      <c r="I72" s="37"/>
      <c r="J72" s="33"/>
      <c r="K72" s="32">
        <f t="shared" si="8"/>
        <v>0</v>
      </c>
    </row>
    <row r="73" spans="3:11" s="21" customFormat="1" ht="19.5" customHeight="1" thickBot="1" x14ac:dyDescent="0.3">
      <c r="C73" s="191" t="s">
        <v>36</v>
      </c>
      <c r="D73" s="268"/>
      <c r="E73" s="268"/>
      <c r="F73" s="268"/>
      <c r="G73" s="268"/>
      <c r="H73" s="269"/>
      <c r="I73" s="157">
        <f>SUM(I63:I72)</f>
        <v>0</v>
      </c>
      <c r="J73" s="157">
        <f>SUM(J63:J72)</f>
        <v>0</v>
      </c>
      <c r="K73" s="157">
        <f>SUM(K63:K72)</f>
        <v>0</v>
      </c>
    </row>
    <row r="74" spans="3:11" s="21" customFormat="1" ht="19.5" customHeight="1" thickBot="1" x14ac:dyDescent="0.3">
      <c r="C74" s="274"/>
      <c r="D74" s="275"/>
      <c r="E74" s="275"/>
      <c r="F74" s="275"/>
      <c r="G74" s="275"/>
      <c r="H74" s="275"/>
      <c r="I74" s="275"/>
      <c r="J74" s="275"/>
      <c r="K74" s="275"/>
    </row>
    <row r="75" spans="3:11" s="21" customFormat="1" ht="19.5" customHeight="1" thickBot="1" x14ac:dyDescent="0.3">
      <c r="C75" s="254" t="s">
        <v>126</v>
      </c>
      <c r="D75" s="304"/>
      <c r="E75" s="304"/>
      <c r="F75" s="304"/>
      <c r="G75" s="304"/>
      <c r="H75" s="304"/>
      <c r="I75" s="304"/>
      <c r="J75" s="304"/>
      <c r="K75" s="305"/>
    </row>
    <row r="76" spans="3:11" s="21" customFormat="1" ht="19.5" customHeight="1" thickBot="1" x14ac:dyDescent="0.3">
      <c r="C76" s="280" t="s">
        <v>46</v>
      </c>
      <c r="D76" s="281"/>
      <c r="E76" s="83"/>
      <c r="F76" s="84"/>
      <c r="G76" s="84"/>
      <c r="H76" s="84"/>
      <c r="I76" s="34"/>
      <c r="J76" s="32"/>
      <c r="K76" s="32">
        <f>I76+J76</f>
        <v>0</v>
      </c>
    </row>
    <row r="77" spans="3:11" s="21" customFormat="1" ht="19.5" customHeight="1" thickBot="1" x14ac:dyDescent="0.3">
      <c r="C77" s="280" t="s">
        <v>47</v>
      </c>
      <c r="D77" s="281"/>
      <c r="E77" s="85"/>
      <c r="F77" s="86"/>
      <c r="G77" s="86"/>
      <c r="H77" s="86"/>
      <c r="I77" s="32"/>
      <c r="J77" s="33"/>
      <c r="K77" s="32">
        <f t="shared" ref="K77:K85" si="9">I77+J77</f>
        <v>0</v>
      </c>
    </row>
    <row r="78" spans="3:11" s="21" customFormat="1" ht="19.5" customHeight="1" thickBot="1" x14ac:dyDescent="0.3">
      <c r="C78" s="280" t="s">
        <v>48</v>
      </c>
      <c r="D78" s="281"/>
      <c r="E78" s="85"/>
      <c r="F78" s="86"/>
      <c r="G78" s="86"/>
      <c r="H78" s="86"/>
      <c r="I78" s="32"/>
      <c r="J78" s="33"/>
      <c r="K78" s="32">
        <f t="shared" si="9"/>
        <v>0</v>
      </c>
    </row>
    <row r="79" spans="3:11" s="21" customFormat="1" ht="19.5" customHeight="1" thickBot="1" x14ac:dyDescent="0.3">
      <c r="C79" s="280" t="s">
        <v>49</v>
      </c>
      <c r="D79" s="281"/>
      <c r="E79" s="85"/>
      <c r="F79" s="86"/>
      <c r="G79" s="86"/>
      <c r="H79" s="86"/>
      <c r="I79" s="32"/>
      <c r="J79" s="33"/>
      <c r="K79" s="32">
        <f t="shared" si="9"/>
        <v>0</v>
      </c>
    </row>
    <row r="80" spans="3:11" s="21" customFormat="1" ht="19.5" customHeight="1" thickBot="1" x14ac:dyDescent="0.3">
      <c r="C80" s="280" t="s">
        <v>50</v>
      </c>
      <c r="D80" s="281"/>
      <c r="E80" s="85"/>
      <c r="F80" s="86"/>
      <c r="G80" s="86"/>
      <c r="H80" s="86"/>
      <c r="I80" s="32"/>
      <c r="J80" s="33"/>
      <c r="K80" s="32">
        <f t="shared" si="9"/>
        <v>0</v>
      </c>
    </row>
    <row r="81" spans="3:11" s="21" customFormat="1" ht="19.5" customHeight="1" thickBot="1" x14ac:dyDescent="0.3">
      <c r="C81" s="280" t="s">
        <v>51</v>
      </c>
      <c r="D81" s="281"/>
      <c r="E81" s="85"/>
      <c r="F81" s="86"/>
      <c r="G81" s="86"/>
      <c r="H81" s="86"/>
      <c r="I81" s="32"/>
      <c r="J81" s="33"/>
      <c r="K81" s="32">
        <f t="shared" si="9"/>
        <v>0</v>
      </c>
    </row>
    <row r="82" spans="3:11" s="21" customFormat="1" ht="19.5" customHeight="1" thickBot="1" x14ac:dyDescent="0.3">
      <c r="C82" s="280" t="s">
        <v>52</v>
      </c>
      <c r="D82" s="281"/>
      <c r="E82" s="85"/>
      <c r="F82" s="86"/>
      <c r="G82" s="86"/>
      <c r="H82" s="86"/>
      <c r="I82" s="32"/>
      <c r="J82" s="33"/>
      <c r="K82" s="32">
        <f t="shared" si="9"/>
        <v>0</v>
      </c>
    </row>
    <row r="83" spans="3:11" s="21" customFormat="1" ht="19.5" customHeight="1" thickBot="1" x14ac:dyDescent="0.3">
      <c r="C83" s="280" t="s">
        <v>53</v>
      </c>
      <c r="D83" s="281"/>
      <c r="E83" s="85"/>
      <c r="F83" s="86"/>
      <c r="G83" s="86"/>
      <c r="H83" s="86"/>
      <c r="I83" s="32"/>
      <c r="J83" s="33"/>
      <c r="K83" s="32">
        <f t="shared" si="9"/>
        <v>0</v>
      </c>
    </row>
    <row r="84" spans="3:11" s="21" customFormat="1" ht="19.5" customHeight="1" thickBot="1" x14ac:dyDescent="0.3">
      <c r="C84" s="280" t="s">
        <v>54</v>
      </c>
      <c r="D84" s="281"/>
      <c r="E84" s="85"/>
      <c r="F84" s="86"/>
      <c r="G84" s="86"/>
      <c r="H84" s="86"/>
      <c r="I84" s="32"/>
      <c r="J84" s="33"/>
      <c r="K84" s="32">
        <f t="shared" si="9"/>
        <v>0</v>
      </c>
    </row>
    <row r="85" spans="3:11" s="21" customFormat="1" ht="19.5" customHeight="1" thickBot="1" x14ac:dyDescent="0.3">
      <c r="C85" s="280" t="s">
        <v>55</v>
      </c>
      <c r="D85" s="281"/>
      <c r="E85" s="85"/>
      <c r="F85" s="86"/>
      <c r="G85" s="86"/>
      <c r="H85" s="86"/>
      <c r="I85" s="37"/>
      <c r="J85" s="33"/>
      <c r="K85" s="32">
        <f t="shared" si="9"/>
        <v>0</v>
      </c>
    </row>
    <row r="86" spans="3:11" s="21" customFormat="1" ht="19.5" customHeight="1" thickBot="1" x14ac:dyDescent="0.3">
      <c r="C86" s="191" t="s">
        <v>36</v>
      </c>
      <c r="D86" s="268"/>
      <c r="E86" s="268"/>
      <c r="F86" s="268"/>
      <c r="G86" s="268"/>
      <c r="H86" s="269"/>
      <c r="I86" s="157">
        <f>SUM(I76:I85)</f>
        <v>0</v>
      </c>
      <c r="J86" s="157">
        <f>SUM(J76:J85)</f>
        <v>0</v>
      </c>
      <c r="K86" s="157">
        <f>SUM(K76:K85)</f>
        <v>0</v>
      </c>
    </row>
    <row r="87" spans="3:11" s="21" customFormat="1" ht="19.5" customHeight="1" thickBot="1" x14ac:dyDescent="0.3">
      <c r="C87" s="274"/>
      <c r="D87" s="275"/>
      <c r="E87" s="275"/>
      <c r="F87" s="275"/>
      <c r="G87" s="275"/>
      <c r="H87" s="275"/>
      <c r="I87" s="275"/>
      <c r="J87" s="275"/>
      <c r="K87" s="275"/>
    </row>
    <row r="88" spans="3:11" ht="19.5" customHeight="1" thickBot="1" x14ac:dyDescent="0.3">
      <c r="C88" s="254" t="s">
        <v>66</v>
      </c>
      <c r="D88" s="255"/>
      <c r="E88" s="255"/>
      <c r="F88" s="255"/>
      <c r="G88" s="255"/>
      <c r="H88" s="255"/>
      <c r="I88" s="255"/>
      <c r="J88" s="255"/>
      <c r="K88" s="256"/>
    </row>
    <row r="89" spans="3:11" ht="19.5" customHeight="1" x14ac:dyDescent="0.25">
      <c r="C89" s="278" t="s">
        <v>56</v>
      </c>
      <c r="D89" s="279"/>
      <c r="E89" s="42"/>
      <c r="F89" s="26"/>
      <c r="G89" s="27"/>
      <c r="H89" s="26"/>
      <c r="I89" s="34"/>
      <c r="J89" s="32"/>
      <c r="K89" s="32">
        <f>I89+J89</f>
        <v>0</v>
      </c>
    </row>
    <row r="90" spans="3:11" ht="19.5" customHeight="1" x14ac:dyDescent="0.25">
      <c r="C90" s="278" t="s">
        <v>57</v>
      </c>
      <c r="D90" s="279"/>
      <c r="E90" s="42"/>
      <c r="F90" s="26"/>
      <c r="G90" s="27"/>
      <c r="H90" s="26"/>
      <c r="I90" s="32"/>
      <c r="J90" s="33"/>
      <c r="K90" s="32">
        <f t="shared" ref="K90:K98" si="10">I90+J90</f>
        <v>0</v>
      </c>
    </row>
    <row r="91" spans="3:11" ht="20.25" customHeight="1" x14ac:dyDescent="0.25">
      <c r="C91" s="278" t="s">
        <v>58</v>
      </c>
      <c r="D91" s="279"/>
      <c r="E91" s="42"/>
      <c r="F91" s="26"/>
      <c r="G91" s="27"/>
      <c r="H91" s="26"/>
      <c r="I91" s="32"/>
      <c r="J91" s="33"/>
      <c r="K91" s="32">
        <f t="shared" si="10"/>
        <v>0</v>
      </c>
    </row>
    <row r="92" spans="3:11" ht="19.5" customHeight="1" x14ac:dyDescent="0.25">
      <c r="C92" s="278" t="s">
        <v>59</v>
      </c>
      <c r="D92" s="279"/>
      <c r="E92" s="42"/>
      <c r="F92" s="26"/>
      <c r="G92" s="27"/>
      <c r="H92" s="26"/>
      <c r="I92" s="32"/>
      <c r="J92" s="33"/>
      <c r="K92" s="32">
        <f t="shared" si="10"/>
        <v>0</v>
      </c>
    </row>
    <row r="93" spans="3:11" ht="19.5" customHeight="1" x14ac:dyDescent="0.25">
      <c r="C93" s="278" t="s">
        <v>60</v>
      </c>
      <c r="D93" s="279"/>
      <c r="E93" s="42"/>
      <c r="F93" s="26"/>
      <c r="G93" s="27"/>
      <c r="H93" s="26"/>
      <c r="I93" s="32"/>
      <c r="J93" s="33"/>
      <c r="K93" s="32">
        <f t="shared" si="10"/>
        <v>0</v>
      </c>
    </row>
    <row r="94" spans="3:11" ht="19.5" customHeight="1" x14ac:dyDescent="0.25">
      <c r="C94" s="278" t="s">
        <v>61</v>
      </c>
      <c r="D94" s="279"/>
      <c r="E94" s="42"/>
      <c r="F94" s="26"/>
      <c r="G94" s="27"/>
      <c r="H94" s="26"/>
      <c r="I94" s="32"/>
      <c r="J94" s="33"/>
      <c r="K94" s="32">
        <f t="shared" si="10"/>
        <v>0</v>
      </c>
    </row>
    <row r="95" spans="3:11" ht="19.5" customHeight="1" x14ac:dyDescent="0.25">
      <c r="C95" s="278" t="s">
        <v>62</v>
      </c>
      <c r="D95" s="279"/>
      <c r="E95" s="42"/>
      <c r="F95" s="26"/>
      <c r="G95" s="27"/>
      <c r="H95" s="26"/>
      <c r="I95" s="32"/>
      <c r="J95" s="33"/>
      <c r="K95" s="32">
        <f t="shared" si="10"/>
        <v>0</v>
      </c>
    </row>
    <row r="96" spans="3:11" ht="19.5" customHeight="1" x14ac:dyDescent="0.25">
      <c r="C96" s="278" t="s">
        <v>63</v>
      </c>
      <c r="D96" s="279"/>
      <c r="E96" s="42"/>
      <c r="F96" s="26"/>
      <c r="G96" s="27"/>
      <c r="H96" s="26"/>
      <c r="I96" s="32"/>
      <c r="J96" s="33"/>
      <c r="K96" s="32">
        <f t="shared" si="10"/>
        <v>0</v>
      </c>
    </row>
    <row r="97" spans="3:11" ht="19.5" customHeight="1" x14ac:dyDescent="0.25">
      <c r="C97" s="278" t="s">
        <v>64</v>
      </c>
      <c r="D97" s="279"/>
      <c r="E97" s="42"/>
      <c r="F97" s="26"/>
      <c r="G97" s="27"/>
      <c r="H97" s="26"/>
      <c r="I97" s="32"/>
      <c r="J97" s="33"/>
      <c r="K97" s="32">
        <f t="shared" si="10"/>
        <v>0</v>
      </c>
    </row>
    <row r="98" spans="3:11" ht="19.5" customHeight="1" thickBot="1" x14ac:dyDescent="0.3">
      <c r="C98" s="278" t="s">
        <v>65</v>
      </c>
      <c r="D98" s="279"/>
      <c r="E98" s="42"/>
      <c r="F98" s="26"/>
      <c r="G98" s="27"/>
      <c r="H98" s="26"/>
      <c r="I98" s="37"/>
      <c r="J98" s="33"/>
      <c r="K98" s="32">
        <f t="shared" si="10"/>
        <v>0</v>
      </c>
    </row>
    <row r="99" spans="3:11" ht="19.5" customHeight="1" thickBot="1" x14ac:dyDescent="0.3">
      <c r="C99" s="191" t="s">
        <v>36</v>
      </c>
      <c r="D99" s="268"/>
      <c r="E99" s="268"/>
      <c r="F99" s="268"/>
      <c r="G99" s="268"/>
      <c r="H99" s="269"/>
      <c r="I99" s="157">
        <f>SUM(I89:I98)</f>
        <v>0</v>
      </c>
      <c r="J99" s="157">
        <f>SUM(J89:J98)</f>
        <v>0</v>
      </c>
      <c r="K99" s="157">
        <f>SUM(K89:K98)</f>
        <v>0</v>
      </c>
    </row>
    <row r="100" spans="3:11" ht="19.5" customHeight="1" thickBot="1" x14ac:dyDescent="0.3">
      <c r="C100" s="274"/>
      <c r="D100" s="275"/>
      <c r="E100" s="275"/>
      <c r="F100" s="275"/>
      <c r="G100" s="275"/>
      <c r="H100" s="275"/>
      <c r="I100" s="275"/>
      <c r="J100" s="275"/>
      <c r="K100" s="275"/>
    </row>
    <row r="101" spans="3:11" ht="19.5" customHeight="1" thickBot="1" x14ac:dyDescent="0.3">
      <c r="C101" s="254" t="s">
        <v>28</v>
      </c>
      <c r="D101" s="255"/>
      <c r="E101" s="255"/>
      <c r="F101" s="255"/>
      <c r="G101" s="255"/>
      <c r="H101" s="255"/>
      <c r="I101" s="255"/>
      <c r="J101" s="255"/>
      <c r="K101" s="256"/>
    </row>
    <row r="102" spans="3:11" ht="19.5" customHeight="1" x14ac:dyDescent="0.25">
      <c r="C102" s="278" t="s">
        <v>67</v>
      </c>
      <c r="D102" s="279"/>
      <c r="E102" s="42"/>
      <c r="F102" s="26"/>
      <c r="G102" s="27"/>
      <c r="H102" s="26"/>
      <c r="I102" s="34"/>
      <c r="J102" s="32"/>
      <c r="K102" s="32">
        <f>I102+J102</f>
        <v>0</v>
      </c>
    </row>
    <row r="103" spans="3:11" ht="19.5" customHeight="1" x14ac:dyDescent="0.25">
      <c r="C103" s="278" t="s">
        <v>68</v>
      </c>
      <c r="D103" s="279"/>
      <c r="E103" s="42"/>
      <c r="F103" s="26"/>
      <c r="G103" s="27"/>
      <c r="H103" s="26"/>
      <c r="I103" s="32"/>
      <c r="J103" s="33"/>
      <c r="K103" s="32">
        <f t="shared" ref="K103:K111" si="11">I103+J103</f>
        <v>0</v>
      </c>
    </row>
    <row r="104" spans="3:11" ht="19.5" customHeight="1" x14ac:dyDescent="0.25">
      <c r="C104" s="278" t="s">
        <v>69</v>
      </c>
      <c r="D104" s="279"/>
      <c r="E104" s="42"/>
      <c r="F104" s="26"/>
      <c r="G104" s="27"/>
      <c r="H104" s="26"/>
      <c r="I104" s="32"/>
      <c r="J104" s="33"/>
      <c r="K104" s="32">
        <f t="shared" si="11"/>
        <v>0</v>
      </c>
    </row>
    <row r="105" spans="3:11" ht="19.5" customHeight="1" x14ac:dyDescent="0.25">
      <c r="C105" s="278" t="s">
        <v>70</v>
      </c>
      <c r="D105" s="279"/>
      <c r="E105" s="42"/>
      <c r="F105" s="26"/>
      <c r="G105" s="27"/>
      <c r="H105" s="26"/>
      <c r="I105" s="32"/>
      <c r="J105" s="33"/>
      <c r="K105" s="32">
        <f t="shared" si="11"/>
        <v>0</v>
      </c>
    </row>
    <row r="106" spans="3:11" ht="19.5" customHeight="1" x14ac:dyDescent="0.25">
      <c r="C106" s="278" t="s">
        <v>71</v>
      </c>
      <c r="D106" s="279"/>
      <c r="E106" s="42"/>
      <c r="F106" s="26"/>
      <c r="G106" s="27"/>
      <c r="H106" s="26"/>
      <c r="I106" s="32"/>
      <c r="J106" s="33"/>
      <c r="K106" s="32">
        <f t="shared" si="11"/>
        <v>0</v>
      </c>
    </row>
    <row r="107" spans="3:11" ht="19.5" customHeight="1" x14ac:dyDescent="0.25">
      <c r="C107" s="278" t="s">
        <v>72</v>
      </c>
      <c r="D107" s="279"/>
      <c r="E107" s="42"/>
      <c r="F107" s="26"/>
      <c r="G107" s="27"/>
      <c r="H107" s="26"/>
      <c r="I107" s="32"/>
      <c r="J107" s="33"/>
      <c r="K107" s="32">
        <f t="shared" si="11"/>
        <v>0</v>
      </c>
    </row>
    <row r="108" spans="3:11" ht="19.5" customHeight="1" x14ac:dyDescent="0.25">
      <c r="C108" s="278" t="s">
        <v>73</v>
      </c>
      <c r="D108" s="279"/>
      <c r="E108" s="42"/>
      <c r="F108" s="26"/>
      <c r="G108" s="27"/>
      <c r="H108" s="26"/>
      <c r="I108" s="32"/>
      <c r="J108" s="33"/>
      <c r="K108" s="32">
        <f t="shared" si="11"/>
        <v>0</v>
      </c>
    </row>
    <row r="109" spans="3:11" ht="19.5" customHeight="1" x14ac:dyDescent="0.25">
      <c r="C109" s="278" t="s">
        <v>74</v>
      </c>
      <c r="D109" s="279"/>
      <c r="E109" s="42"/>
      <c r="F109" s="26"/>
      <c r="G109" s="27"/>
      <c r="H109" s="26"/>
      <c r="I109" s="32"/>
      <c r="J109" s="33"/>
      <c r="K109" s="32">
        <f t="shared" si="11"/>
        <v>0</v>
      </c>
    </row>
    <row r="110" spans="3:11" ht="19.5" customHeight="1" x14ac:dyDescent="0.25">
      <c r="C110" s="278" t="s">
        <v>75</v>
      </c>
      <c r="D110" s="279"/>
      <c r="E110" s="42"/>
      <c r="F110" s="26"/>
      <c r="G110" s="27"/>
      <c r="H110" s="26"/>
      <c r="I110" s="32"/>
      <c r="J110" s="33"/>
      <c r="K110" s="32">
        <f t="shared" si="11"/>
        <v>0</v>
      </c>
    </row>
    <row r="111" spans="3:11" ht="19.5" customHeight="1" thickBot="1" x14ac:dyDescent="0.3">
      <c r="C111" s="278" t="s">
        <v>76</v>
      </c>
      <c r="D111" s="279"/>
      <c r="E111" s="42"/>
      <c r="F111" s="26"/>
      <c r="G111" s="27"/>
      <c r="H111" s="26"/>
      <c r="I111" s="37"/>
      <c r="J111" s="33"/>
      <c r="K111" s="32">
        <f t="shared" si="11"/>
        <v>0</v>
      </c>
    </row>
    <row r="112" spans="3:11" ht="19.5" customHeight="1" thickBot="1" x14ac:dyDescent="0.3">
      <c r="C112" s="191" t="s">
        <v>36</v>
      </c>
      <c r="D112" s="268"/>
      <c r="E112" s="268"/>
      <c r="F112" s="268"/>
      <c r="G112" s="268"/>
      <c r="H112" s="269"/>
      <c r="I112" s="157">
        <f>SUM(I102:I111)</f>
        <v>0</v>
      </c>
      <c r="J112" s="157">
        <f>SUM(J102:J111)</f>
        <v>0</v>
      </c>
      <c r="K112" s="157">
        <f>SUM(K102:K111)</f>
        <v>0</v>
      </c>
    </row>
    <row r="113" spans="2:12" ht="19.5" customHeight="1" thickBot="1" x14ac:dyDescent="0.3">
      <c r="C113" s="274"/>
      <c r="D113" s="275"/>
      <c r="E113" s="275"/>
      <c r="F113" s="275"/>
      <c r="G113" s="275"/>
      <c r="H113" s="275"/>
      <c r="I113" s="275"/>
      <c r="J113" s="275"/>
      <c r="K113" s="275"/>
    </row>
    <row r="114" spans="2:12" s="21" customFormat="1" ht="19.5" customHeight="1" thickBot="1" x14ac:dyDescent="0.3">
      <c r="C114" s="287" t="s">
        <v>29</v>
      </c>
      <c r="D114" s="288"/>
      <c r="E114" s="289"/>
      <c r="F114" s="289"/>
      <c r="G114" s="289"/>
      <c r="H114" s="290"/>
      <c r="I114" s="39">
        <f>I31+I44+I60+I73+I86+I99+I112</f>
        <v>0</v>
      </c>
      <c r="J114" s="39">
        <f>J31+J44+J60+J73+J86+J99+J112</f>
        <v>1207853.6299999997</v>
      </c>
      <c r="K114" s="39">
        <f>K31+K44+K60+K73+K86+K99+K112</f>
        <v>1207853.6299999997</v>
      </c>
    </row>
    <row r="115" spans="2:12" ht="6" customHeight="1" x14ac:dyDescent="0.25">
      <c r="B115" s="22"/>
      <c r="C115" s="22"/>
      <c r="D115" s="22"/>
      <c r="E115" s="22"/>
      <c r="F115" s="22"/>
      <c r="G115" s="22"/>
      <c r="H115" s="22"/>
      <c r="I115" s="22"/>
      <c r="J115" s="22"/>
      <c r="K115" s="22"/>
      <c r="L115" s="22"/>
    </row>
    <row r="116" spans="2:12" x14ac:dyDescent="0.25">
      <c r="C116" s="16"/>
      <c r="D116" s="16"/>
      <c r="E116" s="16"/>
      <c r="F116" s="16"/>
      <c r="G116" s="19"/>
      <c r="H116" s="16"/>
      <c r="I116" s="16"/>
      <c r="J116" s="16"/>
      <c r="K116" s="16"/>
    </row>
    <row r="117" spans="2:12" s="16" customFormat="1" x14ac:dyDescent="0.25">
      <c r="G117" s="19"/>
    </row>
    <row r="118" spans="2:12" s="16" customFormat="1" ht="15.5" x14ac:dyDescent="0.25">
      <c r="C118" s="96" t="s">
        <v>133</v>
      </c>
      <c r="G118" s="19"/>
    </row>
    <row r="119" spans="2:12" s="16" customFormat="1" ht="14.5" thickBot="1" x14ac:dyDescent="0.3">
      <c r="G119" s="19"/>
    </row>
    <row r="120" spans="2:12" s="21" customFormat="1" ht="32.25" customHeight="1" thickBot="1" x14ac:dyDescent="0.3">
      <c r="C120" s="257" t="s">
        <v>107</v>
      </c>
      <c r="D120" s="257"/>
      <c r="E120" s="257" t="s">
        <v>43</v>
      </c>
      <c r="F120" s="257" t="s">
        <v>44</v>
      </c>
      <c r="G120" s="257" t="s">
        <v>39</v>
      </c>
      <c r="H120" s="224" t="s">
        <v>30</v>
      </c>
      <c r="I120" s="294"/>
      <c r="J120" s="294"/>
      <c r="K120" s="291" t="s">
        <v>41</v>
      </c>
    </row>
    <row r="121" spans="2:12" s="21" customFormat="1" ht="30.75" customHeight="1" thickBot="1" x14ac:dyDescent="0.3">
      <c r="C121" s="258"/>
      <c r="D121" s="258"/>
      <c r="E121" s="258"/>
      <c r="F121" s="258"/>
      <c r="G121" s="258"/>
      <c r="H121" s="225"/>
      <c r="I121" s="295"/>
      <c r="J121" s="295"/>
      <c r="K121" s="292"/>
    </row>
    <row r="122" spans="2:12" s="20" customFormat="1" ht="17.25" customHeight="1" thickBot="1" x14ac:dyDescent="0.3">
      <c r="C122" s="274"/>
      <c r="D122" s="275"/>
      <c r="E122" s="275"/>
      <c r="F122" s="275"/>
      <c r="G122" s="275"/>
      <c r="H122" s="275"/>
      <c r="I122" s="275"/>
      <c r="J122" s="275"/>
      <c r="K122" s="275"/>
    </row>
    <row r="123" spans="2:12" s="20" customFormat="1" ht="17.25" customHeight="1" thickBot="1" x14ac:dyDescent="0.3">
      <c r="C123" s="254" t="s">
        <v>101</v>
      </c>
      <c r="D123" s="255"/>
      <c r="E123" s="255"/>
      <c r="F123" s="255"/>
      <c r="G123" s="255"/>
      <c r="H123" s="255"/>
      <c r="I123" s="255"/>
      <c r="J123" s="255"/>
      <c r="K123" s="256"/>
    </row>
    <row r="124" spans="2:12" ht="19.5" customHeight="1" x14ac:dyDescent="0.25">
      <c r="C124" s="276" t="s">
        <v>91</v>
      </c>
      <c r="D124" s="277"/>
      <c r="E124" s="25"/>
      <c r="F124" s="9"/>
      <c r="G124" s="8"/>
      <c r="H124" s="298"/>
      <c r="I124" s="299"/>
      <c r="J124" s="300"/>
      <c r="K124" s="32">
        <f>I124+J124</f>
        <v>0</v>
      </c>
    </row>
    <row r="125" spans="2:12" ht="19.5" customHeight="1" x14ac:dyDescent="0.25">
      <c r="C125" s="272" t="s">
        <v>92</v>
      </c>
      <c r="D125" s="273"/>
      <c r="E125" s="23"/>
      <c r="F125" s="9"/>
      <c r="G125" s="8"/>
      <c r="H125" s="296"/>
      <c r="I125" s="194"/>
      <c r="J125" s="297"/>
      <c r="K125" s="32">
        <f t="shared" ref="K125:K133" si="12">I125+J125</f>
        <v>0</v>
      </c>
    </row>
    <row r="126" spans="2:12" ht="19.5" customHeight="1" x14ac:dyDescent="0.25">
      <c r="C126" s="272" t="s">
        <v>93</v>
      </c>
      <c r="D126" s="273"/>
      <c r="E126" s="23"/>
      <c r="F126" s="9"/>
      <c r="G126" s="8"/>
      <c r="H126" s="296"/>
      <c r="I126" s="194"/>
      <c r="J126" s="297"/>
      <c r="K126" s="32">
        <f t="shared" si="12"/>
        <v>0</v>
      </c>
    </row>
    <row r="127" spans="2:12" ht="19.5" customHeight="1" x14ac:dyDescent="0.25">
      <c r="C127" s="272" t="s">
        <v>94</v>
      </c>
      <c r="D127" s="273"/>
      <c r="E127" s="23"/>
      <c r="F127" s="9"/>
      <c r="G127" s="8"/>
      <c r="H127" s="296"/>
      <c r="I127" s="194"/>
      <c r="J127" s="297"/>
      <c r="K127" s="32">
        <f t="shared" si="12"/>
        <v>0</v>
      </c>
    </row>
    <row r="128" spans="2:12" ht="19.5" customHeight="1" x14ac:dyDescent="0.25">
      <c r="C128" s="272" t="s">
        <v>95</v>
      </c>
      <c r="D128" s="273"/>
      <c r="E128" s="23"/>
      <c r="F128" s="9"/>
      <c r="G128" s="8"/>
      <c r="H128" s="296"/>
      <c r="I128" s="194"/>
      <c r="J128" s="297"/>
      <c r="K128" s="32">
        <f t="shared" si="12"/>
        <v>0</v>
      </c>
    </row>
    <row r="129" spans="3:11" ht="19.5" customHeight="1" x14ac:dyDescent="0.25">
      <c r="C129" s="272" t="s">
        <v>96</v>
      </c>
      <c r="D129" s="273"/>
      <c r="E129" s="23"/>
      <c r="F129" s="9"/>
      <c r="G129" s="8"/>
      <c r="H129" s="296"/>
      <c r="I129" s="194"/>
      <c r="J129" s="297"/>
      <c r="K129" s="32">
        <f t="shared" si="12"/>
        <v>0</v>
      </c>
    </row>
    <row r="130" spans="3:11" ht="19.5" customHeight="1" x14ac:dyDescent="0.25">
      <c r="C130" s="272" t="s">
        <v>97</v>
      </c>
      <c r="D130" s="273"/>
      <c r="E130" s="23"/>
      <c r="F130" s="9"/>
      <c r="G130" s="8"/>
      <c r="H130" s="296"/>
      <c r="I130" s="194"/>
      <c r="J130" s="297"/>
      <c r="K130" s="32">
        <f t="shared" si="12"/>
        <v>0</v>
      </c>
    </row>
    <row r="131" spans="3:11" ht="19.5" customHeight="1" x14ac:dyDescent="0.25">
      <c r="C131" s="272" t="s">
        <v>98</v>
      </c>
      <c r="D131" s="273"/>
      <c r="E131" s="23"/>
      <c r="F131" s="9"/>
      <c r="G131" s="8"/>
      <c r="H131" s="296"/>
      <c r="I131" s="194"/>
      <c r="J131" s="297"/>
      <c r="K131" s="32">
        <f t="shared" si="12"/>
        <v>0</v>
      </c>
    </row>
    <row r="132" spans="3:11" ht="19.5" customHeight="1" x14ac:dyDescent="0.25">
      <c r="C132" s="272" t="s">
        <v>99</v>
      </c>
      <c r="D132" s="273"/>
      <c r="E132" s="23"/>
      <c r="F132" s="9"/>
      <c r="G132" s="8"/>
      <c r="H132" s="296"/>
      <c r="I132" s="194"/>
      <c r="J132" s="297"/>
      <c r="K132" s="32">
        <f t="shared" si="12"/>
        <v>0</v>
      </c>
    </row>
    <row r="133" spans="3:11" ht="19.5" customHeight="1" thickBot="1" x14ac:dyDescent="0.3">
      <c r="C133" s="272" t="s">
        <v>100</v>
      </c>
      <c r="D133" s="273"/>
      <c r="E133" s="24"/>
      <c r="F133" s="9"/>
      <c r="G133" s="8"/>
      <c r="H133" s="301"/>
      <c r="I133" s="302"/>
      <c r="J133" s="303"/>
      <c r="K133" s="32">
        <f t="shared" si="12"/>
        <v>0</v>
      </c>
    </row>
    <row r="134" spans="3:11" s="21" customFormat="1" ht="19.5" customHeight="1" thickBot="1" x14ac:dyDescent="0.3">
      <c r="C134" s="191" t="s">
        <v>2</v>
      </c>
      <c r="D134" s="293"/>
      <c r="E134" s="293"/>
      <c r="F134" s="293"/>
      <c r="G134" s="293"/>
      <c r="H134" s="293"/>
      <c r="I134" s="293"/>
      <c r="J134" s="192"/>
      <c r="K134" s="157">
        <f>SUM(K124:K133)</f>
        <v>0</v>
      </c>
    </row>
    <row r="135" spans="3:11" s="16" customFormat="1" x14ac:dyDescent="0.25">
      <c r="G135" s="19"/>
    </row>
    <row r="136" spans="3:11" s="16" customFormat="1" x14ac:dyDescent="0.25">
      <c r="G136" s="19"/>
    </row>
    <row r="137" spans="3:11" s="16" customFormat="1" x14ac:dyDescent="0.25">
      <c r="G137" s="19"/>
    </row>
    <row r="138" spans="3:11" s="16" customFormat="1" x14ac:dyDescent="0.25">
      <c r="G138" s="19"/>
    </row>
    <row r="139" spans="3:11" s="16" customFormat="1" x14ac:dyDescent="0.25">
      <c r="G139" s="19"/>
    </row>
    <row r="140" spans="3:11" s="16" customFormat="1" x14ac:dyDescent="0.25">
      <c r="G140" s="19"/>
    </row>
    <row r="141" spans="3:11" s="16" customFormat="1" x14ac:dyDescent="0.25">
      <c r="G141" s="19"/>
    </row>
    <row r="142" spans="3:11" s="16" customFormat="1" x14ac:dyDescent="0.25">
      <c r="G142" s="19"/>
    </row>
    <row r="143" spans="3:11" s="16" customFormat="1" x14ac:dyDescent="0.25">
      <c r="G143" s="19"/>
    </row>
    <row r="144" spans="3:11" s="16" customFormat="1" x14ac:dyDescent="0.25">
      <c r="G144" s="19"/>
    </row>
    <row r="145" spans="7:7" s="16" customFormat="1" x14ac:dyDescent="0.25">
      <c r="G145" s="19"/>
    </row>
    <row r="146" spans="7:7" s="16" customFormat="1" x14ac:dyDescent="0.25">
      <c r="G146" s="19"/>
    </row>
    <row r="147" spans="7:7" s="16" customFormat="1" x14ac:dyDescent="0.25">
      <c r="G147" s="19"/>
    </row>
    <row r="148" spans="7:7" s="16" customFormat="1" x14ac:dyDescent="0.25">
      <c r="G148" s="19"/>
    </row>
    <row r="149" spans="7:7" s="16" customFormat="1" x14ac:dyDescent="0.25">
      <c r="G149" s="19"/>
    </row>
    <row r="150" spans="7:7" s="16" customFormat="1" x14ac:dyDescent="0.25">
      <c r="G150" s="19"/>
    </row>
    <row r="151" spans="7:7" s="16" customFormat="1" x14ac:dyDescent="0.25">
      <c r="G151" s="19"/>
    </row>
    <row r="152" spans="7:7" s="16" customFormat="1" x14ac:dyDescent="0.25">
      <c r="G152" s="19"/>
    </row>
    <row r="153" spans="7:7" s="16" customFormat="1" x14ac:dyDescent="0.25">
      <c r="G153" s="19"/>
    </row>
    <row r="154" spans="7:7" s="16" customFormat="1" x14ac:dyDescent="0.25">
      <c r="G154" s="19"/>
    </row>
    <row r="155" spans="7:7" s="16" customFormat="1" x14ac:dyDescent="0.25">
      <c r="G155" s="19"/>
    </row>
    <row r="156" spans="7:7" s="16" customFormat="1" x14ac:dyDescent="0.25">
      <c r="G156" s="19"/>
    </row>
    <row r="157" spans="7:7" s="16" customFormat="1" x14ac:dyDescent="0.25">
      <c r="G157" s="19"/>
    </row>
    <row r="158" spans="7:7" s="16" customFormat="1" x14ac:dyDescent="0.25">
      <c r="G158" s="19"/>
    </row>
    <row r="159" spans="7:7" s="16" customFormat="1" x14ac:dyDescent="0.25">
      <c r="G159" s="19"/>
    </row>
    <row r="160" spans="7:7" s="16" customFormat="1" x14ac:dyDescent="0.25">
      <c r="G160" s="19"/>
    </row>
  </sheetData>
  <sheetProtection insertRows="0"/>
  <protectedRanges>
    <protectedRange password="CC9E" sqref="A31:IV33 A44:IV49 A60:IV62 A73:IV75 A120:IV123 A134:IV134 A99:IV101 A112:B119 C112:C116 C118:C119 A135:C293 A86:IV88 E115:AO65544 D112:IV293 A1:IV8 A1:A65544 E4:AO113" name="Rango1"/>
  </protectedRanges>
  <mergeCells count="148">
    <mergeCell ref="C27:D27"/>
    <mergeCell ref="C110:D110"/>
    <mergeCell ref="C87:K87"/>
    <mergeCell ref="C88:K88"/>
    <mergeCell ref="C89:D89"/>
    <mergeCell ref="C90:D90"/>
    <mergeCell ref="C91:D91"/>
    <mergeCell ref="C92:D92"/>
    <mergeCell ref="C93:D93"/>
    <mergeCell ref="C85:D85"/>
    <mergeCell ref="C73:H73"/>
    <mergeCell ref="C74:K74"/>
    <mergeCell ref="C75:K75"/>
    <mergeCell ref="C86:H86"/>
    <mergeCell ref="C108:D108"/>
    <mergeCell ref="C109:D109"/>
    <mergeCell ref="C103:D103"/>
    <mergeCell ref="C104:D104"/>
    <mergeCell ref="C106:D106"/>
    <mergeCell ref="C134:J134"/>
    <mergeCell ref="H120:J121"/>
    <mergeCell ref="H132:J132"/>
    <mergeCell ref="C129:D129"/>
    <mergeCell ref="C130:D130"/>
    <mergeCell ref="C132:D132"/>
    <mergeCell ref="C133:D133"/>
    <mergeCell ref="C122:K122"/>
    <mergeCell ref="C123:K123"/>
    <mergeCell ref="H124:J124"/>
    <mergeCell ref="H125:J125"/>
    <mergeCell ref="H126:J126"/>
    <mergeCell ref="H127:J127"/>
    <mergeCell ref="C131:D131"/>
    <mergeCell ref="H130:J130"/>
    <mergeCell ref="C128:D128"/>
    <mergeCell ref="C127:D127"/>
    <mergeCell ref="H128:J128"/>
    <mergeCell ref="H129:J129"/>
    <mergeCell ref="H133:J133"/>
    <mergeCell ref="C124:D124"/>
    <mergeCell ref="C125:D125"/>
    <mergeCell ref="C126:D126"/>
    <mergeCell ref="H131:J131"/>
    <mergeCell ref="C69:D69"/>
    <mergeCell ref="C70:D70"/>
    <mergeCell ref="G120:G121"/>
    <mergeCell ref="C111:D111"/>
    <mergeCell ref="C112:H112"/>
    <mergeCell ref="C113:K113"/>
    <mergeCell ref="C114:H114"/>
    <mergeCell ref="K120:K121"/>
    <mergeCell ref="C95:D95"/>
    <mergeCell ref="C96:D96"/>
    <mergeCell ref="C105:D105"/>
    <mergeCell ref="C99:H99"/>
    <mergeCell ref="C97:D97"/>
    <mergeCell ref="C100:K100"/>
    <mergeCell ref="C101:K101"/>
    <mergeCell ref="C102:D102"/>
    <mergeCell ref="C98:D98"/>
    <mergeCell ref="C79:D79"/>
    <mergeCell ref="C71:D71"/>
    <mergeCell ref="C72:D72"/>
    <mergeCell ref="C120:D121"/>
    <mergeCell ref="E120:E121"/>
    <mergeCell ref="F120:F121"/>
    <mergeCell ref="C107:D107"/>
    <mergeCell ref="C54:D54"/>
    <mergeCell ref="C55:D55"/>
    <mergeCell ref="C56:D56"/>
    <mergeCell ref="C94:D94"/>
    <mergeCell ref="C76:D76"/>
    <mergeCell ref="C77:D77"/>
    <mergeCell ref="C78:D78"/>
    <mergeCell ref="C80:D80"/>
    <mergeCell ref="C81:D81"/>
    <mergeCell ref="C61:K61"/>
    <mergeCell ref="C62:K62"/>
    <mergeCell ref="C57:D57"/>
    <mergeCell ref="C58:D58"/>
    <mergeCell ref="C64:D64"/>
    <mergeCell ref="C60:H60"/>
    <mergeCell ref="C59:D59"/>
    <mergeCell ref="C63:D63"/>
    <mergeCell ref="C65:D65"/>
    <mergeCell ref="C66:D66"/>
    <mergeCell ref="C67:D67"/>
    <mergeCell ref="C68:D68"/>
    <mergeCell ref="C82:D82"/>
    <mergeCell ref="C83:D83"/>
    <mergeCell ref="C84:D84"/>
    <mergeCell ref="C41:D41"/>
    <mergeCell ref="C37:D37"/>
    <mergeCell ref="C44:H44"/>
    <mergeCell ref="C31:H31"/>
    <mergeCell ref="C35:D35"/>
    <mergeCell ref="C40:D40"/>
    <mergeCell ref="C53:D53"/>
    <mergeCell ref="C48:K48"/>
    <mergeCell ref="C49:K49"/>
    <mergeCell ref="C50:D50"/>
    <mergeCell ref="C51:D51"/>
    <mergeCell ref="C52:D52"/>
    <mergeCell ref="C45:K45"/>
    <mergeCell ref="C46:D47"/>
    <mergeCell ref="E46:E47"/>
    <mergeCell ref="F46:F47"/>
    <mergeCell ref="G46:G47"/>
    <mergeCell ref="C43:D43"/>
    <mergeCell ref="C42:D42"/>
    <mergeCell ref="I46:K46"/>
    <mergeCell ref="H46:H47"/>
    <mergeCell ref="C39:D39"/>
    <mergeCell ref="C36:D36"/>
    <mergeCell ref="I5:K5"/>
    <mergeCell ref="C38:D38"/>
    <mergeCell ref="C9:D9"/>
    <mergeCell ref="C28:D28"/>
    <mergeCell ref="C33:K33"/>
    <mergeCell ref="C32:K32"/>
    <mergeCell ref="C10:D10"/>
    <mergeCell ref="C11:D11"/>
    <mergeCell ref="C12:D12"/>
    <mergeCell ref="C13:D13"/>
    <mergeCell ref="C14:D14"/>
    <mergeCell ref="C15:D15"/>
    <mergeCell ref="F1:H1"/>
    <mergeCell ref="C34:D34"/>
    <mergeCell ref="C29:D29"/>
    <mergeCell ref="C30:D30"/>
    <mergeCell ref="C8:K8"/>
    <mergeCell ref="F5:F6"/>
    <mergeCell ref="G5:G6"/>
    <mergeCell ref="H5:H6"/>
    <mergeCell ref="E5:E6"/>
    <mergeCell ref="C5:D6"/>
    <mergeCell ref="C7:K7"/>
    <mergeCell ref="C16:D16"/>
    <mergeCell ref="C17:D17"/>
    <mergeCell ref="C18:D18"/>
    <mergeCell ref="C19:D19"/>
    <mergeCell ref="C20:D20"/>
    <mergeCell ref="C21:D21"/>
    <mergeCell ref="C22:D22"/>
    <mergeCell ref="C23:D23"/>
    <mergeCell ref="C24:D24"/>
    <mergeCell ref="C25:D25"/>
    <mergeCell ref="C26:D26"/>
  </mergeCells>
  <phoneticPr fontId="2" type="noConversion"/>
  <conditionalFormatting sqref="G9:H30 G34:H43 I34:K44 G50:H59 I50:K60 G63:H72 I63:K73 I76:K86 G89:H98 I89:K99 G102:H111 I102:K112 I114:K114 I9:K31">
    <cfRule type="cellIs" dxfId="1" priority="2" stopIfTrue="1" operator="equal">
      <formula>"X"</formula>
    </cfRule>
  </conditionalFormatting>
  <conditionalFormatting sqref="G124:H133 K124:K134">
    <cfRule type="cellIs" dxfId="0" priority="1" stopIfTrue="1" operator="equal">
      <formula>"X"</formula>
    </cfRule>
  </conditionalFormatting>
  <pageMargins left="0.78" right="0.39370078740157483" top="0.38" bottom="0.62" header="0" footer="0.3"/>
  <pageSetup paperSize="9" scale="40" fitToHeight="0" orientation="portrait" r:id="rId1"/>
  <headerFooter alignWithMargins="0">
    <oddFooter xml:space="preserve">&amp;CP. &amp;P / &amp;N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14</vt:i4>
      </vt:variant>
    </vt:vector>
  </HeadingPairs>
  <TitlesOfParts>
    <vt:vector size="28" baseType="lpstr">
      <vt:lpstr>Datos solicitud</vt:lpstr>
      <vt:lpstr>Instrucciones</vt:lpstr>
      <vt:lpstr>Personal</vt:lpstr>
      <vt:lpstr>C.Externas (OPIS)</vt:lpstr>
      <vt:lpstr>C.Externas (Otros)</vt:lpstr>
      <vt:lpstr>El._inmovilizado (AMORTIZACIÓN)</vt:lpstr>
      <vt:lpstr>El._inmovilizado (INVERSIÓN)</vt:lpstr>
      <vt:lpstr>Fungibles</vt:lpstr>
      <vt:lpstr>Otros Gastos</vt:lpstr>
      <vt:lpstr>I+D</vt:lpstr>
      <vt:lpstr>iT</vt:lpstr>
      <vt:lpstr>TOTAL</vt:lpstr>
      <vt:lpstr>DESVIACIONES</vt:lpstr>
      <vt:lpstr>DOC JUSTIFICATIVOS</vt:lpstr>
      <vt:lpstr>DESVIACIONES!Área_de_impresión</vt:lpstr>
      <vt:lpstr>'I+D'!Área_de_impresión</vt:lpstr>
      <vt:lpstr>iT!Área_de_impresión</vt:lpstr>
      <vt:lpstr>TOTAL!Área_de_impresión</vt:lpstr>
      <vt:lpstr>'C.Externas (OPIS)'!Títulos_a_imprimir</vt:lpstr>
      <vt:lpstr>'C.Externas (Otros)'!Títulos_a_imprimir</vt:lpstr>
      <vt:lpstr>'Datos solicitud'!Títulos_a_imprimir</vt:lpstr>
      <vt:lpstr>DESVIACIONES!Títulos_a_imprimir</vt:lpstr>
      <vt:lpstr>'DOC JUSTIFICATIVOS'!Títulos_a_imprimir</vt:lpstr>
      <vt:lpstr>'El._inmovilizado (AMORTIZACIÓN)'!Títulos_a_imprimir</vt:lpstr>
      <vt:lpstr>'El._inmovilizado (INVERSIÓN)'!Títulos_a_imprimir</vt:lpstr>
      <vt:lpstr>Fungibles!Títulos_a_imprimir</vt:lpstr>
      <vt:lpstr>'Otros Gastos'!Títulos_a_imprimir</vt:lpstr>
      <vt:lpstr>Personal!Títulos_a_imprimir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MINECO</dc:creator>
  <cp:lastModifiedBy>Raul MORENO</cp:lastModifiedBy>
  <cp:lastPrinted>2023-03-29T15:00:05Z</cp:lastPrinted>
  <dcterms:created xsi:type="dcterms:W3CDTF">2004-10-21T15:52:29Z</dcterms:created>
  <dcterms:modified xsi:type="dcterms:W3CDTF">2025-10-28T14:45:05Z</dcterms:modified>
</cp:coreProperties>
</file>