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2\03 TEC\03 ANEXOS\"/>
    </mc:Choice>
  </mc:AlternateContent>
  <xr:revisionPtr revIDLastSave="0" documentId="13_ncr:1_{74E3C1E1-61E4-44EE-9692-D50E4391DC29}" xr6:coauthVersionLast="47" xr6:coauthVersionMax="47" xr10:uidLastSave="{00000000-0000-0000-0000-000000000000}"/>
  <bookViews>
    <workbookView xWindow="28680" yWindow="-120" windowWidth="29040" windowHeight="15720" tabRatio="835" activeTab="13" xr2:uid="{00000000-000D-0000-FFFF-FFFF00000000}"/>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Personal!$B$13:$J$60</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(OPIS)'!$1:$15</definedName>
    <definedName name="_xlnm.Print_Titles" localSheetId="4">'C.Externas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(AMORTIZACIÓN)'!$1:$12</definedName>
    <definedName name="_xlnm.Print_Titles" localSheetId="6">'El._inmovilizado (INVERSIÓN)'!$1:$12</definedName>
    <definedName name="_xlnm.Print_Titles" localSheetId="7">Fungibles!$1:$12</definedName>
    <definedName name="_xlnm.Print_Titles" localSheetId="8">'Otros Gastos'!$1:$14</definedName>
    <definedName name="_xlnm.Print_Titles" localSheetId="2">Personal!$1:$14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9" i="38" l="1"/>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K192" i="38"/>
  <c r="K193" i="38"/>
  <c r="K194" i="38"/>
  <c r="K195" i="38"/>
  <c r="K196" i="38"/>
  <c r="K197" i="38"/>
  <c r="K198" i="38"/>
  <c r="K199" i="38"/>
  <c r="K200" i="38"/>
  <c r="K201" i="38"/>
  <c r="K202" i="38"/>
  <c r="K203" i="38"/>
  <c r="K204" i="38"/>
  <c r="K205" i="38"/>
  <c r="K206" i="38"/>
  <c r="K207" i="38"/>
  <c r="K208" i="38"/>
  <c r="K209" i="38"/>
  <c r="K210" i="38"/>
  <c r="K211" i="38"/>
  <c r="K212" i="38"/>
  <c r="K213" i="38"/>
  <c r="K214" i="38"/>
  <c r="K215" i="38"/>
  <c r="K216" i="38"/>
  <c r="K217" i="38"/>
  <c r="K218" i="38"/>
  <c r="K219" i="38"/>
  <c r="K220" i="38"/>
  <c r="K221" i="38"/>
  <c r="K222" i="38"/>
  <c r="K223" i="38"/>
  <c r="K224" i="38"/>
  <c r="K225" i="38"/>
  <c r="K226" i="38"/>
  <c r="K227" i="38"/>
  <c r="K228" i="38"/>
  <c r="K229" i="38"/>
  <c r="K230" i="38"/>
  <c r="K231" i="38"/>
  <c r="K232" i="38"/>
  <c r="K233" i="38"/>
  <c r="K234" i="38"/>
  <c r="K235" i="38"/>
  <c r="K236" i="38"/>
  <c r="K237" i="38"/>
  <c r="K238" i="38"/>
  <c r="K239" i="38"/>
  <c r="K240" i="38"/>
  <c r="K241" i="38"/>
  <c r="K242" i="38"/>
  <c r="K243" i="38"/>
  <c r="K244" i="38"/>
  <c r="K245" i="38"/>
  <c r="K246" i="38"/>
  <c r="K247" i="38"/>
  <c r="K248" i="38"/>
  <c r="K249" i="38"/>
  <c r="K250" i="38"/>
  <c r="K251" i="38"/>
  <c r="K252" i="38"/>
  <c r="K253" i="38"/>
  <c r="K254" i="38"/>
  <c r="K255" i="38"/>
  <c r="K256" i="38"/>
  <c r="K257" i="38"/>
  <c r="K258" i="38"/>
  <c r="K259" i="38"/>
  <c r="K260" i="38"/>
  <c r="K261" i="38"/>
  <c r="K262" i="38"/>
  <c r="K263" i="38"/>
  <c r="K264" i="38"/>
  <c r="K265" i="38"/>
  <c r="K266" i="38"/>
  <c r="K267" i="38"/>
  <c r="K268" i="38"/>
  <c r="K269" i="38"/>
  <c r="K270" i="38"/>
  <c r="K271" i="38"/>
  <c r="K272" i="38"/>
  <c r="K273" i="38"/>
  <c r="K274" i="38"/>
  <c r="K275" i="38"/>
  <c r="K276" i="38"/>
  <c r="K277" i="38"/>
  <c r="K278" i="38"/>
  <c r="K279" i="38"/>
  <c r="K280" i="38"/>
  <c r="K281" i="38"/>
  <c r="K282" i="38"/>
  <c r="K283" i="38"/>
  <c r="K284" i="38"/>
  <c r="K285" i="38"/>
  <c r="K286" i="38"/>
  <c r="K287" i="38"/>
  <c r="K288" i="38"/>
  <c r="K289" i="38"/>
  <c r="K290" i="38"/>
  <c r="K291" i="38"/>
  <c r="K292" i="38"/>
  <c r="K293" i="38"/>
  <c r="K294" i="38"/>
  <c r="K295" i="38"/>
  <c r="K296" i="38"/>
  <c r="K297" i="38"/>
  <c r="K298" i="38"/>
  <c r="K299" i="38"/>
  <c r="K300" i="38"/>
  <c r="K301" i="38"/>
  <c r="K302" i="38"/>
  <c r="K303" i="38"/>
  <c r="K304" i="38"/>
  <c r="K305" i="38"/>
  <c r="K306" i="38"/>
  <c r="K307" i="38"/>
  <c r="K308" i="38"/>
  <c r="K309" i="38"/>
  <c r="K310" i="38"/>
  <c r="K311" i="38"/>
  <c r="K312" i="38"/>
  <c r="K313" i="38"/>
  <c r="K314" i="38"/>
  <c r="K315" i="38"/>
  <c r="K316" i="38"/>
  <c r="K317" i="38"/>
  <c r="K318" i="38"/>
  <c r="K319" i="38"/>
  <c r="K320" i="38"/>
  <c r="K321" i="38"/>
  <c r="K322" i="38"/>
  <c r="K323" i="38"/>
  <c r="K324" i="38"/>
  <c r="K325" i="38"/>
  <c r="K326" i="38"/>
  <c r="K327" i="38"/>
  <c r="K328" i="38"/>
  <c r="K329" i="38"/>
  <c r="K330" i="38"/>
  <c r="K331" i="38"/>
  <c r="K332" i="38"/>
  <c r="K333" i="38"/>
  <c r="K334" i="38"/>
  <c r="K335" i="38"/>
  <c r="K336" i="38"/>
  <c r="K337" i="38"/>
  <c r="K338" i="38"/>
  <c r="K339" i="38"/>
  <c r="K340" i="38"/>
  <c r="K341" i="38"/>
  <c r="K342" i="38"/>
  <c r="K343" i="38"/>
  <c r="K344" i="38"/>
  <c r="K345" i="38"/>
  <c r="K346" i="38"/>
  <c r="K347" i="38"/>
  <c r="K348" i="38"/>
  <c r="K349" i="38"/>
  <c r="K350" i="38"/>
  <c r="K351" i="38"/>
  <c r="K352" i="38"/>
  <c r="K353" i="38"/>
  <c r="K354" i="38"/>
  <c r="K355" i="38"/>
  <c r="K356" i="38"/>
  <c r="K357" i="38"/>
  <c r="K358" i="38"/>
  <c r="K359" i="38"/>
  <c r="K360" i="38"/>
  <c r="K361" i="38"/>
  <c r="K362" i="38"/>
  <c r="K363" i="38"/>
  <c r="K364" i="38"/>
  <c r="K365" i="38"/>
  <c r="K366" i="38"/>
  <c r="K367" i="38"/>
  <c r="K368" i="38"/>
  <c r="K369" i="38"/>
  <c r="K370" i="38"/>
  <c r="K371" i="38"/>
  <c r="K372" i="38"/>
  <c r="K373" i="38"/>
  <c r="K374" i="38"/>
  <c r="K375" i="38"/>
  <c r="K376" i="38"/>
  <c r="K377" i="38"/>
  <c r="K378" i="38"/>
  <c r="K379" i="38"/>
  <c r="K380" i="38"/>
  <c r="K381" i="38"/>
  <c r="K382" i="38"/>
  <c r="K383" i="38"/>
  <c r="K384" i="38"/>
  <c r="K385" i="38"/>
  <c r="K386" i="38"/>
  <c r="K387" i="38"/>
  <c r="K388" i="38"/>
  <c r="K389" i="38"/>
  <c r="K390" i="38"/>
  <c r="K391" i="38"/>
  <c r="K392" i="38"/>
  <c r="K393" i="38"/>
  <c r="K394" i="38"/>
  <c r="K395" i="38"/>
  <c r="K396" i="38"/>
  <c r="K397" i="38"/>
  <c r="K398" i="38"/>
  <c r="K399" i="38"/>
  <c r="K400" i="38"/>
  <c r="K401" i="38"/>
  <c r="K402" i="38"/>
  <c r="K403" i="38"/>
  <c r="K404" i="38"/>
  <c r="K405" i="38"/>
  <c r="K406" i="38"/>
  <c r="K407" i="38"/>
  <c r="K408" i="38"/>
  <c r="K409" i="38"/>
  <c r="K410" i="38"/>
  <c r="K411" i="38"/>
  <c r="K412" i="38"/>
  <c r="K413" i="38"/>
  <c r="K414" i="38"/>
  <c r="K415" i="38"/>
  <c r="K416" i="38"/>
  <c r="K417" i="38"/>
  <c r="K418" i="38"/>
  <c r="K419" i="38"/>
  <c r="K420" i="38"/>
  <c r="K421" i="38"/>
  <c r="K422" i="38"/>
  <c r="K423" i="38"/>
  <c r="K424" i="38"/>
  <c r="K425" i="38"/>
  <c r="K426" i="38"/>
  <c r="K427" i="38"/>
  <c r="K428" i="38"/>
  <c r="K429" i="38"/>
  <c r="K430" i="38"/>
  <c r="K431" i="38"/>
  <c r="K432" i="38"/>
  <c r="K433" i="38"/>
  <c r="K434" i="38"/>
  <c r="K435" i="38"/>
  <c r="K436" i="38"/>
  <c r="K437" i="38"/>
  <c r="K438" i="38"/>
  <c r="K439" i="38"/>
  <c r="K440" i="38"/>
  <c r="K441" i="38"/>
  <c r="K442" i="38"/>
  <c r="K443" i="38"/>
  <c r="K444" i="38"/>
  <c r="K445" i="38"/>
  <c r="K446" i="38"/>
  <c r="K447" i="38"/>
  <c r="K448" i="38"/>
  <c r="K449" i="38"/>
  <c r="K450" i="38"/>
  <c r="K451" i="38"/>
  <c r="K452" i="38"/>
  <c r="K453" i="38"/>
  <c r="K454" i="38"/>
  <c r="K455" i="38"/>
  <c r="K456" i="38"/>
  <c r="K457" i="38"/>
  <c r="K458" i="38"/>
  <c r="K459" i="38"/>
  <c r="K460" i="38"/>
  <c r="K461" i="38"/>
  <c r="K462" i="38"/>
  <c r="K463" i="38"/>
  <c r="K464" i="38"/>
  <c r="K465" i="38"/>
  <c r="K466" i="38"/>
  <c r="K467" i="38"/>
  <c r="K468" i="38"/>
  <c r="K469" i="38"/>
  <c r="K470" i="38"/>
  <c r="K471" i="38"/>
  <c r="K472" i="38"/>
  <c r="K473" i="38"/>
  <c r="K474" i="38"/>
  <c r="K475" i="38"/>
  <c r="K476" i="38"/>
  <c r="K477" i="38"/>
  <c r="K478" i="38"/>
  <c r="K479" i="38"/>
  <c r="K480" i="38"/>
  <c r="K481" i="38"/>
  <c r="K482" i="38"/>
  <c r="K483" i="38"/>
  <c r="K484" i="38"/>
  <c r="K485" i="38"/>
  <c r="K486" i="38"/>
  <c r="K487" i="38"/>
  <c r="K488" i="38"/>
  <c r="K489" i="38"/>
  <c r="K490" i="38"/>
  <c r="K491" i="38"/>
  <c r="K492" i="38"/>
  <c r="K493" i="38"/>
  <c r="K494" i="38"/>
  <c r="K495" i="38"/>
  <c r="K496" i="38"/>
  <c r="K497" i="38"/>
  <c r="K498" i="38"/>
  <c r="K499" i="38"/>
  <c r="K500" i="38"/>
  <c r="K501" i="38"/>
  <c r="K502" i="38"/>
  <c r="K503" i="38"/>
  <c r="K504" i="38"/>
  <c r="K505" i="38"/>
  <c r="K506" i="38"/>
  <c r="K507" i="38"/>
  <c r="K508" i="38"/>
  <c r="K509" i="38"/>
  <c r="K510" i="38"/>
  <c r="K511" i="38"/>
  <c r="K512" i="38"/>
  <c r="K513" i="38"/>
  <c r="K514" i="38"/>
  <c r="K515" i="38"/>
  <c r="K516" i="38"/>
  <c r="K517" i="38"/>
  <c r="K518" i="38"/>
  <c r="K519" i="38"/>
  <c r="K520" i="38"/>
  <c r="K521" i="38"/>
  <c r="K522" i="38"/>
  <c r="K523" i="38"/>
  <c r="K524" i="38"/>
  <c r="K525" i="38"/>
  <c r="K526" i="38"/>
  <c r="K527" i="38"/>
  <c r="K528" i="38"/>
  <c r="K529" i="38"/>
  <c r="K530" i="38"/>
  <c r="K531" i="38"/>
  <c r="K532" i="38"/>
  <c r="K533" i="38"/>
  <c r="K534" i="38"/>
  <c r="K535" i="38"/>
  <c r="K536" i="38"/>
  <c r="K537" i="38"/>
  <c r="K538" i="38"/>
  <c r="K539" i="38"/>
  <c r="K540" i="38"/>
  <c r="K541" i="38"/>
  <c r="K542" i="38"/>
  <c r="K543" i="38"/>
  <c r="K544" i="38"/>
  <c r="K545" i="38"/>
  <c r="K546" i="38"/>
  <c r="K547" i="38"/>
  <c r="K548" i="38"/>
  <c r="K549" i="38"/>
  <c r="K550" i="38"/>
  <c r="K551" i="38"/>
  <c r="K552" i="38"/>
  <c r="K553" i="38"/>
  <c r="K554" i="38"/>
  <c r="K555" i="38"/>
  <c r="K556" i="38"/>
  <c r="K557" i="38"/>
  <c r="K558" i="38"/>
  <c r="K559" i="38"/>
  <c r="K560" i="38"/>
  <c r="K561" i="38"/>
  <c r="K562" i="38"/>
  <c r="K563" i="38"/>
  <c r="K564" i="38"/>
  <c r="K565" i="38"/>
  <c r="K566" i="38"/>
  <c r="K567" i="38"/>
  <c r="K568" i="38"/>
  <c r="K569" i="38"/>
  <c r="K570" i="38"/>
  <c r="K571" i="38"/>
  <c r="K572" i="38"/>
  <c r="K573" i="38"/>
  <c r="K574" i="38"/>
  <c r="K575" i="38"/>
  <c r="K576" i="38"/>
  <c r="K577" i="38"/>
  <c r="K578" i="38"/>
  <c r="K579" i="38"/>
  <c r="K580" i="38"/>
  <c r="K581" i="38"/>
  <c r="K582" i="38"/>
  <c r="K583" i="38"/>
  <c r="K584" i="38"/>
  <c r="K585" i="38"/>
  <c r="K586" i="38"/>
  <c r="K587" i="38"/>
  <c r="K588" i="38"/>
  <c r="K589" i="38"/>
  <c r="K590" i="38"/>
  <c r="K591" i="38"/>
  <c r="K592" i="38"/>
  <c r="K593" i="38"/>
  <c r="K594" i="38"/>
  <c r="K595" i="38"/>
  <c r="K596" i="38"/>
  <c r="K597" i="38"/>
  <c r="K598" i="38"/>
  <c r="K599" i="38"/>
  <c r="K600" i="38"/>
  <c r="K601" i="38"/>
  <c r="K602" i="38"/>
  <c r="K603" i="38"/>
  <c r="K604" i="38"/>
  <c r="K605" i="38"/>
  <c r="K606" i="38"/>
  <c r="K607" i="38"/>
  <c r="K608" i="38"/>
  <c r="K609" i="38"/>
  <c r="K610" i="38"/>
  <c r="K611" i="38"/>
  <c r="K612" i="38"/>
  <c r="K613" i="38"/>
  <c r="K614" i="38"/>
  <c r="K615" i="38"/>
  <c r="K616" i="38"/>
  <c r="K617" i="38"/>
  <c r="K618" i="38"/>
  <c r="K619" i="38"/>
  <c r="K620" i="38"/>
  <c r="K621" i="38"/>
  <c r="K622" i="38"/>
  <c r="K623" i="38"/>
  <c r="K624" i="38"/>
  <c r="K625" i="38"/>
  <c r="K626" i="38"/>
  <c r="K627" i="38"/>
  <c r="K628" i="38"/>
  <c r="K629" i="38"/>
  <c r="K630" i="38"/>
  <c r="K631" i="38"/>
  <c r="K632" i="38"/>
  <c r="K633" i="38"/>
  <c r="K634" i="38"/>
  <c r="K635" i="38"/>
  <c r="K636" i="38"/>
  <c r="K42" i="38"/>
  <c r="K43" i="38"/>
  <c r="K44" i="38"/>
  <c r="K45" i="38"/>
  <c r="K46" i="38"/>
  <c r="K47" i="38"/>
  <c r="K48" i="38"/>
  <c r="K9" i="38"/>
  <c r="K10" i="38"/>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J27" i="27"/>
  <c r="O27" i="27"/>
  <c r="T27" i="27"/>
  <c r="Y27" i="27"/>
  <c r="AD27" i="27"/>
  <c r="AI27" i="27"/>
  <c r="J28" i="27"/>
  <c r="O28" i="27"/>
  <c r="T28" i="27"/>
  <c r="Y28" i="27"/>
  <c r="AD28" i="27"/>
  <c r="AI28" i="27"/>
  <c r="J29" i="27"/>
  <c r="O29" i="27"/>
  <c r="T29" i="27"/>
  <c r="Y29" i="27"/>
  <c r="AD29" i="27"/>
  <c r="AI29" i="27"/>
  <c r="J30" i="27"/>
  <c r="O30" i="27"/>
  <c r="T30" i="27"/>
  <c r="Y30" i="27"/>
  <c r="AD30" i="27"/>
  <c r="AI30" i="27"/>
  <c r="J31" i="27"/>
  <c r="O31" i="27"/>
  <c r="T31" i="27"/>
  <c r="Y31" i="27"/>
  <c r="AD31" i="27"/>
  <c r="AI31" i="27"/>
  <c r="J32" i="27"/>
  <c r="O32" i="27"/>
  <c r="T32" i="27"/>
  <c r="Y32" i="27"/>
  <c r="AD32" i="27"/>
  <c r="AI32" i="27"/>
  <c r="J33" i="27"/>
  <c r="O33" i="27"/>
  <c r="T33" i="27"/>
  <c r="Y33" i="27"/>
  <c r="AD33" i="27"/>
  <c r="AI33" i="27"/>
  <c r="J34" i="27"/>
  <c r="O34" i="27"/>
  <c r="T34" i="27"/>
  <c r="Y34" i="27"/>
  <c r="AD34" i="27"/>
  <c r="AI34" i="27"/>
  <c r="J35" i="27"/>
  <c r="O35" i="27"/>
  <c r="T35" i="27"/>
  <c r="Y35" i="27"/>
  <c r="AD35" i="27"/>
  <c r="AI35" i="27"/>
  <c r="J36" i="27"/>
  <c r="O36" i="27"/>
  <c r="T36" i="27"/>
  <c r="Y36" i="27"/>
  <c r="AD36" i="27"/>
  <c r="AI36" i="27"/>
  <c r="J37" i="27"/>
  <c r="O37" i="27"/>
  <c r="T37" i="27"/>
  <c r="Y37" i="27"/>
  <c r="AD37" i="27"/>
  <c r="AI37" i="27"/>
  <c r="J38" i="27"/>
  <c r="O38" i="27"/>
  <c r="T38" i="27"/>
  <c r="Y38" i="27"/>
  <c r="AD38" i="27"/>
  <c r="AI38" i="27"/>
  <c r="J39" i="27"/>
  <c r="O39" i="27"/>
  <c r="T39" i="27"/>
  <c r="Y39" i="27"/>
  <c r="AD39" i="27"/>
  <c r="AI39" i="27"/>
  <c r="J40" i="27"/>
  <c r="O40" i="27"/>
  <c r="T40" i="27"/>
  <c r="Y40" i="27"/>
  <c r="AD40" i="27"/>
  <c r="AI40" i="27"/>
  <c r="J41" i="27"/>
  <c r="O41" i="27"/>
  <c r="T41" i="27"/>
  <c r="Y41" i="27"/>
  <c r="AD41" i="27"/>
  <c r="AI41" i="27"/>
  <c r="J42" i="27"/>
  <c r="O42" i="27"/>
  <c r="T42" i="27"/>
  <c r="Y42" i="27"/>
  <c r="AD42" i="27"/>
  <c r="AI42" i="27"/>
  <c r="J43" i="27"/>
  <c r="O43" i="27"/>
  <c r="T43" i="27"/>
  <c r="Y43" i="27"/>
  <c r="AD43" i="27"/>
  <c r="AI43" i="27"/>
  <c r="J44" i="27"/>
  <c r="O44" i="27"/>
  <c r="T44" i="27"/>
  <c r="Y44" i="27"/>
  <c r="AD44" i="27"/>
  <c r="AI44" i="27"/>
  <c r="J45" i="27"/>
  <c r="O45" i="27"/>
  <c r="T45" i="27"/>
  <c r="Y45" i="27"/>
  <c r="AD45" i="27"/>
  <c r="AI45" i="27"/>
  <c r="B27" i="27"/>
  <c r="B28" i="27" s="1"/>
  <c r="B29" i="27" s="1"/>
  <c r="B30" i="27" s="1"/>
  <c r="B31" i="27" s="1"/>
  <c r="B32" i="27" s="1"/>
  <c r="B33" i="27" s="1"/>
  <c r="B34" i="27" s="1"/>
  <c r="B35" i="27" s="1"/>
  <c r="B36" i="27" s="1"/>
  <c r="B37" i="27" s="1"/>
  <c r="B38" i="27" s="1"/>
  <c r="B39" i="27" s="1"/>
  <c r="B40" i="27" s="1"/>
  <c r="B41" i="27" s="1"/>
  <c r="B42" i="27" s="1"/>
  <c r="B43" i="27" s="1"/>
  <c r="B44" i="27" s="1"/>
  <c r="B45" i="27" s="1"/>
  <c r="B46" i="27" s="1"/>
  <c r="B47" i="27" s="1"/>
  <c r="B48" i="27" s="1"/>
  <c r="B49" i="27" s="1"/>
  <c r="B50" i="27" s="1"/>
  <c r="B51" i="27" s="1"/>
  <c r="B52" i="27" s="1"/>
  <c r="B53" i="27" s="1"/>
  <c r="B54" i="27" s="1"/>
  <c r="B55" i="27" s="1"/>
  <c r="B56" i="27" s="1"/>
  <c r="B57" i="27" s="1"/>
  <c r="J30" i="34" l="1"/>
  <c r="J31" i="34"/>
  <c r="J32" i="34"/>
  <c r="J33" i="34"/>
  <c r="J34" i="34"/>
  <c r="J35" i="34"/>
  <c r="J36" i="34"/>
  <c r="J37" i="34"/>
  <c r="J38" i="34"/>
  <c r="J39" i="34"/>
  <c r="J40" i="34"/>
  <c r="B38" i="34"/>
  <c r="B39" i="34"/>
  <c r="B40" i="34"/>
  <c r="B32" i="34"/>
  <c r="B33" i="34" s="1"/>
  <c r="B34" i="34" s="1"/>
  <c r="B35" i="34" s="1"/>
  <c r="B36" i="34" s="1"/>
  <c r="B37" i="34" s="1"/>
  <c r="J26" i="27"/>
  <c r="O26" i="27"/>
  <c r="T26" i="27"/>
  <c r="Y26" i="27"/>
  <c r="AD26" i="27"/>
  <c r="AI26" i="27"/>
  <c r="J46" i="27"/>
  <c r="O46" i="27"/>
  <c r="T46" i="27"/>
  <c r="Y46" i="27"/>
  <c r="AD46" i="27"/>
  <c r="AI46" i="27"/>
  <c r="J47" i="27"/>
  <c r="O47" i="27"/>
  <c r="T47" i="27"/>
  <c r="Y47" i="27"/>
  <c r="AD47" i="27"/>
  <c r="AI47" i="27"/>
  <c r="J48" i="27"/>
  <c r="O48" i="27"/>
  <c r="T48" i="27"/>
  <c r="Y48" i="27"/>
  <c r="AD48" i="27"/>
  <c r="AI48" i="27"/>
  <c r="J49" i="27"/>
  <c r="O49" i="27"/>
  <c r="T49" i="27"/>
  <c r="Y49" i="27"/>
  <c r="AD49" i="27"/>
  <c r="AI49" i="27"/>
  <c r="J50" i="27"/>
  <c r="O50" i="27"/>
  <c r="T50" i="27"/>
  <c r="Y50" i="27"/>
  <c r="AD50" i="27"/>
  <c r="AI50" i="27"/>
  <c r="J51" i="27"/>
  <c r="O51" i="27"/>
  <c r="T51" i="27"/>
  <c r="Y51" i="27"/>
  <c r="AD51" i="27"/>
  <c r="AI51" i="27"/>
  <c r="G37" i="34"/>
  <c r="G38" i="34"/>
  <c r="G39" i="34"/>
  <c r="G30" i="34"/>
  <c r="G31" i="34"/>
  <c r="G36" i="34"/>
  <c r="K108" i="38"/>
  <c r="I41" i="34"/>
  <c r="K41" i="34"/>
  <c r="L41" i="34"/>
  <c r="N41" i="34"/>
  <c r="O41" i="34"/>
  <c r="Q41" i="34"/>
  <c r="R41" i="34"/>
  <c r="T41" i="34"/>
  <c r="U41" i="34"/>
  <c r="H41" i="34"/>
  <c r="G14" i="34"/>
  <c r="F41" i="34"/>
  <c r="E41" i="34"/>
  <c r="G41" i="34" l="1"/>
  <c r="H16" i="28" l="1"/>
  <c r="AI21" i="27"/>
  <c r="AI22" i="27"/>
  <c r="AI23" i="27"/>
  <c r="AI24" i="27"/>
  <c r="AI25" i="27"/>
  <c r="AI52" i="27"/>
  <c r="AI53" i="27"/>
  <c r="AI54" i="27"/>
  <c r="AI55" i="27"/>
  <c r="AI56" i="27"/>
  <c r="AD21" i="27"/>
  <c r="AD22" i="27"/>
  <c r="AD23" i="27"/>
  <c r="AD24" i="27"/>
  <c r="AD25" i="27"/>
  <c r="AD52" i="27"/>
  <c r="AD53" i="27"/>
  <c r="AD54" i="27"/>
  <c r="AD55" i="27"/>
  <c r="AD56" i="27"/>
  <c r="Y20" i="27"/>
  <c r="Y21" i="27"/>
  <c r="Y22" i="27"/>
  <c r="Y23" i="27"/>
  <c r="Y24" i="27"/>
  <c r="Y25" i="27"/>
  <c r="Y52" i="27"/>
  <c r="Y53" i="27"/>
  <c r="Y54" i="27"/>
  <c r="Y55" i="27"/>
  <c r="Y56" i="27"/>
  <c r="T22" i="27"/>
  <c r="T23" i="27"/>
  <c r="T24" i="27"/>
  <c r="T25" i="27"/>
  <c r="T52" i="27"/>
  <c r="T53" i="27"/>
  <c r="T54" i="27"/>
  <c r="T55" i="27"/>
  <c r="T56" i="27"/>
  <c r="O23" i="27"/>
  <c r="O24" i="27"/>
  <c r="O25" i="27"/>
  <c r="O52" i="27"/>
  <c r="O53" i="27"/>
  <c r="O54" i="27"/>
  <c r="O55" i="27"/>
  <c r="O56" i="27"/>
  <c r="J56" i="27"/>
  <c r="J57" i="27"/>
  <c r="J23" i="27"/>
  <c r="J24" i="27"/>
  <c r="J25" i="27"/>
  <c r="J52" i="27"/>
  <c r="J53" i="27"/>
  <c r="J54" i="27"/>
  <c r="J55" i="27"/>
  <c r="G58" i="27"/>
  <c r="J20" i="27"/>
  <c r="I58" i="27"/>
  <c r="J58" i="27" l="1"/>
  <c r="I9" i="39"/>
  <c r="F9" i="39"/>
  <c r="J9" i="39" s="1"/>
  <c r="F13" i="27"/>
  <c r="K13" i="27" l="1"/>
  <c r="F13" i="43"/>
  <c r="G15" i="34"/>
  <c r="G16" i="34"/>
  <c r="G17" i="34"/>
  <c r="G18" i="34"/>
  <c r="G19" i="34"/>
  <c r="G20" i="34"/>
  <c r="G21" i="34"/>
  <c r="G22" i="34"/>
  <c r="G23" i="34"/>
  <c r="G24" i="34"/>
  <c r="G25" i="34"/>
  <c r="G26" i="34"/>
  <c r="G27" i="34"/>
  <c r="G28" i="34"/>
  <c r="G29" i="34"/>
  <c r="G40" i="34"/>
  <c r="I13" i="30"/>
  <c r="Y15" i="27" l="1"/>
  <c r="T15" i="27"/>
  <c r="O15" i="27"/>
  <c r="J15" i="27"/>
  <c r="AI16" i="27"/>
  <c r="AI17" i="27"/>
  <c r="AI18" i="27"/>
  <c r="AI19" i="27"/>
  <c r="AI20" i="27"/>
  <c r="AI57" i="27"/>
  <c r="AI15" i="27"/>
  <c r="AD16" i="27"/>
  <c r="AD17" i="27"/>
  <c r="AD18" i="27"/>
  <c r="AD19" i="27"/>
  <c r="AD20" i="27"/>
  <c r="AD57" i="27"/>
  <c r="AD15" i="27"/>
  <c r="Y16" i="27"/>
  <c r="Y17" i="27"/>
  <c r="Y18" i="27"/>
  <c r="Y19" i="27"/>
  <c r="Y57" i="27"/>
  <c r="T16" i="27"/>
  <c r="T17" i="27"/>
  <c r="T18" i="27"/>
  <c r="T19" i="27"/>
  <c r="T20" i="27"/>
  <c r="T21" i="27"/>
  <c r="T57" i="27"/>
  <c r="O16" i="27"/>
  <c r="O17" i="27"/>
  <c r="O18" i="27"/>
  <c r="O19" i="27"/>
  <c r="O20" i="27"/>
  <c r="O21" i="27"/>
  <c r="O22" i="27"/>
  <c r="O57" i="27"/>
  <c r="I60" i="27"/>
  <c r="J16" i="27"/>
  <c r="J17" i="27"/>
  <c r="J18" i="27"/>
  <c r="J19" i="27"/>
  <c r="J21" i="27"/>
  <c r="J22" i="27"/>
  <c r="P13" i="27" l="1"/>
  <c r="U13" i="27" s="1"/>
  <c r="Z13" i="27" s="1"/>
  <c r="AE13" i="27" s="1"/>
  <c r="AF59" i="27"/>
  <c r="I10" i="41" s="1"/>
  <c r="I11" i="40" s="1"/>
  <c r="AE59" i="27"/>
  <c r="AH58" i="27"/>
  <c r="I9" i="42" s="1"/>
  <c r="AG58" i="27"/>
  <c r="AG60" i="27" s="1"/>
  <c r="AF58" i="27"/>
  <c r="AE58" i="27"/>
  <c r="AA59" i="27"/>
  <c r="H10" i="41" s="1"/>
  <c r="H11" i="40" s="1"/>
  <c r="Z59" i="27"/>
  <c r="AC58" i="27"/>
  <c r="H9" i="42" s="1"/>
  <c r="AB58" i="27"/>
  <c r="AB60" i="27" s="1"/>
  <c r="AA58" i="27"/>
  <c r="Z58" i="27"/>
  <c r="V59" i="27"/>
  <c r="G10" i="41" s="1"/>
  <c r="G11" i="40" s="1"/>
  <c r="U59" i="27"/>
  <c r="X58" i="27"/>
  <c r="G9" i="42" s="1"/>
  <c r="W58" i="27"/>
  <c r="W60" i="27" s="1"/>
  <c r="V58" i="27"/>
  <c r="U58" i="27"/>
  <c r="Q59" i="27"/>
  <c r="F10" i="41" s="1"/>
  <c r="F11" i="40" s="1"/>
  <c r="P59" i="27"/>
  <c r="S58" i="27"/>
  <c r="F9" i="42" s="1"/>
  <c r="R58" i="27"/>
  <c r="R60" i="27" s="1"/>
  <c r="Q58" i="27"/>
  <c r="F9" i="41" s="1"/>
  <c r="P58" i="27"/>
  <c r="L59" i="27"/>
  <c r="E10" i="41" s="1"/>
  <c r="E11" i="40" s="1"/>
  <c r="K59" i="27"/>
  <c r="N58" i="27"/>
  <c r="N60" i="27" s="1"/>
  <c r="M58" i="27"/>
  <c r="M60" i="27" s="1"/>
  <c r="L58" i="27"/>
  <c r="E9" i="41" s="1"/>
  <c r="K58" i="27"/>
  <c r="G59" i="27"/>
  <c r="J59" i="27" s="1"/>
  <c r="F59" i="27"/>
  <c r="F58" i="27"/>
  <c r="H58" i="27"/>
  <c r="H60" i="27" s="1"/>
  <c r="I10" i="39"/>
  <c r="F10" i="39"/>
  <c r="J10" i="39" s="1"/>
  <c r="H16" i="39"/>
  <c r="G16" i="39"/>
  <c r="I14" i="39"/>
  <c r="E16" i="39"/>
  <c r="D16" i="39"/>
  <c r="F14" i="39"/>
  <c r="J14" i="39" s="1"/>
  <c r="K674" i="38"/>
  <c r="K673" i="38"/>
  <c r="K672" i="38"/>
  <c r="K671" i="38"/>
  <c r="K670" i="38"/>
  <c r="K669" i="38"/>
  <c r="K668" i="38"/>
  <c r="K667" i="38"/>
  <c r="K666" i="38"/>
  <c r="K665"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25" i="34" s="1"/>
  <c r="B26" i="34" s="1"/>
  <c r="B27" i="34" s="1"/>
  <c r="B28" i="34" s="1"/>
  <c r="B29" i="34" s="1"/>
  <c r="B30" i="34" s="1"/>
  <c r="B31"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646" i="38"/>
  <c r="F16" i="32"/>
  <c r="K645" i="38"/>
  <c r="K54" i="38"/>
  <c r="K55" i="38"/>
  <c r="K56" i="38"/>
  <c r="K57" i="38"/>
  <c r="K58" i="38"/>
  <c r="K59" i="38"/>
  <c r="K60" i="38"/>
  <c r="K61" i="38"/>
  <c r="K62" i="38"/>
  <c r="K53" i="38"/>
  <c r="J50" i="38"/>
  <c r="J79" i="38"/>
  <c r="J92" i="38"/>
  <c r="J105" i="38"/>
  <c r="J640" i="38"/>
  <c r="J653" i="38"/>
  <c r="K37" i="38"/>
  <c r="K38" i="38"/>
  <c r="K39" i="38"/>
  <c r="K40" i="38"/>
  <c r="K41" i="38"/>
  <c r="K49" i="38"/>
  <c r="K69" i="38"/>
  <c r="K70" i="38"/>
  <c r="K71" i="38"/>
  <c r="K72" i="38"/>
  <c r="K73" i="38"/>
  <c r="K74" i="38"/>
  <c r="K75" i="38"/>
  <c r="K76" i="38"/>
  <c r="K77" i="38"/>
  <c r="K78" i="38"/>
  <c r="K82" i="38"/>
  <c r="K83" i="38"/>
  <c r="K84" i="38"/>
  <c r="K85" i="38"/>
  <c r="K86" i="38"/>
  <c r="K87" i="38"/>
  <c r="K88" i="38"/>
  <c r="K89" i="38"/>
  <c r="K90" i="38"/>
  <c r="K91" i="38"/>
  <c r="K95" i="38"/>
  <c r="K96" i="38"/>
  <c r="K97" i="38"/>
  <c r="K98" i="38"/>
  <c r="K99" i="38"/>
  <c r="K100" i="38"/>
  <c r="K101" i="38"/>
  <c r="K102" i="38"/>
  <c r="K103" i="38"/>
  <c r="K104" i="38"/>
  <c r="K637" i="38"/>
  <c r="K638" i="38"/>
  <c r="K639" i="38"/>
  <c r="K643" i="38"/>
  <c r="K644" i="38"/>
  <c r="K647" i="38"/>
  <c r="K648" i="38"/>
  <c r="K649" i="38"/>
  <c r="K650" i="38"/>
  <c r="K651" i="38"/>
  <c r="K652" i="38"/>
  <c r="I50" i="38"/>
  <c r="I63" i="38"/>
  <c r="I79" i="38"/>
  <c r="I92" i="38"/>
  <c r="I105" i="38"/>
  <c r="I640" i="38"/>
  <c r="I653" i="38"/>
  <c r="D33" i="31"/>
  <c r="E33" i="31"/>
  <c r="D12" i="42" s="1"/>
  <c r="B16" i="27"/>
  <c r="B17" i="27" s="1"/>
  <c r="B18" i="27" s="1"/>
  <c r="B19" i="27" s="1"/>
  <c r="B20" i="27" s="1"/>
  <c r="B21" i="27" s="1"/>
  <c r="B22" i="27" s="1"/>
  <c r="B23" i="27" s="1"/>
  <c r="B24" i="27" s="1"/>
  <c r="B25" i="27" s="1"/>
  <c r="B26"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26" i="34"/>
  <c r="V27" i="34"/>
  <c r="V28" i="34"/>
  <c r="V29" i="34"/>
  <c r="V37" i="34"/>
  <c r="V38" i="34"/>
  <c r="V39" i="34"/>
  <c r="V40" i="34"/>
  <c r="V14" i="34"/>
  <c r="S40" i="34"/>
  <c r="S39" i="34"/>
  <c r="S38" i="34"/>
  <c r="S37" i="34"/>
  <c r="S29" i="34"/>
  <c r="S28" i="34"/>
  <c r="S27" i="34"/>
  <c r="S26" i="34"/>
  <c r="S25" i="34"/>
  <c r="S24" i="34"/>
  <c r="S23" i="34"/>
  <c r="S22" i="34"/>
  <c r="S21" i="34"/>
  <c r="S20" i="34"/>
  <c r="S19" i="34"/>
  <c r="S18" i="34"/>
  <c r="S17" i="34"/>
  <c r="S16" i="34"/>
  <c r="S15" i="34"/>
  <c r="S14" i="34"/>
  <c r="P40" i="34"/>
  <c r="P39" i="34"/>
  <c r="P38" i="34"/>
  <c r="P37" i="34"/>
  <c r="P29" i="34"/>
  <c r="P28" i="34"/>
  <c r="P27" i="34"/>
  <c r="P26"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40" i="34"/>
  <c r="M39" i="34"/>
  <c r="M38" i="34"/>
  <c r="M37" i="34"/>
  <c r="M29" i="34"/>
  <c r="M28" i="34"/>
  <c r="M27" i="34"/>
  <c r="M26" i="34"/>
  <c r="M25" i="34"/>
  <c r="M24" i="34"/>
  <c r="M23" i="34"/>
  <c r="M22" i="34"/>
  <c r="M21" i="34"/>
  <c r="M20" i="34"/>
  <c r="M19" i="34"/>
  <c r="M18" i="34"/>
  <c r="M17" i="34"/>
  <c r="M16" i="34"/>
  <c r="M15" i="34"/>
  <c r="M14" i="34"/>
  <c r="J29" i="34"/>
  <c r="J28" i="34"/>
  <c r="J27" i="34"/>
  <c r="J26"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83" i="38"/>
  <c r="C84" i="38" s="1"/>
  <c r="C85" i="38" s="1"/>
  <c r="C86" i="38" s="1"/>
  <c r="C87" i="38" s="1"/>
  <c r="C88" i="38" s="1"/>
  <c r="C89" i="38" s="1"/>
  <c r="C90" i="38" s="1"/>
  <c r="C91" i="38" s="1"/>
  <c r="C70" i="38"/>
  <c r="C71" i="38" s="1"/>
  <c r="C72" i="38" s="1"/>
  <c r="C73" i="38" s="1"/>
  <c r="C74" i="38" s="1"/>
  <c r="C75" i="38" s="1"/>
  <c r="C76" i="38" s="1"/>
  <c r="C77" i="38" s="1"/>
  <c r="C78" i="38" s="1"/>
  <c r="C54" i="38"/>
  <c r="C55" i="38" s="1"/>
  <c r="C56" i="38" s="1"/>
  <c r="C57" i="38" s="1"/>
  <c r="C58" i="38" s="1"/>
  <c r="C59" i="38" s="1"/>
  <c r="C60" i="38" s="1"/>
  <c r="C61" i="38" s="1"/>
  <c r="C62"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60" i="27" l="1"/>
  <c r="P60" i="27"/>
  <c r="I33" i="43"/>
  <c r="K38" i="28"/>
  <c r="I39" i="28"/>
  <c r="E13" i="41" s="1"/>
  <c r="E14" i="40" s="1"/>
  <c r="N36" i="28"/>
  <c r="Q36" i="28"/>
  <c r="T38" i="28"/>
  <c r="W36" i="28"/>
  <c r="H36" i="28"/>
  <c r="F12" i="40"/>
  <c r="D16" i="40"/>
  <c r="E11" i="42"/>
  <c r="K36" i="28"/>
  <c r="U39" i="28"/>
  <c r="I13" i="41" s="1"/>
  <c r="N38" i="28"/>
  <c r="W37" i="28"/>
  <c r="F35" i="32"/>
  <c r="L35" i="32"/>
  <c r="F15" i="41"/>
  <c r="F16" i="40" s="1"/>
  <c r="U35" i="32"/>
  <c r="AH60" i="27"/>
  <c r="AD59" i="27"/>
  <c r="K653" i="38"/>
  <c r="K105" i="38"/>
  <c r="K50" i="38"/>
  <c r="K63" i="38"/>
  <c r="S41" i="34"/>
  <c r="M41" i="34"/>
  <c r="V41" i="34"/>
  <c r="P41" i="34"/>
  <c r="J41"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60" i="27"/>
  <c r="Y59" i="27"/>
  <c r="AC60" i="27"/>
  <c r="D9" i="41"/>
  <c r="D10" i="40" s="1"/>
  <c r="K675" i="38"/>
  <c r="K640" i="38"/>
  <c r="K79" i="38"/>
  <c r="E13" i="40"/>
  <c r="D13" i="40"/>
  <c r="H12" i="40"/>
  <c r="E12" i="40"/>
  <c r="I12" i="40"/>
  <c r="F16" i="39"/>
  <c r="J16" i="39" s="1"/>
  <c r="I16" i="39"/>
  <c r="AI58" i="27"/>
  <c r="AA60" i="27"/>
  <c r="O58" i="27"/>
  <c r="I9" i="41"/>
  <c r="I10" i="40" s="1"/>
  <c r="V60" i="27"/>
  <c r="E9" i="42"/>
  <c r="G60" i="27"/>
  <c r="J60" i="27" s="1"/>
  <c r="T58" i="27"/>
  <c r="G9" i="41"/>
  <c r="G10" i="40" s="1"/>
  <c r="S60" i="27"/>
  <c r="AE60" i="27"/>
  <c r="Y58" i="27"/>
  <c r="U60" i="27"/>
  <c r="D10" i="41"/>
  <c r="D11" i="40" s="1"/>
  <c r="AF60" i="27"/>
  <c r="F60" i="27"/>
  <c r="L60" i="27"/>
  <c r="O60" i="27" s="1"/>
  <c r="T59" i="27"/>
  <c r="AD58" i="27"/>
  <c r="Z60" i="27"/>
  <c r="Q60" i="27"/>
  <c r="H9" i="41"/>
  <c r="H10" i="40" s="1"/>
  <c r="AI59" i="27"/>
  <c r="O59" i="27"/>
  <c r="F10" i="40"/>
  <c r="Q38" i="28"/>
  <c r="D19" i="40"/>
  <c r="D18" i="41"/>
  <c r="L33" i="30"/>
  <c r="L33" i="31"/>
  <c r="F12" i="41"/>
  <c r="I12" i="42"/>
  <c r="U33" i="31"/>
  <c r="R33" i="30"/>
  <c r="O39" i="28"/>
  <c r="T36" i="28"/>
  <c r="S39" i="28"/>
  <c r="H13" i="42" s="1"/>
  <c r="V39" i="28"/>
  <c r="I13" i="42" s="1"/>
  <c r="W38" i="28"/>
  <c r="I14" i="41"/>
  <c r="G11" i="42"/>
  <c r="O33" i="30"/>
  <c r="J655" i="38"/>
  <c r="H18" i="41"/>
  <c r="R33" i="43"/>
  <c r="H19" i="40"/>
  <c r="R39" i="28"/>
  <c r="F33" i="43"/>
  <c r="I35" i="32"/>
  <c r="E15" i="41"/>
  <c r="E16" i="40" s="1"/>
  <c r="I655" i="38"/>
  <c r="K92" i="38"/>
  <c r="AI60" i="27" l="1"/>
  <c r="K39" i="28"/>
  <c r="W39" i="28"/>
  <c r="D13" i="41"/>
  <c r="D14" i="40" s="1"/>
  <c r="K655" i="38"/>
  <c r="F16" i="42"/>
  <c r="E15" i="40"/>
  <c r="H15" i="40"/>
  <c r="I15" i="40"/>
  <c r="I14" i="40"/>
  <c r="Y60" i="27"/>
  <c r="E16" i="42"/>
  <c r="G14" i="41"/>
  <c r="G15" i="40" s="1"/>
  <c r="H16" i="42"/>
  <c r="N39" i="28"/>
  <c r="F14" i="40"/>
  <c r="AD60" i="27"/>
  <c r="I16" i="42"/>
  <c r="I13" i="40"/>
  <c r="E10" i="40"/>
  <c r="T60"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<sst xmlns="http://schemas.openxmlformats.org/spreadsheetml/2006/main" count="2374" uniqueCount="1348">
  <si>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</si>
  <si>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</si>
  <si>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</si>
  <si>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</si>
  <si>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</si>
  <si>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</si>
  <si>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</si>
  <si>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</si>
  <si>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</si>
  <si>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</si>
  <si>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</si>
  <si>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</si>
  <si>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</si>
  <si>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</si>
  <si>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</si>
  <si>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</si>
  <si>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</si>
  <si>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</si>
  <si>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</si>
  <si>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</si>
  <si>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</si>
  <si>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</si>
  <si>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</si>
  <si>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</si>
  <si>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</si>
  <si>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</si>
  <si>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</si>
  <si>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</si>
  <si>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</si>
  <si>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</si>
  <si>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</si>
  <si>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</si>
  <si>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</si>
  <si>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</si>
  <si>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</si>
  <si>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</si>
  <si>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</si>
  <si>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</si>
  <si>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</si>
  <si>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</si>
  <si>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</si>
  <si>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</si>
  <si>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</si>
  <si>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</si>
  <si>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</si>
  <si>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</si>
  <si>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</si>
  <si>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</si>
  <si>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</si>
  <si>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</si>
  <si>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</si>
  <si>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</si>
  <si>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</si>
  <si>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</si>
  <si>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</si>
  <si>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</si>
  <si>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</si>
  <si>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</si>
  <si>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</si>
  <si>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</si>
  <si>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</si>
  <si>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</si>
  <si>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</si>
  <si>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</si>
  <si>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</si>
  <si>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</si>
  <si>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</si>
  <si>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</si>
  <si>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</si>
  <si>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</si>
  <si>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</si>
  <si>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</si>
  <si>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</si>
  <si>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</si>
  <si>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</si>
  <si>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</si>
  <si>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</si>
  <si>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</si>
  <si>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</si>
  <si>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</si>
  <si>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</si>
  <si>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</si>
  <si>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</si>
  <si>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</si>
  <si>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</si>
  <si>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</si>
  <si>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</si>
  <si>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</si>
  <si>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</si>
  <si>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</si>
  <si>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</si>
  <si>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</si>
  <si>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</si>
  <si>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</si>
  <si>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</si>
  <si>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</si>
  <si>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</si>
  <si>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</si>
  <si>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</si>
  <si>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</si>
  <si>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</si>
  <si>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</si>
  <si>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</si>
  <si>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</si>
  <si>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</si>
  <si>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</si>
  <si>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</si>
  <si>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</si>
  <si>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</si>
  <si>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</si>
  <si>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</si>
  <si>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</si>
  <si>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</si>
  <si>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</si>
  <si>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</si>
  <si>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</si>
  <si>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</si>
  <si>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</si>
  <si>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</si>
  <si>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</si>
  <si>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</si>
  <si>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</si>
  <si>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</si>
  <si>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</si>
  <si>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</si>
  <si>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</si>
  <si>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</si>
  <si>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</si>
  <si>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</si>
  <si>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</si>
  <si>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</si>
  <si>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</si>
  <si>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</si>
  <si>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</si>
  <si>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</si>
  <si>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</si>
  <si>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</si>
  <si>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</si>
  <si>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</si>
  <si>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</si>
  <si>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</si>
  <si>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</si>
  <si>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</si>
  <si>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</si>
  <si>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</si>
  <si>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</si>
  <si>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</si>
  <si>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</si>
  <si>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</si>
  <si>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</si>
  <si>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</si>
  <si>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</si>
  <si>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</si>
  <si>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</si>
  <si>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</si>
  <si>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</si>
  <si>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</si>
  <si>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ORANGE ESPAGNE S.A.U</t>
  </si>
  <si>
    <t>ACCENTURE, S.L.U.</t>
  </si>
  <si>
    <t>ATOS IT SOLUTIONS AND SERVICES IBERIA, S.L.</t>
  </si>
  <si>
    <t>BLUETAB SOLUTIONS, S.L.</t>
  </si>
  <si>
    <t>CAPGEMINI ESPAÑA, S.L.</t>
  </si>
  <si>
    <t>INDRA SOLUCIONES TECNOLOGIAS DE LA INFORMACIÓN, S.L.U.</t>
  </si>
  <si>
    <t>INETUM ESPAÑA, S.A.</t>
  </si>
  <si>
    <t>METODOS Y TECNOLOGIA DE SISTEMAS Y PROCESOS, S.L.</t>
  </si>
  <si>
    <t>MINSAIT PAYMENT SYSTEMS, S.L.</t>
  </si>
  <si>
    <t>NTT DATA SPAIN SL</t>
  </si>
  <si>
    <t>VIEWNEXT, S.A.</t>
  </si>
  <si>
    <t>B79217790</t>
  </si>
  <si>
    <t>B85908093</t>
  </si>
  <si>
    <t>B84521269</t>
  </si>
  <si>
    <t>B08377715</t>
  </si>
  <si>
    <t>B88018098</t>
  </si>
  <si>
    <t>A28855260</t>
  </si>
  <si>
    <t>B81758344</t>
  </si>
  <si>
    <t>B88403894</t>
  </si>
  <si>
    <t>B82387770</t>
  </si>
  <si>
    <t>A80157746</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</si>
  <si>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</si>
  <si>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</si>
  <si>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</si>
  <si>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</si>
  <si>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</si>
  <si>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</si>
  <si>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</si>
  <si>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</si>
  <si>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</si>
  <si>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</si>
  <si>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</si>
  <si>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</si>
  <si>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</si>
  <si>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</si>
  <si>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</si>
  <si>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</si>
  <si>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</si>
  <si>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</si>
  <si>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</si>
  <si>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</si>
  <si>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</si>
  <si>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</si>
  <si>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</si>
  <si>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</si>
  <si>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</si>
  <si>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</si>
  <si>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</si>
  <si>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</si>
  <si>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</si>
  <si>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</si>
  <si>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</si>
  <si>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</si>
  <si>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</si>
  <si>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</si>
  <si>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</si>
  <si>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</si>
  <si>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</si>
  <si>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</si>
  <si>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</si>
  <si>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</si>
  <si>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</si>
  <si>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</si>
  <si>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</si>
  <si>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</si>
  <si>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</si>
  <si>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</si>
  <si>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</si>
  <si>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</si>
  <si>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</si>
  <si>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</si>
  <si>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</si>
  <si>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</si>
  <si>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</si>
  <si>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</si>
  <si>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</si>
  <si>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</si>
  <si>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</si>
  <si>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</si>
  <si>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</si>
  <si>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</si>
  <si>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</si>
  <si>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</si>
  <si>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</si>
  <si>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</si>
  <si>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</si>
  <si>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</si>
  <si>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</si>
  <si>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</si>
  <si>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</si>
  <si>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</si>
  <si>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</si>
  <si>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</si>
  <si>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</si>
  <si>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</si>
  <si>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</si>
  <si>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</si>
  <si>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</si>
  <si>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</si>
  <si>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</si>
  <si>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</si>
  <si>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</si>
  <si>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</si>
  <si>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</si>
  <si>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</si>
  <si>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</si>
  <si>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</si>
  <si>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</si>
  <si>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</si>
  <si>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</si>
  <si>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</si>
  <si>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</si>
  <si>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</si>
  <si>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</si>
  <si>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</si>
  <si>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</si>
  <si>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</si>
  <si>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</si>
  <si>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</si>
  <si>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INFORMÁTICA SUPERIOR</t>
  </si>
  <si>
    <t>INFORMÁTICA</t>
  </si>
  <si>
    <t>IDC-RNT-CCRR</t>
  </si>
  <si>
    <t>JAVIER CALLE HERNANDEZ</t>
  </si>
  <si>
    <t>JULIAN MAILLO ARNAIZ</t>
  </si>
  <si>
    <t>MARTA OLIVERA PELAEZ CAMPOMANES</t>
  </si>
  <si>
    <t>RAUL MARCOS GARCIA</t>
  </si>
  <si>
    <t>RUBEN GONZALEZ COBOS</t>
  </si>
  <si>
    <t>SUPERIOR TELECOMUNICACIÓN</t>
  </si>
  <si>
    <t>INFORMÁTICA TÉCNICA</t>
  </si>
  <si>
    <t>BABEL SISTEMAS DE INFORMACIÓN, S.L.</t>
  </si>
  <si>
    <t>B83603191</t>
  </si>
  <si>
    <t>CIVICA SOFWARE S.L.</t>
  </si>
  <si>
    <t>B18866749</t>
  </si>
  <si>
    <t>HEWLETT-PACKARD SERVICIOS ESPAÑA, S.L.</t>
  </si>
  <si>
    <t>B82591470</t>
  </si>
  <si>
    <t>INDIZEN TECHNOLOGIES S.L.</t>
  </si>
  <si>
    <t>B83018176</t>
  </si>
  <si>
    <t>OPEN SISTEMAS DE INFORMACIÓN INTERNET, S.L.</t>
  </si>
  <si>
    <t>B83513705</t>
  </si>
  <si>
    <t>TERADATA IBERIA, S.L.</t>
  </si>
  <si>
    <t>B85131449</t>
  </si>
  <si>
    <t>MK PRJ 4082 TEIDE. Tracto sucesivo</t>
  </si>
  <si>
    <t>MK PRJ 4082 ONURIS OSP. Tracto sucesivo</t>
  </si>
  <si>
    <t>MK-PRJ-3248 SQA - ORANGE</t>
  </si>
  <si>
    <t>DISEÑO Y DESARROLLO DE ARQUITECTURA HOLISTICA AVANZADA PARA EL STACK TECNOLOGICO EN ENTORNO ORANGE</t>
  </si>
  <si>
    <t>TOTAL PERSONAL 2021</t>
  </si>
  <si>
    <t>ALVARO JOSE PORCA GRANDAL</t>
  </si>
  <si>
    <t>AMPARO LOPEZ HERNANDEZ</t>
  </si>
  <si>
    <t>ANA MARIA AQUINO GARCIA</t>
  </si>
  <si>
    <t>ANDREA MILENA LANCHEROS PINZON</t>
  </si>
  <si>
    <t>CARLOS VIDAL CHAMORRO</t>
  </si>
  <si>
    <t>CLAUDIO ALEXANDRE YUM YUM</t>
  </si>
  <si>
    <t>DAVID MENDOZA POMAR</t>
  </si>
  <si>
    <t>EDUARDO PASCUAL ALCALDE</t>
  </si>
  <si>
    <t>ELMER IVAN WONG SAMANIEGO</t>
  </si>
  <si>
    <t>FERNANDO RAMON ALVAREZ LOPEZ</t>
  </si>
  <si>
    <t>FRANCISCO JOSE PEREZ RODRIGUEZ</t>
  </si>
  <si>
    <t>GUILLERMO TORESANO SALGADO</t>
  </si>
  <si>
    <t>JAVIER OLTRA SERRANO</t>
  </si>
  <si>
    <t>JOAQUIN MARTIN MELERO</t>
  </si>
  <si>
    <t>JORGE CUESTA GARRIDO</t>
  </si>
  <si>
    <t>JULIO ISMAEL LOPEZ PEREZ</t>
  </si>
  <si>
    <t>RAUL BROSETA GUTIERREZ</t>
  </si>
  <si>
    <t>RAUL FLORES NAVARRO</t>
  </si>
  <si>
    <t>ROCIO CRISTOBAL ADRADOS</t>
  </si>
  <si>
    <t>ROGELIO DURAN GOMEZ</t>
  </si>
  <si>
    <t>SANTIAGO FLECHA ALFONSO</t>
  </si>
  <si>
    <t>VICENTE MERINO MORENO</t>
  </si>
  <si>
    <t>GRADO SUPERIOR (F.P. III) TÉCNICO SUPERIOR EN DESARROLLO DE APLICACIONES INFORMÁTICAS</t>
  </si>
  <si>
    <t>GRADO MEDIO (F.P. II):INFORMÁTICA</t>
  </si>
  <si>
    <t>TELECOMUNICACIÓN</t>
  </si>
  <si>
    <t>GRADO SUPERIOR (F.P. III) TÉCNICO SUPERIOR EN ADMINISTRACIÓN DE SISTEMAS INFORMÁTICOS  EN RED</t>
  </si>
  <si>
    <t>GRADO SUPERIOR (F.P. III):APLICACION Y DESARROLLO DE PROYECTOS</t>
  </si>
  <si>
    <t>TELECOMUNICACIÓN GRADO INGENIERIA SISTEMAS AUDIOVISUALES, GRADO INGENIERIA SISTEMAS DE TELECOMUNICACION , INGENIERO TÉCNICO DE TELECOMUNICACIONES EN IMAGEN Y SONIDO</t>
  </si>
  <si>
    <t>GRADO SUPERIOR (F.P. III):DESARROLLO DE APLICACIONES WEB</t>
  </si>
  <si>
    <t>FÍSICAS</t>
  </si>
  <si>
    <t>INGENIERÍA DEL SOFTWARE, MÉTODOS FORMALES Y SISTEMAS DE INFORMACIÓN EN LA ESPECIALIDAD DE INGENIERÍA DEL SOFTWARE (UPV)</t>
  </si>
  <si>
    <t>DIPLOMATURAS, INGENIERÍAS TÉCNICAS Y/O GRADOS::TELECOMUNICACIÓN</t>
  </si>
  <si>
    <t>TOTAL COLABORACIONES 2021</t>
  </si>
  <si>
    <t>ALTRAN INNOVACION, S.L.U.</t>
  </si>
  <si>
    <t>B80428972</t>
  </si>
  <si>
    <t>APLICACIONES Y TRATAMIENTOS DE SISTEMAS, S.A.</t>
  </si>
  <si>
    <t>A80827694</t>
  </si>
  <si>
    <t>BUSINESS &amp; DECISIÓN ESPAÑA S.A.U.</t>
  </si>
  <si>
    <t>A82945791</t>
  </si>
  <si>
    <t>ECONOCOM ALTABOX, S.L.</t>
  </si>
  <si>
    <t>B33898867</t>
  </si>
  <si>
    <t>INNOIT CONSULTING S.L</t>
  </si>
  <si>
    <t>B66958752</t>
  </si>
  <si>
    <t>NEORIS ESPAÑA, S.L.U.</t>
  </si>
  <si>
    <t>B60390192</t>
  </si>
  <si>
    <t>PIPERLAB S.L</t>
  </si>
  <si>
    <t>B87197174</t>
  </si>
  <si>
    <t>PRICEWATERHOUSECOOPERS AUDITORES, S.L.</t>
  </si>
  <si>
    <t>B79031290</t>
  </si>
  <si>
    <t>TMC EMPLOYENEURS ESPAÑA S.L</t>
  </si>
  <si>
    <t>B87521258</t>
  </si>
  <si>
    <t>WE DO TECHNOLOGIES ESPAÑA-SISTEMAS DE INFORMACION, S.L.</t>
  </si>
  <si>
    <t>B85867687</t>
  </si>
  <si>
    <t>ALBERTO MARTIN PASTOR</t>
  </si>
  <si>
    <t>ALBERTO MENA CORROCHANO</t>
  </si>
  <si>
    <t>ANA BELEN CARPINTERO GOMEZ</t>
  </si>
  <si>
    <t>ANTONIO MANUEL NERO BENEITEZ</t>
  </si>
  <si>
    <t>DANIEL RUIZ RUBIO</t>
  </si>
  <si>
    <t>DAVID ALVAREZ OQUINA</t>
  </si>
  <si>
    <t>ENRIQUE MARTINEZ SENDINO</t>
  </si>
  <si>
    <t>ENRIQUE ZAMORA MATUTE</t>
  </si>
  <si>
    <t>JOSE DIAZ JUAN LISARDO</t>
  </si>
  <si>
    <t>JOSE LUIS PASTOR VILA</t>
  </si>
  <si>
    <t>OSCAR CASTELLANOS PAZOS</t>
  </si>
  <si>
    <t>SERGIO ORTEGA RIBALLO</t>
  </si>
  <si>
    <t>GRADO SUPERIOR (F.P. III):ADMINISTRADOR DE SISTEMAS INFORMÁTICOS</t>
  </si>
  <si>
    <t>BÁSICA (F.P. I), GRADO MEDIO (F.P. II) (1) FPI - TECNICO AUXILIAR ADMINISTRATIVO;  (2) FP II - TÉCNICO ESPECIALISTA EN INFORMATICA DE GESTIÓN; (3) FP II - TÉCNICO ESPECIALISTA EN ELECTRONICA DE CONTROL Y MANTENIMIENTO INDUSTRIAL</t>
  </si>
  <si>
    <t>INGENIERO TELECOMUNICACIÓN</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</si>
  <si>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</si>
  <si>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</si>
  <si>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</si>
  <si>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</si>
  <si>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</si>
  <si>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</si>
  <si>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</si>
  <si>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</si>
  <si>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</si>
  <si>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</si>
  <si>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</si>
  <si>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</si>
  <si>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</si>
  <si>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</si>
  <si>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</si>
  <si>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</si>
  <si>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</si>
  <si>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</si>
  <si>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</si>
  <si>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</si>
  <si>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</si>
  <si>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</si>
  <si>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</si>
  <si>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</si>
  <si>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</si>
  <si>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</si>
  <si>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</si>
  <si>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</si>
  <si>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</si>
  <si>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</si>
  <si>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</si>
  <si>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</si>
  <si>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</si>
  <si>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</si>
  <si>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</si>
  <si>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</si>
  <si>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</si>
  <si>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</si>
  <si>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</si>
  <si>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</si>
  <si>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</si>
  <si>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</si>
  <si>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</si>
  <si>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</si>
  <si>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</si>
  <si>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</si>
  <si>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</si>
  <si>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</si>
  <si>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</si>
  <si>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</si>
  <si>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</si>
  <si>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</si>
  <si>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</si>
  <si>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</si>
  <si>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</si>
  <si>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</si>
  <si>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</si>
  <si>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</si>
  <si>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</si>
  <si>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</si>
  <si>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</si>
  <si>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</si>
  <si>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</si>
  <si>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</si>
  <si>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</si>
  <si>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</si>
  <si>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</si>
  <si>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</si>
  <si>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</si>
  <si>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</si>
  <si>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</si>
  <si>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</si>
  <si>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</si>
  <si>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</si>
  <si>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</si>
  <si>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</si>
  <si>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</si>
  <si>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</si>
  <si>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</si>
  <si>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</si>
  <si>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</si>
  <si>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</si>
  <si>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</si>
  <si>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</si>
  <si>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</si>
  <si>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</si>
  <si>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</si>
  <si>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</si>
  <si>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</si>
  <si>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</si>
  <si>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</si>
  <si>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</si>
  <si>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</si>
  <si>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</si>
  <si>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</si>
  <si>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</si>
  <si>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</si>
  <si>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</si>
  <si>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</si>
  <si>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</si>
  <si>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</si>
  <si>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</si>
  <si>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</si>
  <si>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</si>
  <si>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</si>
  <si>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</si>
  <si>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</si>
  <si>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</si>
  <si>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</si>
  <si>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</si>
  <si>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</si>
  <si>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</si>
  <si>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</si>
  <si>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</si>
  <si>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</si>
  <si>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</si>
  <si>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</si>
  <si>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</si>
  <si>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</si>
  <si>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</si>
  <si>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</si>
  <si>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</si>
  <si>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</si>
  <si>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</si>
  <si>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</si>
  <si>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</si>
  <si>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</si>
  <si>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</si>
  <si>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</si>
  <si>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</si>
  <si>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</si>
  <si>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</si>
  <si>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</si>
  <si>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</si>
  <si>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</si>
  <si>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</si>
  <si>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</si>
  <si>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</si>
  <si>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</si>
  <si>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</si>
  <si>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</si>
  <si>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</si>
  <si>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</si>
  <si>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</si>
  <si>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</si>
  <si>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</si>
  <si>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</si>
  <si>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</si>
  <si>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</si>
  <si>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</si>
  <si>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</si>
  <si>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</si>
  <si>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</si>
  <si>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</si>
  <si>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</si>
  <si>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</si>
  <si>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</si>
  <si>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</si>
  <si>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</si>
  <si>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</si>
  <si>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</si>
  <si>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</si>
  <si>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</si>
  <si>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</si>
  <si>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</si>
  <si>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</si>
  <si>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</si>
  <si>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</si>
  <si>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</si>
  <si>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</si>
  <si>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</si>
  <si>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</si>
  <si>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</si>
  <si>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</si>
  <si>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</si>
  <si>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</si>
  <si>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</si>
  <si>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</si>
  <si>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</si>
  <si>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</si>
  <si>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</si>
  <si>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</si>
  <si>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</si>
  <si>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</si>
  <si>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</si>
  <si>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</si>
  <si>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</si>
  <si>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</si>
  <si>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</si>
  <si>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</si>
  <si>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</si>
  <si>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</si>
  <si>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</si>
  <si>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</si>
  <si>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</si>
  <si>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</si>
  <si>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</si>
  <si>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</si>
  <si>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</si>
  <si>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</si>
  <si>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</si>
  <si>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</si>
  <si>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</si>
  <si>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</si>
  <si>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</si>
  <si>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</si>
  <si>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</si>
  <si>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</si>
  <si>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</si>
  <si>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</si>
  <si>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</si>
  <si>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</si>
  <si>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</si>
  <si>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</si>
  <si>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</si>
  <si>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</si>
  <si>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</si>
  <si>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</si>
  <si>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</si>
  <si>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</si>
  <si>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</si>
  <si>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</si>
  <si>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</si>
  <si>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</si>
  <si>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</si>
  <si>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</si>
  <si>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</si>
  <si>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</si>
  <si>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</si>
  <si>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</si>
  <si>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</si>
  <si>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</si>
  <si>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</si>
  <si>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</si>
  <si>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</si>
  <si>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</si>
  <si>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</si>
  <si>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</si>
  <si>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</si>
  <si>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</si>
  <si>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</si>
  <si>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</si>
  <si>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</si>
  <si>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</si>
  <si>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</si>
  <si>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</si>
  <si>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</si>
  <si>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</si>
  <si>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</si>
  <si>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</si>
  <si>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</si>
  <si>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</si>
  <si>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</si>
  <si>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</si>
  <si>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</si>
  <si>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</si>
  <si>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</si>
  <si>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</si>
  <si>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</si>
  <si>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</si>
  <si>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</si>
  <si>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</si>
  <si>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</si>
  <si>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</si>
  <si>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</si>
  <si>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</si>
  <si>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</si>
  <si>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</si>
  <si>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</si>
  <si>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</si>
  <si>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</si>
  <si>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</si>
  <si>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</si>
  <si>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</si>
  <si>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</si>
  <si>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</si>
  <si>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</si>
  <si>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</si>
  <si>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</si>
  <si>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</si>
  <si>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</si>
  <si>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</si>
  <si>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</si>
  <si>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</si>
  <si>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</si>
  <si>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</si>
  <si>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</si>
  <si>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</si>
  <si>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</si>
  <si>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</si>
  <si>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</si>
  <si>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</si>
  <si>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</si>
  <si>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</si>
  <si>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</si>
  <si>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</si>
  <si>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</si>
  <si>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</si>
  <si>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</si>
  <si>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</si>
  <si>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</si>
  <si>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</si>
  <si>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</si>
  <si>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</si>
  <si>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</si>
  <si>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</si>
  <si>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</si>
  <si>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</si>
  <si>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</si>
  <si>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</si>
  <si>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</si>
  <si>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</si>
  <si>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</si>
  <si>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</si>
  <si>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</si>
  <si>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</si>
  <si>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</si>
  <si>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</si>
  <si>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</si>
  <si>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</si>
  <si>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</si>
  <si>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</si>
  <si>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</si>
  <si>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</si>
  <si>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</si>
  <si>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</si>
  <si>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</si>
  <si>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</si>
  <si>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</si>
  <si>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</si>
  <si>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</si>
  <si>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</si>
  <si>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</si>
  <si>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</si>
  <si>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</si>
  <si>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</si>
  <si>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</si>
  <si>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</si>
  <si>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</si>
  <si>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</si>
  <si>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</si>
  <si>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</si>
  <si>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</si>
  <si>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</si>
  <si>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</si>
  <si>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</si>
  <si>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</si>
  <si>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</si>
  <si>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</si>
  <si>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</si>
  <si>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</si>
  <si>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</si>
  <si>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</si>
  <si>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</si>
  <si>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</si>
  <si>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</si>
  <si>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</si>
  <si>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</si>
  <si>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</si>
  <si>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</si>
  <si>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</si>
  <si>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</si>
  <si>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</si>
  <si>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</si>
  <si>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</si>
  <si>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</si>
  <si>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</si>
  <si>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</si>
  <si>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</si>
  <si>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</si>
  <si>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</si>
  <si>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</si>
  <si>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</si>
  <si>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</si>
  <si>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</si>
  <si>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</si>
  <si>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</si>
  <si>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</si>
  <si>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</si>
  <si>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</si>
  <si>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</si>
  <si>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</si>
  <si>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</si>
  <si>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</si>
  <si>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</si>
  <si>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</si>
  <si>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</si>
  <si>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</si>
  <si>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</si>
  <si>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</si>
  <si>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</si>
  <si>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</si>
  <si>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</si>
  <si>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</si>
  <si>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</si>
  <si>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</si>
  <si>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</si>
  <si>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</si>
  <si>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</si>
  <si>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</si>
  <si>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</si>
  <si>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</si>
  <si>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</si>
  <si>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</si>
  <si>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</si>
  <si>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</si>
  <si>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</si>
  <si>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</si>
  <si>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</si>
  <si>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</si>
  <si>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</si>
  <si>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</si>
  <si>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</si>
  <si>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</si>
  <si>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</si>
  <si>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</si>
  <si>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</si>
  <si>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</si>
  <si>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</si>
  <si>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</si>
  <si>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</si>
  <si>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</si>
  <si>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</si>
  <si>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</si>
  <si>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A000051389009421</t>
  </si>
  <si>
    <t>SGIT-CAR ALTAMENA OSP B3 Q322 TOL
SGIT-CAR AMON OSP B3 Q322 APC
SGIT-CAR COMP.COMUNES OSP B3 Q322 CC…</t>
  </si>
  <si>
    <t>A000051389009175</t>
  </si>
  <si>
    <t>SGIT-CAR ALTAMIRA OSP B3 Q2 22 ALT
SGIT-CAR PAE OSP B3 Q2 22 PAE
SGIT-CAR CLU OSP B3 Q2 22 CDI…</t>
  </si>
  <si>
    <t>A000051389009145</t>
  </si>
  <si>
    <t>SGIT-CAR ALTAMIRA OSP B3 Q2 22 ALT
SGIT-CAR PAE OSP B3 Q2 22 PAE
SGIT-CAR ALTAMIRA OSP B3 Q2 22 ALT
SGIT-CAR CLU OSP B3 Q2 22 CDI…</t>
  </si>
  <si>
    <t>A000051389009040</t>
  </si>
  <si>
    <t>SGIT-CAR ALTAMIRA OSP B3 Q2 22 ALT 
SGIT-CAR PAE OSP B3 Q2 22 PAE 
SGIT-CAR ALTAMIRA OSP B3 Q2 22 ALT 
SGIT-CAR CLU OSP B3 Q2 22 CDI…</t>
  </si>
  <si>
    <t>A000051389008935</t>
  </si>
  <si>
    <t>SGIT-CAR AMON OSP B3 Q122 APC 
A1.2 SGIT-CAR ALTAMENA OSP B3 Q122 TOL
SGIT-CAR ALTAMENA OSP B3 Q122 TOL…</t>
  </si>
  <si>
    <t>A000051389008869</t>
  </si>
  <si>
    <t>SGIT-CAR ALTAMIRA OSP B4 Q122 ALT
SGIT-CAR MIAMENA OSP B4 Q122 ALT
SGIT-CAR PAE OSP B4 Q122 EGEO…</t>
  </si>
  <si>
    <t>A000051389008868</t>
  </si>
  <si>
    <t>SGIT-CAR AMON OSP B3 Q122 APC
SGIT-CAR ALTAMENA OSP B3 Q122 TOL…</t>
  </si>
  <si>
    <t>A000051389008762</t>
  </si>
  <si>
    <t>SGIT-CAR ALTAMIRA OSP B4 Q122 ALT 
SGIT-CAR PAE OSP B4 Q122 PAE
SGIT-CAR PAE OSP B4 Q122 EGEO…</t>
  </si>
  <si>
    <t>22OS0958</t>
  </si>
  <si>
    <t>14/12/2022</t>
  </si>
  <si>
    <t>DATA-UC-91 OPENSISTEMAS Datamart Digital</t>
  </si>
  <si>
    <t>2022012686</t>
  </si>
  <si>
    <t>02/12/2022</t>
  </si>
  <si>
    <t>+PO 7001400327</t>
  </si>
  <si>
    <t>22OS0889</t>
  </si>
  <si>
    <t>18/11/2022</t>
  </si>
  <si>
    <t>DATA OPENSISTEMAS Squad Transv H2 22 VM</t>
  </si>
  <si>
    <t>22OS0878</t>
  </si>
  <si>
    <t>DATA OPENSISTEMAS Squad Transv H2 22 DU</t>
  </si>
  <si>
    <t>22OS0887</t>
  </si>
  <si>
    <t>DATA OPENSIST UC-79 Digital Datadriven</t>
  </si>
  <si>
    <t>22OS0881</t>
  </si>
  <si>
    <t>DATA OPENSISTEMAS Squad Transv H2 22 JL</t>
  </si>
  <si>
    <t>22OS0867</t>
  </si>
  <si>
    <t>17/11/2022</t>
  </si>
  <si>
    <t>5007705</t>
  </si>
  <si>
    <t>09/11/2022</t>
  </si>
  <si>
    <t>Squad Backbone DE-SR Q4. Servicios octubre</t>
  </si>
  <si>
    <t>2022001841</t>
  </si>
  <si>
    <t>20/10/2022</t>
  </si>
  <si>
    <t>7001356201_Squad_B2C _Orange_Q3_2022- Septiembre 22</t>
  </si>
  <si>
    <t>2022482</t>
  </si>
  <si>
    <t>30/09/2022</t>
  </si>
  <si>
    <t>00010 DATA-INDIZEN Squad Transversal 2022H2</t>
  </si>
  <si>
    <t>2022484</t>
  </si>
  <si>
    <t>00010 DATA CPGD Squad Backbone 22 20k</t>
  </si>
  <si>
    <t>22OS0793</t>
  </si>
  <si>
    <t>17/10/2022</t>
  </si>
  <si>
    <t>DATA CPGD 190522 Squad Transv H2 22 ago
DATA CPGD 190522 Squad Transv H2 22 sep</t>
  </si>
  <si>
    <t>22OS0792</t>
  </si>
  <si>
    <t>22OS0794</t>
  </si>
  <si>
    <t>5007676</t>
  </si>
  <si>
    <t>11/10/2022</t>
  </si>
  <si>
    <t>Squad Backbone DE-SR Q3 2022. Servicios septiembre</t>
  </si>
  <si>
    <t>2022433</t>
  </si>
  <si>
    <t>31/08/2022</t>
  </si>
  <si>
    <t>DATA-INDIZEN Squad Transversal 2022H2</t>
  </si>
  <si>
    <t>22OS0713</t>
  </si>
  <si>
    <t>16/09/2022</t>
  </si>
  <si>
    <t>DATA CPGD 190522 Squad Transv H2 22 jul
DATA CPGD 190522 Squad Transv H2 22 ago</t>
  </si>
  <si>
    <t>2022430</t>
  </si>
  <si>
    <t>22OS0712</t>
  </si>
  <si>
    <t>22OS0703</t>
  </si>
  <si>
    <t>12/09/2022</t>
  </si>
  <si>
    <t>DATA OPENSIST UC-79 Digital Datadriven
DATA OPENSIST UC-79 Digital Datadriven
DATA OPENSIST UC-79 Digital Datadriven</t>
  </si>
  <si>
    <t>22OS0699</t>
  </si>
  <si>
    <t>DATA OPENSIST UC-79 Digital Datadriven
DATA OPENSIST UC-79 Digital Datadriven</t>
  </si>
  <si>
    <t>2022390</t>
  </si>
  <si>
    <t>31/07/2022</t>
  </si>
  <si>
    <t>2022388</t>
  </si>
  <si>
    <t>5007615</t>
  </si>
  <si>
    <t>15/08/2022</t>
  </si>
  <si>
    <t>Squad Backbone DE-SR Q3 22. Servicios julio</t>
  </si>
  <si>
    <t>5007621</t>
  </si>
  <si>
    <t>22/08/2022</t>
  </si>
  <si>
    <t>Datamart Digital Extension Q4-21. Servicios julio</t>
  </si>
  <si>
    <t>22OS0622</t>
  </si>
  <si>
    <t>09/08/2022</t>
  </si>
  <si>
    <t>B22/FA462</t>
  </si>
  <si>
    <t>Desarrollo micro. Julio 2022 - pedido 7001341922 acta aceptación</t>
  </si>
  <si>
    <t>2022001392</t>
  </si>
  <si>
    <t>12/08/2022</t>
  </si>
  <si>
    <t>7001356201_Squad_B2C _Orange_Q3_2022- Julio 22</t>
  </si>
  <si>
    <t>22OS0625</t>
  </si>
  <si>
    <t>DATA-OPEN SISTEMAS Squad Transversal 22</t>
  </si>
  <si>
    <t>22OS0620</t>
  </si>
  <si>
    <t>DATA CPGD 190522 Squad Transv H2 22 jul</t>
  </si>
  <si>
    <t>22OS0619</t>
  </si>
  <si>
    <t>22OS0627</t>
  </si>
  <si>
    <t>22OS0624</t>
  </si>
  <si>
    <t>5007578</t>
  </si>
  <si>
    <t>15/07/2022</t>
  </si>
  <si>
    <t>Squad Backbone DE-SR Q3-22. Servicios junio</t>
  </si>
  <si>
    <t>5007575</t>
  </si>
  <si>
    <t>14/07/2022</t>
  </si>
  <si>
    <t>NPTB JAZZTEL DE-LD Q1 2022. Servicios junio</t>
  </si>
  <si>
    <t>A/9119</t>
  </si>
  <si>
    <t>21/11/2022</t>
  </si>
  <si>
    <t>Nº PEDIDO: 7001387886
Servicios área DATA - Data engineers - Noviembre 2022</t>
  </si>
  <si>
    <t>Nº PEDIDO: 7001360697
Servicios área DATA - Data engineers - Noviembre 2022</t>
  </si>
  <si>
    <t>N° PEDIDO: 7001385266
Servicios área DATA - Data engineers - Noviembre 2022</t>
  </si>
  <si>
    <t>Nº PEDIDO: 7001385708
Servicios área DATA - Data engineers - Noviembre 2022</t>
  </si>
  <si>
    <t>Nº PEDIDO: 7001387886
Servicios área DATA-Data engineers - Noviembre 2022</t>
  </si>
  <si>
    <t>Nº PEDIDO: 7001386169
Servicios área DATA - Data engineers - Noviembre 2022</t>
  </si>
  <si>
    <t>Nº PEDIDO: 7001386170
Servicios área DATA - Data engineers - Noviembre 2022</t>
  </si>
  <si>
    <t>Nº PEDIDO: 7001364268
Servicios área DATA - Data engineers - Noviembre 2022</t>
  </si>
  <si>
    <t>Nº PEDIDO: 7001370844
Servicios área DATA - Data engineers - Noviembre 2022</t>
  </si>
  <si>
    <t>Nº PEDIDO: 7001380899
Servicios área DATA - Data engineers - Noviembre 2022</t>
  </si>
  <si>
    <t>Nº PEDIDO: 7001384438
Servicios área DATA - Data engineers - Noviembre 2022</t>
  </si>
  <si>
    <t>Nº PEDIDO: 7001387885
Servicios área DATA - Data engineers - Noviembre 2022</t>
  </si>
  <si>
    <t>Nº PEDIDO: 7001363823
Servicios área DATA - Data engineers - Noviembre 2022</t>
  </si>
  <si>
    <t>Nº PEDIDO: 7001388553
Servicios área DATA - Data engineers - Noviembre 2022</t>
  </si>
  <si>
    <t>5520220639</t>
  </si>
  <si>
    <t>03/11/2022</t>
  </si>
  <si>
    <t>00010 DATA TMC UC-79 Digital Datadriven
DATA TMC UC-79 Digital Datadriven</t>
  </si>
  <si>
    <t>22OS0446</t>
  </si>
  <si>
    <t>13/06/2022</t>
  </si>
  <si>
    <t>DATA Squad Transv OpenSis 21K abr
DATA Squad Transv OpenSis 21K may</t>
  </si>
  <si>
    <t>22OS0353</t>
  </si>
  <si>
    <t>17/05/2022</t>
  </si>
  <si>
    <t>DATA Squad Transv OpenSis 21K mar
DATA Squad Transv OpenSis 21K abr</t>
  </si>
  <si>
    <t>2022157</t>
  </si>
  <si>
    <t>31/03/2022</t>
  </si>
  <si>
    <t>00010 DATA-INDIZEN Squad Transversal 2022H1</t>
  </si>
  <si>
    <t>A/8008</t>
  </si>
  <si>
    <t>Nº PEDIDO: 7001358083
Servicios área DATA - Data engineers - Octubre 2022</t>
  </si>
  <si>
    <t>Nº PEDIDO: 7001358084
Servicios área DATA - Data engineers - Octubre 2022</t>
  </si>
  <si>
    <t>Nº PEDIDO: 7001386169
Servicios área DATA - Data engineers - Octubre 2022</t>
  </si>
  <si>
    <t>Nº PEDIDO: 7001386170
Servicios área DATA - Data engineers - Octubre 2022</t>
  </si>
  <si>
    <t>Nº PEDIDO: 7001364268 
Servicios área DATA - Data engineers - Octubre 2022</t>
  </si>
  <si>
    <t>Nº PEDIDO: 7001370844
Servicios área DATA - Data engineers - Octubre 2022</t>
  </si>
  <si>
    <t>Nº PEDIDO: 7001372686
Servicios área DATA - Data engineers - Octubre 2022</t>
  </si>
  <si>
    <t>Nº PEDIDO: 7001380899
Servicios área DATA - Data engineers - Octubre 2022</t>
  </si>
  <si>
    <t>Nº PEDIDO: 7001385266
Servicios área DATA - Data engineers - Octubre 2022</t>
  </si>
  <si>
    <t>N° PEDIDO: 7001360697
Servicios área DATA - Dáta engineers - Octubre 2022</t>
  </si>
  <si>
    <t>Nº PEDIDO: 7001363823
Servicios área DATA-Data engineers - Octubre 2022</t>
  </si>
  <si>
    <t>22OS0529</t>
  </si>
  <si>
    <t>13/07/2022</t>
  </si>
  <si>
    <t>DATA: UC-79 Digital Datadriven 10k OpenS
DATA: UC-79 Digital Datadriven 10k OpenS</t>
  </si>
  <si>
    <t>22OS0531</t>
  </si>
  <si>
    <t>DATA:UC-79 Digital Datadriven OpenS 20K
DATA:UC-79 Digital Datadriven OpenS 20K</t>
  </si>
  <si>
    <t>5520220580</t>
  </si>
  <si>
    <t>14/10/2022</t>
  </si>
  <si>
    <t>00010 DATA TMC UC-79 Digital Datadriven</t>
  </si>
  <si>
    <t>2022324</t>
  </si>
  <si>
    <t>30/06/2022</t>
  </si>
  <si>
    <t>00010 CdU Retention H1 2022</t>
  </si>
  <si>
    <t>22OS0535</t>
  </si>
  <si>
    <t>DATA-OPENSIS Squad Transversal ENE-JUn22
DATA-OPENSIS Squad Transversal ENE-JUn22</t>
  </si>
  <si>
    <t>2022325</t>
  </si>
  <si>
    <t>22OS0439</t>
  </si>
  <si>
    <t>10/06/2022</t>
  </si>
  <si>
    <t>DATAEV CASOS DE USO BD H1:B2B OpenS 31K
DATAEV CASOS DE USO BD H1:B2B OpenS 31K</t>
  </si>
  <si>
    <t>22OS0447</t>
  </si>
  <si>
    <t>B22/FA347</t>
  </si>
  <si>
    <t>31/05/2022</t>
  </si>
  <si>
    <t>DATA-UC-91 Datamart Digital datarys, acta de aceptación</t>
  </si>
  <si>
    <t>2022265</t>
  </si>
  <si>
    <t>22OS0441</t>
  </si>
  <si>
    <t>A/3691</t>
  </si>
  <si>
    <t>Nº PEDIDO: 7001338282
Servicios área DATA - Data engineers - Mayo 2022</t>
  </si>
  <si>
    <t>N° PEDIDO: 7001302825
Servicios área DATA - Data engineers - Mayo 2022</t>
  </si>
  <si>
    <t>N° PEDIDO: 7001341926
Servicios área DATA - Data engineers - Mayo 2022</t>
  </si>
  <si>
    <t>N° PEDIDO: 7001303558
Servicios área DATA - Data engineers - Mayo 2022</t>
  </si>
  <si>
    <t>Nº PEDIDO: 7001343064
Servicios área DATA - Data engineers - Mayo 2022</t>
  </si>
  <si>
    <t>Nº PEDIDO: 7001306779
Servicios área DATA - Data engineers - Mayo 2022</t>
  </si>
  <si>
    <t>N° PEDIDO: 7001334637
Servicios área DATA - Data engineers - Mayo 2022</t>
  </si>
  <si>
    <t>N° PEDIDO: 7001306795
Servicios área DATA - Data engineers - Mayo 2022</t>
  </si>
  <si>
    <t>5520220362</t>
  </si>
  <si>
    <t>12/07/2022</t>
  </si>
  <si>
    <t>DATA CPG-H122 Squad Com Transv TMC
DATA CPG-H122 Squad Com Transv TMC</t>
  </si>
  <si>
    <t>F22/342</t>
  </si>
  <si>
    <t>Hito Junio 2022 
DATA - Elixir Develop - Innoit</t>
  </si>
  <si>
    <t>5520220360</t>
  </si>
  <si>
    <t>DATA EV CASOS DE USO BD
DATA EV CASOS DE USO BD</t>
  </si>
  <si>
    <t>5520220579</t>
  </si>
  <si>
    <t>00020 DATA TMC UC-79 Digital Datadriven
00010 DATA TMC UC-79 Digital Datadriven</t>
  </si>
  <si>
    <t>A/7144</t>
  </si>
  <si>
    <t>N° PEDIDO: 7001358084
Servicios área DATA - Data engineers - Septiembre 2022</t>
  </si>
  <si>
    <t>N° PEDIDO: 7001358083
Servicios área DATA - Data engineers - Septiembre 2022</t>
  </si>
  <si>
    <t>N° PEDIDO: 7001347829
Servicios área DATA - Data engineers - Septiembre 2022</t>
  </si>
  <si>
    <t>Nº PEDIDO: 7001360697
Servicios área DATA-Data engineers - Septiembre 2022</t>
  </si>
  <si>
    <t>Nº PEDIDO: 7001363823
Servicios área DATA - Data engineers - Septiembre 2022</t>
  </si>
  <si>
    <t>Nº PEDIDO: 7001364268 
Servicios área DATA-Data engineers - Septiembre 2022</t>
  </si>
  <si>
    <t>Nº PEDIDO: 7001370844
Servicios área DATA-Data engineers - Septiembre 2022</t>
  </si>
  <si>
    <t>Nº PEDIDO: 7001372687
Servicios área DATA-Data engineers - Septiembre 2022</t>
  </si>
  <si>
    <t>Nº PEDIDO: 7001338282
Servicios área DATA - Data engineers - Septiembre 2022</t>
  </si>
  <si>
    <t>Nº PEDIDO: 7001372686
Servicios área DATA-Data engineers - Septiembre 2022</t>
  </si>
  <si>
    <t>22OS0357</t>
  </si>
  <si>
    <t>5007370</t>
  </si>
  <si>
    <t>17/02/2022</t>
  </si>
  <si>
    <t>NPTB JAZZTEL DE-LD Q1 2022. Servicios enero</t>
  </si>
  <si>
    <t>222456</t>
  </si>
  <si>
    <t>15/11/2022</t>
  </si>
  <si>
    <t>DATA-NEORIS ENABLERS BIG DATA H2
DATA-NEORIS ENABLERS BIG DATA H2</t>
  </si>
  <si>
    <t>22OS0348</t>
  </si>
  <si>
    <t>13/05/2022</t>
  </si>
  <si>
    <t>DATA:UC-79 Digital Datadriven OpenS 20K</t>
  </si>
  <si>
    <t>22OS0257</t>
  </si>
  <si>
    <t>19/04/2022</t>
  </si>
  <si>
    <t>DATAEV CASOS DE USO BD H1:B2B OpenS 31K</t>
  </si>
  <si>
    <t>5007478</t>
  </si>
  <si>
    <t>22/04/2022</t>
  </si>
  <si>
    <t>NPTB JAZZTEL DE-LD Q1 2022. Servicios marzo</t>
  </si>
  <si>
    <t>22OS0170</t>
  </si>
  <si>
    <t>09/03/2022</t>
  </si>
  <si>
    <t>Data Eng.Off ene22
Data Eng.Off feb22</t>
  </si>
  <si>
    <t>I03012</t>
  </si>
  <si>
    <t>28/03/2022</t>
  </si>
  <si>
    <t>Prestation Services Hector MERINO</t>
  </si>
  <si>
    <t>5520220495</t>
  </si>
  <si>
    <t>05/09/2022</t>
  </si>
  <si>
    <t>A/5511</t>
  </si>
  <si>
    <t>20/07/2022</t>
  </si>
  <si>
    <t>Nº PEDIDO: 7001306795 - Nº ACTA: 5003793711
Servicios área DATA - Data engineers - Julio 2022</t>
  </si>
  <si>
    <t>Nº PEDIDO: 7001334637 - Nº ACTA: 5003793749
Servicios área DATA - Data engineers - Julio 2022</t>
  </si>
  <si>
    <t>Nº PEDIDO: 7001302825 - Nº ACTA: 5003793694
Servicios área DATA - Data engineers - Julio 2022</t>
  </si>
  <si>
    <t>Nº PEDIDO: 7001347829 - Nº ACTA: 5003778399
Servicios área DATA - Data engineers - Julio 2022</t>
  </si>
  <si>
    <t>N° PEDIDO: 7001334638 - Nº ACTA: 5003793750
Servicios área DATA-Data engineers - Julio 2022</t>
  </si>
  <si>
    <t>Nº PEDIDO: 7001338282 - Nº ACTA: 5003793769
Servicios área DATA - Data engineers - Julio 2022</t>
  </si>
  <si>
    <t>NO PEDIDO: 7001343797 - Nº ACTA: 5003793795
Servicios área DATA-Data engineers - Julio 2022</t>
  </si>
  <si>
    <t>Nº PEDIDO: 7001358083 - Nº ACTA: 5003793818
Servicios área DATA - Data engineers - Julio 2022</t>
  </si>
  <si>
    <t>Nº PEDIDO: 7001363823 - Nº ACTA: 5003793835
Servicios área DATA - Data engineers - Julio 2022</t>
  </si>
  <si>
    <t>Nº PEDIDO: 7001341926 - Nº ACTA: 5003793853
Servicios área DATA - Data engineers - Julio 2022</t>
  </si>
  <si>
    <t>Nº PEDIDO: 7001343064 - Nº ACTA: 5003793784
Servicios área DATA - Data engineers - Julio 2022</t>
  </si>
  <si>
    <t>5520220498</t>
  </si>
  <si>
    <t>09/09/2022</t>
  </si>
  <si>
    <t>00010 DATA CPG DeleH122 Squad ComTransv 1</t>
  </si>
  <si>
    <t>ESVF-1233-2022</t>
  </si>
  <si>
    <t>23/05/2022</t>
  </si>
  <si>
    <t>ARZ - Nº PEDIDO: 7001237876 - Nº ACTA: 5003743405</t>
  </si>
  <si>
    <t>ARZ - Nº PEDIDO: 7001293069 - Nº ACTA: 5003743453</t>
  </si>
  <si>
    <t>MAD42055908</t>
  </si>
  <si>
    <t>21/03/2022</t>
  </si>
  <si>
    <t>Honorarios profesionales en relación con los servicios prestados.
Línea 00010 DATA-PWC Servicios profesional COLL
Línea 00020 DATA-PWC Servicios prof. COLLIBRA Q</t>
  </si>
  <si>
    <t>5520220356</t>
  </si>
  <si>
    <t>01/07/2022</t>
  </si>
  <si>
    <t>00010 DATA: UC-79 Digital Datadriven may
00020 DATA: UC-79 Digital Datadriven may</t>
  </si>
  <si>
    <t>A/7797</t>
  </si>
  <si>
    <t>10/10/2022</t>
  </si>
  <si>
    <t>NO PEDIDO: 7001347829 N° ACTA: 5003797534
Servicios área DATA-Data engineers - Agosto 2022</t>
  </si>
  <si>
    <t>Nº PEDIDO: 7001358083 - Nº ACTA: 5003800223
Servicios área DATA - Data engineers - Agosto 2022</t>
  </si>
  <si>
    <t>N° PEDIDO: 7001358084 - Nº ACTA: 5003800224
Servicios área DATA - Data engineers - Agosto 2022</t>
  </si>
  <si>
    <t>Nº PEDIDO: 7001343064 - Nº ACTA: 5003805049
Servicios área DATA - Data engineers - Agosto 2022</t>
  </si>
  <si>
    <t>Nº PEDIDO: 7001338282 - Nº ACTA: 5003808766
Servicios área DATA - Data engineers - Agosto 2022</t>
  </si>
  <si>
    <t>N° PEDIDO: 7001302825 - Nº ACTA: 5003813614
Servicios área DATA - Data engineers - Agosto 2022</t>
  </si>
  <si>
    <t>NO PEDIDO: 7001343797 - Nº ACTA: 5003813649
Servicios área DATA - Data engineers - Agosto 2022</t>
  </si>
  <si>
    <t>NO PEDIDO: 7001363823 - Nº ACTA: 5003816338
Servicios área DATA - Data engineers - Agosto 2022</t>
  </si>
  <si>
    <t>Nº PEDIDO: 7001364268 - Nº ACTA: 5003816339
Servicios área DATA - Data engineers - Agosto 2022</t>
  </si>
  <si>
    <t>Nº PEDIDO: 7001370844 - Nº ACTA: 5003816347
Servicios área DATA - Data engineers - Agosto 2022</t>
  </si>
  <si>
    <t>5520220288</t>
  </si>
  <si>
    <t>03/06/2022</t>
  </si>
  <si>
    <t>22OS0183</t>
  </si>
  <si>
    <t>14/03/2022</t>
  </si>
  <si>
    <t>22OS0098</t>
  </si>
  <si>
    <t>11/02/2022</t>
  </si>
  <si>
    <t>DATA-OPENSIS Squad Transversal ENE-JUn22</t>
  </si>
  <si>
    <t>A000051389009285</t>
  </si>
  <si>
    <t>DATA EV CASOS DE USO BIGDATA H1B2B 11,4K</t>
  </si>
  <si>
    <t>A000051389009645</t>
  </si>
  <si>
    <t>04/11/2022</t>
  </si>
  <si>
    <t>DATA-NTT Squad B2B Q4-22</t>
  </si>
  <si>
    <t>22OS0084</t>
  </si>
  <si>
    <t>08/02/2022</t>
  </si>
  <si>
    <t>Data Eng.Off ene22</t>
  </si>
  <si>
    <t>5520220183</t>
  </si>
  <si>
    <t>12/04/2022</t>
  </si>
  <si>
    <t>00010 DATA-PRJ-4955 EnrichTransaction log
00020 DATA-PRJ-4955 EnrichTransaction log</t>
  </si>
  <si>
    <t>A/2825</t>
  </si>
  <si>
    <t>21/04/2022</t>
  </si>
  <si>
    <t>NO PEDIDO: 7001303558 - Nº ACTA: 5003691377
Servicios área DATA - Data engineers - Abril 2022</t>
  </si>
  <si>
    <t>Nº PEDIDO: 7001306779 - Nº ACTA: 5003713824
Servicios área DATA - Data engineers - Abril 2022</t>
  </si>
  <si>
    <t>N° PEDIDO: 7001306795 - Nº ACTA: 5003713831
Servicios área DATA - Data engineers - Abril 2022</t>
  </si>
  <si>
    <t>N° PEDIDO: 7001328322 - Nº ACTA: 5003713859
Servicios área DATA - Data engineers - Abril 2022</t>
  </si>
  <si>
    <t>Nº PEDIDO: 7001338282 - Nº ACTA: 5003713879
Servicios área DATA - Data engineers - Abril 2022</t>
  </si>
  <si>
    <t>Nº PEDIDO: 7001305104 - Nº ACTA: 5003717278
Servicios área DATA - Data engineers - Abril 2022</t>
  </si>
  <si>
    <t>I05012</t>
  </si>
  <si>
    <t>27/05/2022</t>
  </si>
  <si>
    <t>5520220184</t>
  </si>
  <si>
    <t>I01008</t>
  </si>
  <si>
    <t>28/01/2022</t>
  </si>
  <si>
    <t>20220103</t>
  </si>
  <si>
    <t>20/05/2022</t>
  </si>
  <si>
    <t>DATA#EV CASOS DE USO BD H1:B2B Pipe</t>
  </si>
  <si>
    <t>5520220064</t>
  </si>
  <si>
    <t>14/02/2022</t>
  </si>
  <si>
    <t>DATA-TMC CdU Retention Q1 2022
DATA-TMC CdU Retention Q1 2022</t>
  </si>
  <si>
    <t>5520220228</t>
  </si>
  <si>
    <t>10/05/2022</t>
  </si>
  <si>
    <t>00010 DATA#EV CASOS DE USO BD H1:B2B TMC</t>
  </si>
  <si>
    <t>5520220060</t>
  </si>
  <si>
    <t>10/02/2022</t>
  </si>
  <si>
    <t>DATA-TMC Squad Transversal 2022Q1</t>
  </si>
  <si>
    <t>A/1798</t>
  </si>
  <si>
    <t>Nº PEDIDO: 7001303558
N° ACTA: 5003664862
Servicios área DATA - Data engineers - Marzo 2022</t>
  </si>
  <si>
    <t>Nº PEDIDO: 7001306795
N° ACTA: 5003664871
Servicios área DATA - Data engineers - Marzo 2022</t>
  </si>
  <si>
    <t>Nº PEDIDO: 7001306779
Nº ACTA: 5003676456
Servicios área DATA - Data engineers - Marzo 2022</t>
  </si>
  <si>
    <t>Nº PEDIDO: 7001301183
N° ACTA: 5003681003
Servicios área DATA - Data engineers - Marzo 2022</t>
  </si>
  <si>
    <t>Nº PEDIDO: 7001302825
N° ACTA: 5003681008
Servicios área DATA - Data engineers - Marzo 2022</t>
  </si>
  <si>
    <t>Nº PEDIDO: 7001305104
N° ACTA: 5003681011
Servicios área DATA - Data engineers - Marzo 2022</t>
  </si>
  <si>
    <t>5520220117</t>
  </si>
  <si>
    <t>07/03/2022</t>
  </si>
  <si>
    <t>DATA-TMC CdU Retention Q1 2022
00030 DATA- TMC CdU Retention Q1 2022</t>
  </si>
  <si>
    <t>5520220230</t>
  </si>
  <si>
    <t>00020 DATA-PRJ-4955 EnrichTransaction log
00030 DATA-PRJ-4955 EnrichTransaction log</t>
  </si>
  <si>
    <t>5520220293</t>
  </si>
  <si>
    <t>07/06/2022</t>
  </si>
  <si>
    <t>00010 DATA: UC-79 Digital Datadriven may</t>
  </si>
  <si>
    <t>I02012</t>
  </si>
  <si>
    <t>22/02/2022</t>
  </si>
  <si>
    <t>A/1018</t>
  </si>
  <si>
    <t>Nº PEDIDO: 7001303564 - Nº ACTA: 5003639760
Servicios área DATA - Data engineers - Febrero 2022</t>
  </si>
  <si>
    <t>Nº PEDIDO: 7001303558 - Nº ACTA: 5003652078
Servicios área DATA - Data engineers - Febrero 2022</t>
  </si>
  <si>
    <t>Nº PEDIDO: 7001303564 - Nº ACTA: 5003652079
Servicios área DATA - Data engineers - Febrero 2022</t>
  </si>
  <si>
    <t>Nº PEDIDO: 7001301183 - Nº ACTA: 5003655884
Servicios área DATA - Data engineers - Febrero 2022</t>
  </si>
  <si>
    <t>N° PEDIDO: 7001302825 - N° ACTA: 5003657236
Servicios área DATA Data engineers - Febrero 2022</t>
  </si>
  <si>
    <t>Nº PEDIDO: 7001306795 - Nº ACTA: 5003657243
Servicios área DATA - Data engineers - Febrero 2022</t>
  </si>
  <si>
    <t>Nº PEDIDO: 7001306779 - Nº ACTA: 5003659247
Servicios área DATA - Data engineers - Febrero 2022</t>
  </si>
  <si>
    <t>Nº PEDIDO: 7001303566 - Nº ACTA: 5003639762
Servicios área DATA - Data engineers - Febrero 2022</t>
  </si>
  <si>
    <t>5520220227</t>
  </si>
  <si>
    <t>06/05/2022</t>
  </si>
  <si>
    <t>20220136</t>
  </si>
  <si>
    <t>09/06/2022</t>
  </si>
  <si>
    <t>DATA#EV CASOS DE USO BD H1:B2B Pipe
DTPRFL22-23_39
N° de Pedido; 7001334636
Acta de Aceptación: 5003757910</t>
  </si>
  <si>
    <t>5520220225</t>
  </si>
  <si>
    <t>03/05/2022</t>
  </si>
  <si>
    <t>00010 DATA Squad Transv TMC 6K marzo</t>
  </si>
  <si>
    <t>5520220297</t>
  </si>
  <si>
    <t>14/06/2022</t>
  </si>
  <si>
    <t>DATA CPG-H122 Squad Com Transv TMC
DATA CPG-H122 Squad Com Transy TMC</t>
  </si>
  <si>
    <t>A/4582</t>
  </si>
  <si>
    <t>15/06/2022</t>
  </si>
  <si>
    <t>Nº PEDIDO: 7001347829
Nº ACTA: 5003747885
Servicios área DATA - Data engineers - Junio 2022</t>
  </si>
  <si>
    <t>Nº PEDIDO: 7001343797
Nº ACTA: 5003748993
Servicios área DATA - Data engineers - Junio 2022</t>
  </si>
  <si>
    <t>N° PEDIDO: 7001334637
Nº ACTA: 5003757911
Servicios área DATA - Data engineers - Junio 2022</t>
  </si>
  <si>
    <t>Nº PEDIDO: 7001334638
Nº ACTA: 5003757912
Servicios área DATA - Data engineers - Junio 2022</t>
  </si>
  <si>
    <t>N° PEDIDO: 7001343797
Nº ACTA: 5003757929
Servicios área DATA-Data engineers - Junio 202</t>
  </si>
  <si>
    <t>Nº PEDIDO: 7001341926
Nº ACTA: 5003758393
Servicios área DATA - Data engineers - Junio 2022</t>
  </si>
  <si>
    <t>Nº PEDIDO: 7001341926
Nº ACTA: 5003758394
Servicios área DATA - Data engineers - Junio 2022</t>
  </si>
  <si>
    <t>Nº PEDIDO: 7001306795
Nº ACTA: 5003763514
Servicios área DATA - Data engineers - Junio 2022</t>
  </si>
  <si>
    <t>Nº PEDIDO: 7001347829
N° ACTA: 5003763705
Servicios área DATA - Data engineers - Junio 2022</t>
  </si>
  <si>
    <t>Nº PEDIDO: 7001302825
Nº ACTA: 5003766437
Servicios área DATA - Data engineers - Junio 2022</t>
  </si>
  <si>
    <t>Nº PEDIDO: 7001338282
Nº ACTA: 5003766451
Servicios área DATA - Data engineers - Junio 2022</t>
  </si>
  <si>
    <t>N° PEDIDO: 7001305104
Nº ACTA: 5003770766
Servicios área DATA - Data engineers - Junio 2022</t>
  </si>
  <si>
    <t>N° PEDIDO: 7001343064
Nº ACTA: 5003770858
Servicios área DATA - Data engineers - Junio 2022</t>
  </si>
  <si>
    <t>2022010149</t>
  </si>
  <si>
    <t>+PO 7001369496</t>
  </si>
  <si>
    <t>739422647676</t>
  </si>
  <si>
    <t>05/12/2022</t>
  </si>
  <si>
    <t>SGIT-CAR Pruebas SQA(Movil) B3 Q422 CALT</t>
  </si>
  <si>
    <t>2022012680</t>
  </si>
  <si>
    <t>+PO 7001393460</t>
  </si>
  <si>
    <t>739422643494</t>
  </si>
  <si>
    <t>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t>
  </si>
  <si>
    <t>739422643035</t>
  </si>
  <si>
    <t>14/11/2022</t>
  </si>
  <si>
    <t>2022011434</t>
  </si>
  <si>
    <t>2022011432</t>
  </si>
  <si>
    <t>+PO 7001387927</t>
  </si>
  <si>
    <t>739422637705</t>
  </si>
  <si>
    <t>DG-PRJ-2639 CRM4T JZZ CDA</t>
  </si>
  <si>
    <t>5755116250</t>
  </si>
  <si>
    <t>SSII2020-5093-CdA1-IVRMM</t>
  </si>
  <si>
    <t>2022010151</t>
  </si>
  <si>
    <t>+PO 7001369497</t>
  </si>
  <si>
    <t>2022010150</t>
  </si>
  <si>
    <t>+PO 7001368731</t>
  </si>
  <si>
    <t>2022010155</t>
  </si>
  <si>
    <t>+PO 7001378275</t>
  </si>
  <si>
    <t>2022010092</t>
  </si>
  <si>
    <t>06/10/2022</t>
  </si>
  <si>
    <t>+PO 7001384431</t>
  </si>
  <si>
    <t>2022/005277</t>
  </si>
  <si>
    <t>Desarrollos CDA - MK-PRJ-4068 2022/T001305</t>
  </si>
  <si>
    <t>2022008889</t>
  </si>
  <si>
    <t>2022008892</t>
  </si>
  <si>
    <t>5755114613</t>
  </si>
  <si>
    <t>PRJ-2488 RT Middleware BW de Solaris</t>
  </si>
  <si>
    <t>2022008083</t>
  </si>
  <si>
    <t>23/08/2022</t>
  </si>
  <si>
    <t>+PO 7001289456</t>
  </si>
  <si>
    <t>739422629527</t>
  </si>
  <si>
    <t>SGIT-CAR PORTALES OSP B2 Q3 22 CD
SGIT-CAR PORTALES OSP B2 Q3 22 OWCS
SGIT-CAR PORTALES OSP B2 Q3 22 CD
SGIT-CAR PORTALES OSP B2 Q3 22 OWCS
SGIT-CAR PORTALES OSP B2 Q3 22 CD
SGIT-CAR PORTALES OSP B2 Q3 22 CD
SGIT-CAR PORTALES OSP B2 Q3 22 CD
SGIT-CAR PORTALES OSP B2 Q3 22 CD
SGIT-CAR PORTALES OSP B2 Q3 22 CD
SGIT-CAR PORTALES OSP B2 Q3 22 CD
SGIT-CAR PORTALES OSP B2 Q3 22 OWCS
SGIT-CAR PORTALES OSP B2 Q3 22 CD
SGIT-CAR PORTALES OSP B2 Q3 22 CD
SGIT-CAR PORTALES OSP B2 Q3 22 OWCS</t>
  </si>
  <si>
    <t>739422629382</t>
  </si>
  <si>
    <t>SGIT-CAR Pruebas SQA(Movil) B2 Q3 22 ALT</t>
  </si>
  <si>
    <t>2022007894</t>
  </si>
  <si>
    <t>08/08/2022</t>
  </si>
  <si>
    <t>Pedido: 7001369497</t>
  </si>
  <si>
    <t>2022007891</t>
  </si>
  <si>
    <t>6222020570</t>
  </si>
  <si>
    <t>03/08/2022</t>
  </si>
  <si>
    <t>MK-PRJ-4082 PORTOS CDA</t>
  </si>
  <si>
    <t>6011634970</t>
  </si>
  <si>
    <t>6011634973</t>
  </si>
  <si>
    <t>MK PRJ 4082 TEIDE OSP CDA. Tracto sucesivo</t>
  </si>
  <si>
    <t>2022006739</t>
  </si>
  <si>
    <t>07/07/2022</t>
  </si>
  <si>
    <t>+PO 7001346514</t>
  </si>
  <si>
    <t>2022006741</t>
  </si>
  <si>
    <t>+PO 7001349774</t>
  </si>
  <si>
    <t>2022006735</t>
  </si>
  <si>
    <t>+PO 7001337527</t>
  </si>
  <si>
    <t>739422624928</t>
  </si>
  <si>
    <t>05/07/2022</t>
  </si>
  <si>
    <t>SGIT-CAR Pruebas SQA(Movil) B3 Q2 22 ALT</t>
  </si>
  <si>
    <t>2022006738</t>
  </si>
  <si>
    <t>+PO 7001343351</t>
  </si>
  <si>
    <t>739422624575</t>
  </si>
  <si>
    <t>SGIT-CAR PORTALES OSP B3 Q2 22 OWCS
SGIT-CAR PORTALES OSP B3 Q2 22 CDI
SGIT-CAR PORTALES OSP B3 Q2 22 CDI
SGIT-CAR PORTALES OSP B3 Q2 22 CDI
SGIT-CAR PORTALES OSP B3 Q2 22 CDI
SGIT-CAR PORTALES OSP B3 Q2 22 CDI
SGIT-CAR PORTALES OSP B3 Q2 22 OWCS
SGIT-CAR PORTALES OSP B3 Q2 22 OWCS
SGIT-CAR PORTALES OSP B3 Q2 22 CDI
SGIT-CAR PORTALES OSP B3 Q2 22 OWCS</t>
  </si>
  <si>
    <t>5755111827</t>
  </si>
  <si>
    <t>PRJ-5914 - Reingeniería MiFijo CdA2 - c</t>
  </si>
  <si>
    <t>5755111825</t>
  </si>
  <si>
    <t>PRJ-5487 - Reingeniería MiFijo CdA1 - A</t>
  </si>
  <si>
    <t>739422621018</t>
  </si>
  <si>
    <t>739422621021</t>
  </si>
  <si>
    <t>2022005649</t>
  </si>
  <si>
    <t>2022005651</t>
  </si>
  <si>
    <t>2022005646</t>
  </si>
  <si>
    <t>2022005652</t>
  </si>
  <si>
    <t>780322660405</t>
  </si>
  <si>
    <t>06/06/2022</t>
  </si>
  <si>
    <t>MK-PRJ-4068 PSP multimarca(ACME)-MPV4</t>
  </si>
  <si>
    <t>2022005560</t>
  </si>
  <si>
    <t>+PO 7001337164</t>
  </si>
  <si>
    <t>1750068448</t>
  </si>
  <si>
    <t>SGIT-CAR CAP SOE H1 B6 22
SGIT-CAR CAP SOE H1 B6 22
SGIT-CAR CAP SOE H1 B6 22
SGIT-CAR CAP SOE H1 B6 22
SGIT-CAR CAP SOE H1 B6 22</t>
  </si>
  <si>
    <t>2022004630</t>
  </si>
  <si>
    <t xml:space="preserve">+PO 7001346514 </t>
  </si>
  <si>
    <t>2022004578</t>
  </si>
  <si>
    <t>Pedido: 7001337527</t>
  </si>
  <si>
    <t>739422616852</t>
  </si>
  <si>
    <t>2022004581</t>
  </si>
  <si>
    <t>739422616762</t>
  </si>
  <si>
    <t>SGIT-CAR PORTALES OSP B3 Q2 22 CDI
SGIT-CAR PORTALES OSP B3 Q2 22 OWCS
SGIT-CAR PORTALES OSP B3 Q2 22 CDI
SGIT-CAR PORTALES OSP B3 Q2 22 CDI
SGIT-CAR PORTALES OSP B3 Q2 22 CDI
SGIT-CAR PORTALES OSP B3 Q2 22 CDI
SGIT-CAR PORTALES OSP B3 Q2 22 OWCS
SGIT-CAR PORTALES OSP B3 Q2 22 OWCS
SGIT-CAR PORTALES OSP B3 Q2 22 CD
SGIT-CAR PORTALES OSP B3 Q2 22 OWCS</t>
  </si>
  <si>
    <t>2022003341</t>
  </si>
  <si>
    <t>07/04/2022</t>
  </si>
  <si>
    <t>+PO 7001310620</t>
  </si>
  <si>
    <t>739422611900</t>
  </si>
  <si>
    <t>SGIT-CAR PORTALES OSP B4 Q122 OWCS
SGIT-CAR PORTALES OSP B4 Q122 CDI
SGIT-CAR PORTALES OSP B4 Q122 CDI
SGIT-CAR PORTALES OSP B4 Q122 OWCS
SGIT-CAR PORTALES OSP B4 Q122 OWCS
SGIT-CAR PORTALES OSP B4 Q122 CDI
SGIT-CAR PORTALES OSP B4 Q122 OWCS
SGIT-CAR PORTALES OSP B4 Q122 OWCS</t>
  </si>
  <si>
    <t>2022003342</t>
  </si>
  <si>
    <t>+Pedido 7001315280</t>
  </si>
  <si>
    <t>2022003345</t>
  </si>
  <si>
    <t>+PO 7001337526</t>
  </si>
  <si>
    <t>739422611901</t>
  </si>
  <si>
    <t>06/04/2022</t>
  </si>
  <si>
    <t>SGIT-CAR Pruebas SQA(Movil) B4 Q122 ALT</t>
  </si>
  <si>
    <t>739422611842</t>
  </si>
  <si>
    <t>05/04/2022</t>
  </si>
  <si>
    <t>MK-PRJ-3242 CRM4T JZZ</t>
  </si>
  <si>
    <t>739422611841</t>
  </si>
  <si>
    <t>SGIT-PRJ-4240 CRM4T JZZ
SGIT-PRJ-4240 PROCESOS INTERFACES
SGIT-PRJ-4240 Ficha Cliente JZZ
SGIT-PRJ-4240 ALTA ONLINE DISTRIBU
SGIT-PRJ-4240 GIF - GESTOR DE INTE</t>
  </si>
  <si>
    <t>2022002468</t>
  </si>
  <si>
    <t>18/03/2022</t>
  </si>
  <si>
    <t>+PO 7001325254</t>
  </si>
  <si>
    <t>1750064859</t>
  </si>
  <si>
    <t>MK-22 PRJ-3248 BRM PORTAL M2M OSP
MK-21 PRJ-3248 OMVODS</t>
  </si>
  <si>
    <t>2022002254</t>
  </si>
  <si>
    <t>11/03/2022</t>
  </si>
  <si>
    <t>2022002253</t>
  </si>
  <si>
    <t>2022002250</t>
  </si>
  <si>
    <t>5755106336</t>
  </si>
  <si>
    <t>SSII2020-5169 PRJ-3248 Contorno Billing</t>
  </si>
  <si>
    <t>739422607561</t>
  </si>
  <si>
    <t>10/03/2022</t>
  </si>
  <si>
    <t>739422607469</t>
  </si>
  <si>
    <t>5755106027</t>
  </si>
  <si>
    <t>03/03/2022</t>
  </si>
  <si>
    <t>PRJ-2488 RT Middleware BW de Solaris a</t>
  </si>
  <si>
    <t>2022001145</t>
  </si>
  <si>
    <t>15/02/2022</t>
  </si>
  <si>
    <t>+PO 7001304327</t>
  </si>
  <si>
    <t>2022001146</t>
  </si>
  <si>
    <t>739422603575</t>
  </si>
  <si>
    <t>739422603722</t>
  </si>
  <si>
    <t>5755104896</t>
  </si>
  <si>
    <t>6222003226</t>
  </si>
  <si>
    <t>6011623256</t>
  </si>
  <si>
    <t>14/01/2022</t>
  </si>
  <si>
    <t>A000051389009757</t>
  </si>
  <si>
    <t>01/12/2022</t>
  </si>
  <si>
    <t>SGIT-CAR PAE OSP OCT22 EGEO
SGIT-CAR ENDOR OSP OCT22 CWEB
SGIT-CAR ALTAMIRA OSP OCT22 CA</t>
  </si>
  <si>
    <t>A000051389009667</t>
  </si>
  <si>
    <t>10/11/2022</t>
  </si>
  <si>
    <t>SGIT-CAR PAE OSP OCT22 EGEO
SGIT-CAR ALTAMIRA OSP OCT22 CA</t>
  </si>
  <si>
    <t>A000051389009349</t>
  </si>
  <si>
    <t>SGIT-CAR ENDOR OSP B2 Q3 22 OWCS
SGIT-CAR FIBY STB OSP B2 Q3 22 PAE
SGIT-CAR ALTAMIRA OSP B2 Q3 22 ALTA</t>
  </si>
  <si>
    <t>A000051389009178</t>
  </si>
  <si>
    <t>SGIT-CAR AMON OSP B5 Q2 22 APC
SGIT-CAR ALTAMENA OSP B5 Q2 22 RTC</t>
  </si>
  <si>
    <t>A000051389009044</t>
  </si>
  <si>
    <t>12/05/2022</t>
  </si>
  <si>
    <t>SGIT-VAR EVERIS ABR22 ODIN ENDOR OSP SB
SGIT-VAR EVERIS ABR22 ODIN ENDOR OSP SB
SGIT-VAR EVERIS ABR22 ODIN ENDOR OSP SB
SGIT-VAR EVERIS ABR22 ODIN PANGEA OSP SB
SGIT-VAR EVERIS ABR22 ODIN PANGEA OSP SB
SGIT-VAR EVERIS ABR22 ODIN ALTAMENA OSP</t>
  </si>
  <si>
    <t>A000051389009147</t>
  </si>
  <si>
    <t>BILLWS1000198</t>
  </si>
  <si>
    <t>16/11/2022</t>
  </si>
  <si>
    <t>MK-PRJ-6026 RAID OSP. Facturacion segun Acta
5003900537.
720RAN22.08.C01</t>
  </si>
  <si>
    <t>A000051389009060</t>
  </si>
  <si>
    <t>6135208</t>
  </si>
  <si>
    <t>14/09/2022</t>
  </si>
  <si>
    <t>PRJ-4662 SAP Upgrade
Services/Goods delivery date: 14.09.22</t>
  </si>
  <si>
    <t>905509303</t>
  </si>
  <si>
    <t>Línea 0050 - TRID Digital UX improvement H1 22
Según acta de aceptación : 5003757899</t>
  </si>
  <si>
    <t>905511225</t>
  </si>
  <si>
    <t>Línea 0050 - TRID Digital UX improvement H1 22
Según acta de aceptación : 5003793855</t>
  </si>
  <si>
    <t>BILLWS1000142</t>
  </si>
  <si>
    <t>MK-PRJ-4068 WEDO multimarca (ACME)-MPV4. Facturacion segun Acta 5003757903</t>
  </si>
  <si>
    <t>905507381</t>
  </si>
  <si>
    <t>11/05/2022</t>
  </si>
  <si>
    <t>Línea 0040 - TRID Digital UX improvement H1 22
Según acta de aceptación: 5003733640</t>
  </si>
  <si>
    <t>2022/00695</t>
  </si>
  <si>
    <t>MK-PRJ-4068 SQA - BACKEND CDA</t>
  </si>
  <si>
    <t>2022/00591</t>
  </si>
  <si>
    <t>SGIT-CAR Pruebas SQA(Movil) TD B7</t>
  </si>
  <si>
    <t>BILL1000123</t>
  </si>
  <si>
    <t>18/04/2022</t>
  </si>
  <si>
    <t>MK-PRJ-3248 RAID. Facturacion segun Acta 5003691376.
720RAN15.69.C01</t>
  </si>
  <si>
    <t>905505720</t>
  </si>
  <si>
    <t>08/04/2022</t>
  </si>
  <si>
    <t>Línea 0030-TRID Digital UX improvement H1 22
Según acta de aceptación : 5003692389</t>
  </si>
  <si>
    <t>905504191</t>
  </si>
  <si>
    <t>15/03/2022</t>
  </si>
  <si>
    <t>Línea 0010 - TRID Digital UX improvement H1 22
Línea 0020 - TRID Digital UX improvement H1 22
Según acta de aceptación: 5003681303</t>
  </si>
  <si>
    <t>2022000942</t>
  </si>
  <si>
    <t>03/02/2022</t>
  </si>
  <si>
    <t>PO 7001289456</t>
  </si>
  <si>
    <t>2022/00053</t>
  </si>
  <si>
    <t>18/01/2022</t>
  </si>
  <si>
    <t>A/646</t>
  </si>
  <si>
    <t>02/02/2022</t>
  </si>
  <si>
    <t>GIT IMPLANTACION XL DEPLOY</t>
  </si>
  <si>
    <t>739422647778</t>
  </si>
  <si>
    <t>07/12/2022</t>
  </si>
  <si>
    <t>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
SGIT-CAR PORTALES OSP OCT22 COWCS</t>
  </si>
  <si>
    <t>739422638388</t>
  </si>
  <si>
    <t>SGIT-CAR PORTALES OSP B2 Q3 22 CD
SGIT-CAR PORTALES OSP B2 Q3 22 OWCS
SGIT-CAR PORTALES OSP B2 Q3 22 CD
SGIT-CAR PORTALES OSP B2 Q3 22 CD
SGIT-CAR PORTALES OSP B2 Q3 22 OWCS
SGIT-CAR PORTALES OSP B2 Q3 22 CD
SGIT-CAR PORTALES OSP B2 Q3 22 CD
SGIT-CAR PORTALES OSP B2 Q3 22 OWCS
SGIT-CAR PORTALES OSP B2 Q3 22 OWCS
SGIT-CAR PORTALES OSP B2 Q3 22 OWCS
SGIT-CAR PORTALES OSP B2 Q3 22 OWCS</t>
  </si>
  <si>
    <t>739422633026</t>
  </si>
  <si>
    <t>13/09/2022</t>
  </si>
  <si>
    <t>SGIT-CAR PORTALES OSP B2 Q3 22 OWCS
SGIT-CAR PORTALES OSP B2 Q3 22 CD
SGIT-CAR PORTALES OSP B2 Q3 22 OWCS
SGIT-CAR PORTALES OSP B2 Q3 22 OWCS
SGIT-CAR PORTALES OSP B2 Q3 22 OWCS
SGIT-CAR PORTALES OSP B2 Q3 22 OWCS
SGIT-CAR PORTALES OSP B2 Q3 22 OWCS
SGIT-CAR PORTALES OSP B2 Q3 22 CD
SGIT-CAR PORTALES OSP B2 Q3 22 OWCS</t>
  </si>
  <si>
    <t>739422633023</t>
  </si>
  <si>
    <t>2022010069</t>
  </si>
  <si>
    <t>+PO 7001340640</t>
  </si>
  <si>
    <t>739422637460</t>
  </si>
  <si>
    <t>07/10/2022</t>
  </si>
  <si>
    <t>739422637416</t>
  </si>
  <si>
    <t>MK-PRJ-4252 RT OVM Jazz MPV1 CRM4T JZZ
MK-PRJ-4252 RT OVM Jazz MPV1 FdC JZZ
MK-PRJ-4252 RT OVM Jazz MPV1 GIF</t>
  </si>
  <si>
    <t>2022008894</t>
  </si>
  <si>
    <t>+PO 7001374168</t>
  </si>
  <si>
    <t>2022008897</t>
  </si>
  <si>
    <t>22OS0976</t>
  </si>
  <si>
    <t>B22/FA414</t>
  </si>
  <si>
    <t>Desarrollo micro. Mayo-Junio 2022</t>
  </si>
  <si>
    <t>22OS0973</t>
  </si>
  <si>
    <t>22OS0980</t>
  </si>
  <si>
    <t>22OS0967</t>
  </si>
  <si>
    <t>22OS0971</t>
  </si>
  <si>
    <t>SGIT-CAR PORTALES OSP B3 Q2 22 CDI
SGIT-CAR PORTALES OSP B3 Q2 22 OWCS
SGIT-CAR PORTALES OSP B3 Q2 22 CD
SGIT-CAR PORTALES OSP B3 Q2 22 CDI
SGIT-CAR PORTALES OSP B3 Q2 22 OWCS
SGIT-CAR PORTALES OSP B3 Q2 22 CD
SGIT-CAR PORTALES OSP B3 Q2 22 CD
SGIT-CAR PORTALES OSP B3 Q2 22 OWCS
SGIT-CAR PORTALES OSP B3 Q2 22 CDI
SGIT-CAR PORTALES OSP B3 Q2 22 CDI
SGIT-CAR PORTALES OSP B3 Q2 22 CDI
SGIT-CAR PORTALES OSP B3 Q2 22 CDI
SGIT-CAR PORTALES OSP B3 Q2 22 OWCS
SGIT-CAR PORTALES OSP B3 Q2 22 OWCS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</si>
</sst>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07">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3" fillId="0" borderId="1" xfId="0" applyFont="1" applyBorder="1" applyAlignment="1" applyProtection="1">
      <alignment horizontal="center" vertical="center" wrapText="1"/>
      <protection locked="0"/>
    </xf>
    <xf numFmtId="176" fontId="3" fillId="0" borderId="3" xfId="0" applyNumberFormat="1" applyFont="1" applyBorder="1" applyAlignment="1" applyProtection="1">
      <alignment horizontal="center" vertical="center" wrapText="1"/>
      <protection locked="0"/>
    </xf>
    <xf numFmtId="176" fontId="3" fillId="0" borderId="4" xfId="0" applyNumberFormat="1" applyFont="1" applyBorder="1" applyAlignment="1" applyProtection="1">
      <alignment horizontal="center" vertical="center" wrapText="1"/>
      <protection locked="0"/>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0" fontId="20"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7" fillId="0" borderId="0" xfId="0" applyFont="1" applyAlignment="1">
      <alignment horizontal="center" vertical="center"/>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11" fillId="5" borderId="1" xfId="0" applyFont="1" applyFill="1" applyBorder="1" applyAlignment="1">
      <alignment vertical="center" wrapText="1"/>
    </xf>
    <xf numFmtId="0" fontId="14" fillId="0" borderId="0" xfId="0" applyFont="1" applyAlignment="1">
      <alignment horizontal="left"/>
    </xf>
    <xf numFmtId="0" fontId="6" fillId="0" borderId="1" xfId="0" applyFont="1" applyBorder="1" applyAlignment="1">
      <alignment vertical="center" wrapText="1"/>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4" fillId="0" borderId="0" xfId="0" applyFont="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0" fillId="5" borderId="25" xfId="0" applyFill="1" applyBorder="1" applyAlignment="1">
      <alignment vertical="center"/>
    </xf>
    <xf numFmtId="0" fontId="0" fillId="5" borderId="28" xfId="0" applyFill="1" applyBorder="1" applyAlignment="1">
      <alignment vertical="center"/>
    </xf>
    <xf numFmtId="0" fontId="0" fillId="5" borderId="25" xfId="0" applyFill="1" applyBorder="1" applyAlignment="1">
      <alignment horizontal="left" vertical="center"/>
    </xf>
    <xf numFmtId="0" fontId="0" fillId="5" borderId="28" xfId="0" applyFill="1" applyBorder="1" applyAlignment="1">
      <alignment horizontal="lef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xf numFmtId="0" fontId="3" fillId="0" borderId="5" xfId="0" applyFont="1" applyBorder="1" applyAlignment="1" applyProtection="1">
      <alignment horizontal="center" vertical="center" wrapText="1"/>
      <protection locked="0"/>
    </xf>
  </cellXfs>
  <cellStyles count="14">
    <cellStyle name="Euro" xfId="1" xr:uid="{00000000-0005-0000-0000-000000000000}"/>
    <cellStyle name="Euro 10" xfId="2" xr:uid="{00000000-0005-0000-0000-000001000000}"/>
    <cellStyle name="Euro 11" xfId="3" xr:uid="{00000000-0005-0000-0000-000002000000}"/>
    <cellStyle name="Euro 12" xfId="4" xr:uid="{00000000-0005-0000-0000-000003000000}"/>
    <cellStyle name="Euro 2" xfId="5" xr:uid="{00000000-0005-0000-0000-000004000000}"/>
    <cellStyle name="Euro 3" xfId="6" xr:uid="{00000000-0005-0000-0000-000005000000}"/>
    <cellStyle name="Euro 4" xfId="7" xr:uid="{00000000-0005-0000-0000-000006000000}"/>
    <cellStyle name="Euro 5" xfId="8" xr:uid="{00000000-0005-0000-0000-000007000000}"/>
    <cellStyle name="Euro 6" xfId="9" xr:uid="{00000000-0005-0000-0000-000008000000}"/>
    <cellStyle name="Euro 7" xfId="10" xr:uid="{00000000-0005-0000-0000-000009000000}"/>
    <cellStyle name="Euro 8" xfId="11" xr:uid="{00000000-0005-0000-0000-00000A000000}"/>
    <cellStyle name="Euro 9" xfId="12" xr:uid="{00000000-0005-0000-0000-00000B000000}"/>
    <cellStyle name="Normal" xfId="0" builtinId="0"/>
    <cellStyle name="Normal 2" xfId="13" xr:uid="{00000000-0005-0000-0000-00000D000000}"/>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F16" sqref="F16"/>
    </sheetView>
  </sheetViews>
  <sheetFormatPr baseColWidth="10" defaultColWidth="11.42578125" defaultRowHeight="14.25" x14ac:dyDescent="0.2"/>
  <cols>
    <col min="1" max="1" width="1.7109375" style="16" customWidth="1"/>
    <col min="2" max="2" width="14.7109375" style="16" customWidth="1"/>
    <col min="3" max="3" width="40.42578125" style="16" customWidth="1"/>
    <col min="4" max="4" width="1.85546875" style="16" customWidth="1"/>
    <col min="5" max="5" width="20.7109375" style="16" customWidth="1"/>
    <col min="6" max="8" width="22.28515625" style="16" customWidth="1"/>
    <col min="9" max="9" width="42.140625" style="16" customWidth="1"/>
    <col min="10" max="10" width="5.140625" style="16" customWidth="1"/>
    <col min="11" max="40" width="14.7109375" style="16" customWidth="1"/>
    <col min="41" max="16384" width="11.42578125" style="16"/>
  </cols>
  <sheetData>
    <row r="1" spans="2:15" ht="66.75" customHeight="1" x14ac:dyDescent="0.25">
      <c r="F1" s="118"/>
      <c r="G1" s="118"/>
      <c r="H1" s="118"/>
      <c r="J1" s="11"/>
      <c r="K1" s="11"/>
      <c r="L1" s="11"/>
      <c r="M1" s="11"/>
      <c r="N1" s="11"/>
      <c r="O1" s="11"/>
    </row>
    <row r="2" spans="2:15" x14ac:dyDescent="0.2">
      <c r="B2" s="115"/>
      <c r="C2" s="115"/>
      <c r="D2" s="115"/>
      <c r="E2" s="115"/>
    </row>
    <row r="3" spans="2:15" ht="18" x14ac:dyDescent="0.2">
      <c r="B3" s="121" t="s">
        <v>109</v>
      </c>
      <c r="C3" s="117"/>
      <c r="D3" s="117"/>
      <c r="E3" s="117"/>
    </row>
    <row r="4" spans="2:15" ht="17.25" thickBot="1" x14ac:dyDescent="0.25">
      <c r="B4" s="117"/>
      <c r="C4" s="117"/>
      <c r="D4" s="117"/>
      <c r="E4" s="117"/>
    </row>
    <row r="5" spans="2:15" ht="15.75" thickBot="1" x14ac:dyDescent="0.25">
      <c r="B5" s="193" t="s">
        <v>111</v>
      </c>
      <c r="C5" s="194"/>
      <c r="D5" s="21"/>
      <c r="E5" s="195" t="s">
        <v>157</v>
      </c>
      <c r="F5" s="196"/>
      <c r="G5" s="196"/>
      <c r="H5" s="196"/>
      <c r="I5" s="197"/>
    </row>
    <row r="6" spans="2:15" ht="15.75" thickBot="1" x14ac:dyDescent="0.25">
      <c r="B6" s="21"/>
      <c r="C6" s="21"/>
      <c r="D6" s="21"/>
      <c r="E6" s="21"/>
    </row>
    <row r="7" spans="2:15" ht="15" x14ac:dyDescent="0.2">
      <c r="B7" s="198" t="s">
        <v>110</v>
      </c>
      <c r="C7" s="199"/>
      <c r="D7" s="21"/>
      <c r="E7" s="202" t="s">
        <v>301</v>
      </c>
      <c r="F7" s="203"/>
      <c r="G7" s="203"/>
      <c r="H7" s="203"/>
      <c r="I7" s="204"/>
    </row>
    <row r="8" spans="2:15" ht="15.75" thickBot="1" x14ac:dyDescent="0.25">
      <c r="B8" s="200"/>
      <c r="C8" s="201"/>
      <c r="D8" s="21"/>
      <c r="E8" s="205"/>
      <c r="F8" s="206"/>
      <c r="G8" s="206"/>
      <c r="H8" s="206"/>
      <c r="I8" s="207"/>
    </row>
    <row r="9" spans="2:15" ht="15.75" thickBot="1" x14ac:dyDescent="0.25">
      <c r="B9" s="21"/>
      <c r="C9" s="21"/>
      <c r="D9" s="21"/>
      <c r="E9" s="21"/>
    </row>
    <row r="10" spans="2:15" ht="15.75" thickBot="1" x14ac:dyDescent="0.25">
      <c r="B10" s="193" t="s">
        <v>123</v>
      </c>
      <c r="C10" s="194"/>
      <c r="D10" s="126"/>
      <c r="E10" s="127" t="s">
        <v>121</v>
      </c>
      <c r="F10" s="123">
        <v>44562</v>
      </c>
      <c r="G10" s="127" t="s">
        <v>122</v>
      </c>
      <c r="H10" s="123">
        <v>44926</v>
      </c>
    </row>
    <row r="11" spans="2:15" ht="15.75" thickBot="1" x14ac:dyDescent="0.25">
      <c r="B11" s="21"/>
      <c r="C11" s="21"/>
      <c r="D11" s="21"/>
      <c r="E11" s="21"/>
    </row>
    <row r="12" spans="2:15" ht="15.75" thickBot="1" x14ac:dyDescent="0.25">
      <c r="B12" s="193" t="s">
        <v>113</v>
      </c>
      <c r="C12" s="194"/>
      <c r="D12" s="126"/>
      <c r="E12" s="122">
        <v>2021</v>
      </c>
    </row>
    <row r="13" spans="2:15" ht="15.75" thickBot="1" x14ac:dyDescent="0.25">
      <c r="B13" s="21"/>
      <c r="C13" s="21"/>
      <c r="D13" s="21"/>
      <c r="E13" s="21"/>
    </row>
    <row r="14" spans="2:15" ht="15.75" thickBot="1" x14ac:dyDescent="0.25">
      <c r="B14" s="193" t="s">
        <v>128</v>
      </c>
      <c r="C14" s="194"/>
      <c r="D14" s="126"/>
      <c r="E14" s="122"/>
    </row>
    <row r="15" spans="2:15" ht="15" x14ac:dyDescent="0.2">
      <c r="B15" s="21"/>
      <c r="C15" s="21"/>
      <c r="D15" s="21"/>
      <c r="E15" s="21"/>
    </row>
    <row r="16" spans="2:15" ht="15" x14ac:dyDescent="0.2">
      <c r="B16" s="21"/>
      <c r="C16" s="21"/>
      <c r="D16" s="21"/>
      <c r="E16" s="21"/>
    </row>
    <row r="17" spans="2:8" ht="15" x14ac:dyDescent="0.2">
      <c r="F17" s="86"/>
      <c r="G17" s="86"/>
      <c r="H17" s="86"/>
    </row>
    <row r="18" spans="2:8" ht="15" x14ac:dyDescent="0.2">
      <c r="B18" s="126"/>
      <c r="C18" s="126"/>
      <c r="D18" s="126"/>
      <c r="E18" s="126"/>
      <c r="F18" s="86"/>
      <c r="G18" s="86"/>
      <c r="H18" s="86"/>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
  <sheetViews>
    <sheetView zoomScale="85" zoomScaleNormal="85" workbookViewId="0">
      <selection activeCell="B1" sqref="B1"/>
    </sheetView>
  </sheetViews>
  <sheetFormatPr baseColWidth="10" defaultColWidth="11.42578125" defaultRowHeight="14.25" x14ac:dyDescent="0.2"/>
  <cols>
    <col min="1" max="1" width="1.7109375" style="16" customWidth="1"/>
    <col min="2" max="2" width="255.7109375" style="16" customWidth="1"/>
    <col min="3" max="3" width="20.7109375" style="16" customWidth="1"/>
    <col min="4" max="6" width="22.28515625" style="16" customWidth="1"/>
    <col min="7" max="7" width="49.5703125" style="16" customWidth="1"/>
    <col min="8" max="8" width="5.140625" style="16" customWidth="1"/>
    <col min="9" max="38" width="14.7109375" style="16" customWidth="1"/>
    <col min="39" max="16384" width="11.42578125" style="16"/>
  </cols>
  <sheetData>
    <row r="1" spans="2:13" ht="66.75" customHeight="1" x14ac:dyDescent="0.25">
      <c r="D1" s="118"/>
      <c r="E1" s="118"/>
      <c r="F1" s="118"/>
      <c r="H1" s="11"/>
      <c r="I1" s="11"/>
      <c r="J1" s="11"/>
      <c r="K1" s="11"/>
      <c r="L1" s="11"/>
      <c r="M1" s="11"/>
    </row>
    <row r="2" spans="2:13" x14ac:dyDescent="0.2">
      <c r="B2" s="115"/>
      <c r="C2" s="115"/>
    </row>
    <row r="3" spans="2:13" ht="18" x14ac:dyDescent="0.2">
      <c r="B3" s="121" t="s">
        <v>112</v>
      </c>
      <c r="C3" s="117"/>
    </row>
    <row r="4" spans="2:13" ht="16.5" x14ac:dyDescent="0.2">
      <c r="B4" s="117"/>
      <c r="C4" s="117"/>
    </row>
    <row r="5" spans="2:13" ht="409.15" customHeight="1" x14ac:dyDescent="0.2">
      <c r="B5" s="188" t="s">
        <v>140</v>
      </c>
      <c r="C5" s="126"/>
      <c r="D5" s="86"/>
      <c r="E5" s="86"/>
      <c r="F5" s="86"/>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61"/>
  <sheetViews>
    <sheetView showGridLines="0" zoomScale="70" zoomScaleNormal="70" workbookViewId="0">
      <pane xSplit="5" ySplit="14" topLeftCell="F27" activePane="bottomRight" state="frozen"/>
      <selection activeCell="C5" sqref="C5:D5"/>
      <selection pane="topRight" activeCell="C5" sqref="C5:D5"/>
      <selection pane="bottomLeft" activeCell="C5" sqref="C5:D5"/>
      <selection pane="bottomRight" activeCell="N15" sqref="N15:N53"/>
    </sheetView>
  </sheetViews>
  <sheetFormatPr baseColWidth="10" defaultColWidth="11.42578125" defaultRowHeight="14.25" x14ac:dyDescent="0.2"/>
  <cols>
    <col min="1" max="1" width="1.7109375" style="16" customWidth="1"/>
    <col min="2" max="2" width="14.7109375" style="16" customWidth="1"/>
    <col min="3" max="3" width="55.42578125" style="16" customWidth="1"/>
    <col min="4" max="4" width="150" style="16" bestFit="1" customWidth="1"/>
    <col min="5" max="5" width="9" style="16" customWidth="1"/>
    <col min="6" max="7" width="14.7109375" style="16" hidden="1" customWidth="1"/>
    <col min="8" max="8" width="14.7109375" style="16" customWidth="1"/>
    <col min="9" max="10" width="16" style="16" bestFit="1" customWidth="1"/>
    <col min="11" max="12" width="14.7109375" style="16" hidden="1" customWidth="1"/>
    <col min="13" max="13" width="14.7109375" style="16" customWidth="1"/>
    <col min="14" max="15" width="18.140625" style="16" bestFit="1" customWidth="1"/>
    <col min="16" max="17" width="14.7109375" style="16" hidden="1" customWidth="1"/>
    <col min="18" max="20" width="14.7109375" style="16" customWidth="1"/>
    <col min="21" max="22" width="14.7109375" style="16" hidden="1" customWidth="1"/>
    <col min="23" max="25" width="14.7109375" style="16" customWidth="1"/>
    <col min="26" max="27" width="14.7109375" style="16" hidden="1" customWidth="1"/>
    <col min="28" max="35" width="14.7109375" style="16" customWidth="1"/>
    <col min="36" max="16384" width="11.42578125" style="16"/>
  </cols>
  <sheetData>
    <row r="1" spans="1:35" ht="62.45" customHeight="1" x14ac:dyDescent="0.2">
      <c r="D1" s="11"/>
      <c r="E1" s="11"/>
      <c r="F1" s="11"/>
      <c r="G1" s="11"/>
      <c r="H1" s="11"/>
      <c r="I1" s="11"/>
      <c r="J1" s="11"/>
    </row>
    <row r="2" spans="1:35" x14ac:dyDescent="0.2">
      <c r="B2" s="115"/>
    </row>
    <row r="4" spans="1:35" ht="15" x14ac:dyDescent="0.2">
      <c r="B4" s="92" t="s">
        <v>79</v>
      </c>
    </row>
    <row r="5" spans="1:35" ht="15" x14ac:dyDescent="0.2">
      <c r="B5" s="21"/>
    </row>
    <row r="6" spans="1:35" ht="45" customHeight="1" x14ac:dyDescent="0.2">
      <c r="B6" s="217" t="s">
        <v>143</v>
      </c>
      <c r="C6" s="217"/>
      <c r="D6" s="217"/>
      <c r="E6" s="217"/>
    </row>
    <row r="7" spans="1:35" ht="15" x14ac:dyDescent="0.2">
      <c r="B7" s="125"/>
      <c r="C7" s="168"/>
    </row>
    <row r="8" spans="1:35" ht="15" x14ac:dyDescent="0.2">
      <c r="B8" s="125" t="s">
        <v>148</v>
      </c>
      <c r="C8" s="168"/>
    </row>
    <row r="9" spans="1:35" ht="15" x14ac:dyDescent="0.2">
      <c r="B9" s="125"/>
      <c r="C9" s="21"/>
    </row>
    <row r="10" spans="1:35" ht="15" x14ac:dyDescent="0.2">
      <c r="B10" s="125" t="s">
        <v>141</v>
      </c>
      <c r="C10" s="168"/>
    </row>
    <row r="11" spans="1:35" ht="15" x14ac:dyDescent="0.2">
      <c r="B11" s="21"/>
      <c r="C11" s="86"/>
      <c r="D11" s="86"/>
    </row>
    <row r="12" spans="1:35" ht="6" customHeight="1" thickBot="1" x14ac:dyDescent="0.25">
      <c r="A12" s="166"/>
    </row>
    <row r="13" spans="1:35" ht="15.75" thickBot="1" x14ac:dyDescent="0.25">
      <c r="B13" s="213" t="s">
        <v>114</v>
      </c>
      <c r="C13" s="213" t="s">
        <v>145</v>
      </c>
      <c r="D13" s="215" t="s">
        <v>3</v>
      </c>
      <c r="E13" s="215" t="s">
        <v>106</v>
      </c>
      <c r="F13" s="208">
        <f>'Datos solicitud'!E12</f>
        <v>2021</v>
      </c>
      <c r="G13" s="208"/>
      <c r="H13" s="208"/>
      <c r="I13" s="208"/>
      <c r="J13" s="208"/>
      <c r="K13" s="208">
        <f>F13+1</f>
        <v>2022</v>
      </c>
      <c r="L13" s="208"/>
      <c r="M13" s="208"/>
      <c r="N13" s="208"/>
      <c r="O13" s="208"/>
      <c r="P13" s="208">
        <f>K13+1</f>
        <v>2023</v>
      </c>
      <c r="Q13" s="208"/>
      <c r="R13" s="208"/>
      <c r="S13" s="208"/>
      <c r="T13" s="208"/>
      <c r="U13" s="208">
        <f>P13+1</f>
        <v>2024</v>
      </c>
      <c r="V13" s="208"/>
      <c r="W13" s="208"/>
      <c r="X13" s="208"/>
      <c r="Y13" s="208"/>
      <c r="Z13" s="208">
        <f>U13+1</f>
        <v>2025</v>
      </c>
      <c r="AA13" s="208"/>
      <c r="AB13" s="208"/>
      <c r="AC13" s="208"/>
      <c r="AD13" s="208"/>
      <c r="AE13" s="208">
        <f>Z13+1</f>
        <v>2026</v>
      </c>
      <c r="AF13" s="208"/>
      <c r="AG13" s="208"/>
      <c r="AH13" s="208"/>
      <c r="AI13" s="208"/>
    </row>
    <row r="14" spans="1:35" s="56" customFormat="1" ht="78.75" customHeight="1" thickBot="1" x14ac:dyDescent="0.25">
      <c r="B14" s="214"/>
      <c r="C14" s="214"/>
      <c r="D14" s="216"/>
      <c r="E14" s="216"/>
      <c r="F14" s="130" t="s">
        <v>103</v>
      </c>
      <c r="G14" s="131" t="s">
        <v>7</v>
      </c>
      <c r="H14" s="131" t="s">
        <v>138</v>
      </c>
      <c r="I14" s="131" t="s">
        <v>139</v>
      </c>
      <c r="J14" s="132" t="s">
        <v>4</v>
      </c>
      <c r="K14" s="130" t="s">
        <v>103</v>
      </c>
      <c r="L14" s="131" t="s">
        <v>7</v>
      </c>
      <c r="M14" s="131" t="s">
        <v>138</v>
      </c>
      <c r="N14" s="131" t="s">
        <v>139</v>
      </c>
      <c r="O14" s="132" t="s">
        <v>4</v>
      </c>
      <c r="P14" s="130" t="s">
        <v>103</v>
      </c>
      <c r="Q14" s="131" t="s">
        <v>7</v>
      </c>
      <c r="R14" s="131" t="s">
        <v>138</v>
      </c>
      <c r="S14" s="131" t="s">
        <v>139</v>
      </c>
      <c r="T14" s="132" t="s">
        <v>4</v>
      </c>
      <c r="U14" s="130" t="s">
        <v>103</v>
      </c>
      <c r="V14" s="131" t="s">
        <v>7</v>
      </c>
      <c r="W14" s="131" t="s">
        <v>138</v>
      </c>
      <c r="X14" s="131" t="s">
        <v>139</v>
      </c>
      <c r="Y14" s="132" t="s">
        <v>4</v>
      </c>
      <c r="Z14" s="130" t="s">
        <v>103</v>
      </c>
      <c r="AA14" s="131" t="s">
        <v>7</v>
      </c>
      <c r="AB14" s="131" t="s">
        <v>138</v>
      </c>
      <c r="AC14" s="131" t="s">
        <v>139</v>
      </c>
      <c r="AD14" s="132" t="s">
        <v>4</v>
      </c>
      <c r="AE14" s="130" t="s">
        <v>103</v>
      </c>
      <c r="AF14" s="131" t="s">
        <v>7</v>
      </c>
      <c r="AG14" s="131" t="s">
        <v>138</v>
      </c>
      <c r="AH14" s="131" t="s">
        <v>139</v>
      </c>
      <c r="AI14" s="132" t="s">
        <v>4</v>
      </c>
    </row>
    <row r="15" spans="1:35" ht="15" x14ac:dyDescent="0.2">
      <c r="B15" s="128">
        <v>1</v>
      </c>
      <c r="C15" s="79" t="s">
        <v>356</v>
      </c>
      <c r="D15" s="191" t="s">
        <v>277</v>
      </c>
      <c r="E15" s="5" t="s">
        <v>108</v>
      </c>
      <c r="F15" s="169"/>
      <c r="G15" s="170"/>
      <c r="H15" s="112"/>
      <c r="I15" s="99"/>
      <c r="J15" s="113">
        <f>G15+I15</f>
        <v>0</v>
      </c>
      <c r="K15" s="169"/>
      <c r="L15" s="170"/>
      <c r="M15" s="112">
        <v>1392</v>
      </c>
      <c r="N15" s="99">
        <v>58471.98</v>
      </c>
      <c r="O15" s="113">
        <f>L15+N15</f>
        <v>58471.98</v>
      </c>
      <c r="P15" s="169"/>
      <c r="Q15" s="170"/>
      <c r="R15" s="112"/>
      <c r="S15" s="99"/>
      <c r="T15" s="113">
        <f>Q15+S15</f>
        <v>0</v>
      </c>
      <c r="U15" s="169"/>
      <c r="V15" s="170"/>
      <c r="W15" s="112"/>
      <c r="X15" s="99"/>
      <c r="Y15" s="113">
        <f>V15+X15</f>
        <v>0</v>
      </c>
      <c r="Z15" s="169"/>
      <c r="AA15" s="170"/>
      <c r="AB15" s="112"/>
      <c r="AC15" s="99"/>
      <c r="AD15" s="113">
        <f>AA15+AC15</f>
        <v>0</v>
      </c>
      <c r="AE15" s="169"/>
      <c r="AF15" s="170"/>
      <c r="AG15" s="112"/>
      <c r="AH15" s="99"/>
      <c r="AI15" s="113">
        <f>AF15+AH15</f>
        <v>0</v>
      </c>
    </row>
    <row r="16" spans="1:35" ht="15" x14ac:dyDescent="0.2">
      <c r="B16" s="129">
        <f>B15+1</f>
        <v>2</v>
      </c>
      <c r="C16" s="80" t="s">
        <v>357</v>
      </c>
      <c r="D16" s="81" t="s">
        <v>276</v>
      </c>
      <c r="E16" s="5" t="s">
        <v>108</v>
      </c>
      <c r="F16" s="169"/>
      <c r="G16" s="170"/>
      <c r="H16" s="112"/>
      <c r="I16" s="99"/>
      <c r="J16" s="113">
        <f t="shared" ref="J16:J55" si="0">G16+I16</f>
        <v>0</v>
      </c>
      <c r="K16" s="169"/>
      <c r="L16" s="170"/>
      <c r="M16" s="112">
        <v>1653</v>
      </c>
      <c r="N16" s="99">
        <v>74547.92</v>
      </c>
      <c r="O16" s="113">
        <f t="shared" ref="O16:O57" si="1">L16+N16</f>
        <v>74547.92</v>
      </c>
      <c r="P16" s="169"/>
      <c r="Q16" s="170"/>
      <c r="R16" s="112"/>
      <c r="S16" s="99"/>
      <c r="T16" s="113">
        <f t="shared" ref="T16:T57" si="2">Q16+S16</f>
        <v>0</v>
      </c>
      <c r="U16" s="169"/>
      <c r="V16" s="170"/>
      <c r="W16" s="112"/>
      <c r="X16" s="99"/>
      <c r="Y16" s="113">
        <f t="shared" ref="Y16:Y57" si="3">V16+X16</f>
        <v>0</v>
      </c>
      <c r="Z16" s="169"/>
      <c r="AA16" s="170"/>
      <c r="AB16" s="112"/>
      <c r="AC16" s="99"/>
      <c r="AD16" s="113">
        <f t="shared" ref="AD16:AD57" si="4">AA16+AC16</f>
        <v>0</v>
      </c>
      <c r="AE16" s="169"/>
      <c r="AF16" s="170"/>
      <c r="AG16" s="112"/>
      <c r="AH16" s="99"/>
      <c r="AI16" s="113">
        <f t="shared" ref="AI16:AI57" si="5">AF16+AH16</f>
        <v>0</v>
      </c>
    </row>
    <row r="17" spans="2:35" ht="15" x14ac:dyDescent="0.2">
      <c r="B17" s="129">
        <f t="shared" ref="B17:B57" si="6">B16+1</f>
        <v>3</v>
      </c>
      <c r="C17" s="80" t="s">
        <v>303</v>
      </c>
      <c r="D17" s="81" t="s">
        <v>325</v>
      </c>
      <c r="E17" s="5" t="s">
        <v>108</v>
      </c>
      <c r="F17" s="169"/>
      <c r="G17" s="170"/>
      <c r="H17" s="112"/>
      <c r="I17" s="99"/>
      <c r="J17" s="113">
        <f t="shared" si="0"/>
        <v>0</v>
      </c>
      <c r="K17" s="169"/>
      <c r="L17" s="170"/>
      <c r="M17" s="112">
        <v>1653</v>
      </c>
      <c r="N17" s="99">
        <v>68951.37</v>
      </c>
      <c r="O17" s="113">
        <f t="shared" si="1"/>
        <v>68951.37</v>
      </c>
      <c r="P17" s="169"/>
      <c r="Q17" s="170"/>
      <c r="R17" s="112"/>
      <c r="S17" s="99"/>
      <c r="T17" s="113">
        <f t="shared" si="2"/>
        <v>0</v>
      </c>
      <c r="U17" s="169"/>
      <c r="V17" s="170"/>
      <c r="W17" s="112"/>
      <c r="X17" s="99"/>
      <c r="Y17" s="113">
        <f t="shared" si="3"/>
        <v>0</v>
      </c>
      <c r="Z17" s="169"/>
      <c r="AA17" s="170"/>
      <c r="AB17" s="112"/>
      <c r="AC17" s="99"/>
      <c r="AD17" s="113">
        <f t="shared" si="4"/>
        <v>0</v>
      </c>
      <c r="AE17" s="169"/>
      <c r="AF17" s="170"/>
      <c r="AG17" s="112"/>
      <c r="AH17" s="99"/>
      <c r="AI17" s="113">
        <f t="shared" si="5"/>
        <v>0</v>
      </c>
    </row>
    <row r="18" spans="2:35" ht="15" x14ac:dyDescent="0.2">
      <c r="B18" s="129">
        <f>B17+1</f>
        <v>4</v>
      </c>
      <c r="C18" s="80" t="s">
        <v>304</v>
      </c>
      <c r="D18" s="81" t="s">
        <v>326</v>
      </c>
      <c r="E18" s="5" t="s">
        <v>108</v>
      </c>
      <c r="F18" s="169"/>
      <c r="G18" s="170"/>
      <c r="H18" s="112"/>
      <c r="I18" s="99"/>
      <c r="J18" s="113">
        <f t="shared" si="0"/>
        <v>0</v>
      </c>
      <c r="K18" s="169"/>
      <c r="L18" s="170"/>
      <c r="M18" s="112">
        <v>1392</v>
      </c>
      <c r="N18" s="99">
        <v>46231.35</v>
      </c>
      <c r="O18" s="113">
        <f t="shared" si="1"/>
        <v>46231.35</v>
      </c>
      <c r="P18" s="169"/>
      <c r="Q18" s="170"/>
      <c r="R18" s="112"/>
      <c r="S18" s="99"/>
      <c r="T18" s="113">
        <f t="shared" si="2"/>
        <v>0</v>
      </c>
      <c r="U18" s="169"/>
      <c r="V18" s="170"/>
      <c r="W18" s="112"/>
      <c r="X18" s="99"/>
      <c r="Y18" s="113">
        <f t="shared" si="3"/>
        <v>0</v>
      </c>
      <c r="Z18" s="169"/>
      <c r="AA18" s="170"/>
      <c r="AB18" s="112"/>
      <c r="AC18" s="99"/>
      <c r="AD18" s="113">
        <f t="shared" si="4"/>
        <v>0</v>
      </c>
      <c r="AE18" s="169"/>
      <c r="AF18" s="170"/>
      <c r="AG18" s="112"/>
      <c r="AH18" s="99"/>
      <c r="AI18" s="113">
        <f t="shared" si="5"/>
        <v>0</v>
      </c>
    </row>
    <row r="19" spans="2:35" ht="15" x14ac:dyDescent="0.2">
      <c r="B19" s="129">
        <f t="shared" si="6"/>
        <v>5</v>
      </c>
      <c r="C19" s="80" t="s">
        <v>358</v>
      </c>
      <c r="D19" s="192" t="s">
        <v>277</v>
      </c>
      <c r="E19" s="5" t="s">
        <v>108</v>
      </c>
      <c r="F19" s="169"/>
      <c r="G19" s="170"/>
      <c r="H19" s="112"/>
      <c r="I19" s="99"/>
      <c r="J19" s="113">
        <f t="shared" si="0"/>
        <v>0</v>
      </c>
      <c r="K19" s="169"/>
      <c r="L19" s="170"/>
      <c r="M19" s="112">
        <v>251.39</v>
      </c>
      <c r="N19" s="99">
        <v>30511.87</v>
      </c>
      <c r="O19" s="113">
        <f t="shared" si="1"/>
        <v>30511.87</v>
      </c>
      <c r="P19" s="169"/>
      <c r="Q19" s="170"/>
      <c r="R19" s="112"/>
      <c r="S19" s="99"/>
      <c r="T19" s="113">
        <f t="shared" si="2"/>
        <v>0</v>
      </c>
      <c r="U19" s="169"/>
      <c r="V19" s="170"/>
      <c r="W19" s="112"/>
      <c r="X19" s="99"/>
      <c r="Y19" s="113">
        <f t="shared" si="3"/>
        <v>0</v>
      </c>
      <c r="Z19" s="169"/>
      <c r="AA19" s="170"/>
      <c r="AB19" s="112"/>
      <c r="AC19" s="99"/>
      <c r="AD19" s="113">
        <f t="shared" si="4"/>
        <v>0</v>
      </c>
      <c r="AE19" s="169"/>
      <c r="AF19" s="170"/>
      <c r="AG19" s="112"/>
      <c r="AH19" s="99"/>
      <c r="AI19" s="113">
        <f t="shared" si="5"/>
        <v>0</v>
      </c>
    </row>
    <row r="20" spans="2:35" ht="15" x14ac:dyDescent="0.2">
      <c r="B20" s="129">
        <f t="shared" si="6"/>
        <v>6</v>
      </c>
      <c r="C20" s="80" t="s">
        <v>305</v>
      </c>
      <c r="D20" s="81" t="s">
        <v>277</v>
      </c>
      <c r="E20" s="5" t="s">
        <v>108</v>
      </c>
      <c r="F20" s="169"/>
      <c r="G20" s="170"/>
      <c r="H20" s="112"/>
      <c r="I20" s="99"/>
      <c r="J20" s="113">
        <f>G20+I20</f>
        <v>0</v>
      </c>
      <c r="K20" s="169"/>
      <c r="L20" s="170"/>
      <c r="M20" s="112">
        <v>1653</v>
      </c>
      <c r="N20" s="99">
        <v>71044.929999999993</v>
      </c>
      <c r="O20" s="113">
        <f t="shared" si="1"/>
        <v>71044.929999999993</v>
      </c>
      <c r="P20" s="169"/>
      <c r="Q20" s="170"/>
      <c r="R20" s="112"/>
      <c r="S20" s="99"/>
      <c r="T20" s="113">
        <f t="shared" si="2"/>
        <v>0</v>
      </c>
      <c r="U20" s="169"/>
      <c r="V20" s="170"/>
      <c r="W20" s="112"/>
      <c r="X20" s="99"/>
      <c r="Y20" s="113">
        <f t="shared" si="3"/>
        <v>0</v>
      </c>
      <c r="Z20" s="169"/>
      <c r="AA20" s="170"/>
      <c r="AB20" s="112"/>
      <c r="AC20" s="99"/>
      <c r="AD20" s="113">
        <f t="shared" si="4"/>
        <v>0</v>
      </c>
      <c r="AE20" s="169"/>
      <c r="AF20" s="170"/>
      <c r="AG20" s="112"/>
      <c r="AH20" s="99"/>
      <c r="AI20" s="113">
        <f t="shared" si="5"/>
        <v>0</v>
      </c>
    </row>
    <row r="21" spans="2:35" ht="15" x14ac:dyDescent="0.2">
      <c r="B21" s="129">
        <f t="shared" si="6"/>
        <v>7</v>
      </c>
      <c r="C21" s="80" t="s">
        <v>306</v>
      </c>
      <c r="D21" s="81" t="s">
        <v>327</v>
      </c>
      <c r="E21" s="5" t="s">
        <v>108</v>
      </c>
      <c r="F21" s="169"/>
      <c r="G21" s="170"/>
      <c r="H21" s="112"/>
      <c r="I21" s="99"/>
      <c r="J21" s="113">
        <f t="shared" si="0"/>
        <v>0</v>
      </c>
      <c r="K21" s="169"/>
      <c r="L21" s="170"/>
      <c r="M21" s="112">
        <v>1191.3</v>
      </c>
      <c r="N21" s="99">
        <v>38099.58</v>
      </c>
      <c r="O21" s="113">
        <f t="shared" si="1"/>
        <v>38099.58</v>
      </c>
      <c r="P21" s="169"/>
      <c r="Q21" s="170"/>
      <c r="R21" s="112"/>
      <c r="S21" s="99"/>
      <c r="T21" s="113">
        <f t="shared" si="2"/>
        <v>0</v>
      </c>
      <c r="U21" s="169"/>
      <c r="V21" s="170"/>
      <c r="W21" s="112"/>
      <c r="X21" s="99"/>
      <c r="Y21" s="113">
        <f t="shared" si="3"/>
        <v>0</v>
      </c>
      <c r="Z21" s="169"/>
      <c r="AA21" s="170"/>
      <c r="AB21" s="112"/>
      <c r="AC21" s="99"/>
      <c r="AD21" s="113">
        <f t="shared" si="4"/>
        <v>0</v>
      </c>
      <c r="AE21" s="169"/>
      <c r="AF21" s="170"/>
      <c r="AG21" s="112"/>
      <c r="AH21" s="99"/>
      <c r="AI21" s="113">
        <f t="shared" si="5"/>
        <v>0</v>
      </c>
    </row>
    <row r="22" spans="2:35" ht="15" x14ac:dyDescent="0.2">
      <c r="B22" s="129">
        <f t="shared" si="6"/>
        <v>8</v>
      </c>
      <c r="C22" s="80" t="s">
        <v>359</v>
      </c>
      <c r="D22" s="192" t="s">
        <v>277</v>
      </c>
      <c r="E22" s="5" t="s">
        <v>108</v>
      </c>
      <c r="F22" s="169"/>
      <c r="G22" s="170"/>
      <c r="H22" s="112"/>
      <c r="I22" s="99"/>
      <c r="J22" s="113">
        <f t="shared" si="0"/>
        <v>0</v>
      </c>
      <c r="K22" s="169"/>
      <c r="L22" s="170"/>
      <c r="M22" s="112">
        <v>1653</v>
      </c>
      <c r="N22" s="99">
        <v>150556.23000000001</v>
      </c>
      <c r="O22" s="113">
        <f t="shared" si="1"/>
        <v>150556.23000000001</v>
      </c>
      <c r="P22" s="169"/>
      <c r="Q22" s="170"/>
      <c r="R22" s="112"/>
      <c r="S22" s="99"/>
      <c r="T22" s="113">
        <f t="shared" si="2"/>
        <v>0</v>
      </c>
      <c r="U22" s="169"/>
      <c r="V22" s="170"/>
      <c r="W22" s="112"/>
      <c r="X22" s="99"/>
      <c r="Y22" s="113">
        <f t="shared" si="3"/>
        <v>0</v>
      </c>
      <c r="Z22" s="169"/>
      <c r="AA22" s="170"/>
      <c r="AB22" s="112"/>
      <c r="AC22" s="99"/>
      <c r="AD22" s="113">
        <f t="shared" si="4"/>
        <v>0</v>
      </c>
      <c r="AE22" s="169"/>
      <c r="AF22" s="170"/>
      <c r="AG22" s="112"/>
      <c r="AH22" s="99"/>
      <c r="AI22" s="113">
        <f t="shared" si="5"/>
        <v>0</v>
      </c>
    </row>
    <row r="23" spans="2:35" ht="15" x14ac:dyDescent="0.2">
      <c r="B23" s="129">
        <f t="shared" si="6"/>
        <v>9</v>
      </c>
      <c r="C23" s="80" t="s">
        <v>307</v>
      </c>
      <c r="D23" s="81" t="s">
        <v>325</v>
      </c>
      <c r="E23" s="5" t="s">
        <v>108</v>
      </c>
      <c r="F23" s="169"/>
      <c r="G23" s="170"/>
      <c r="H23" s="112"/>
      <c r="I23" s="99"/>
      <c r="J23" s="113">
        <f t="shared" si="0"/>
        <v>0</v>
      </c>
      <c r="K23" s="169"/>
      <c r="L23" s="170"/>
      <c r="M23" s="112">
        <v>839.01</v>
      </c>
      <c r="N23" s="99">
        <v>27660.85</v>
      </c>
      <c r="O23" s="113">
        <f t="shared" si="1"/>
        <v>27660.85</v>
      </c>
      <c r="P23" s="169"/>
      <c r="Q23" s="170"/>
      <c r="R23" s="112"/>
      <c r="S23" s="99"/>
      <c r="T23" s="113">
        <f t="shared" si="2"/>
        <v>0</v>
      </c>
      <c r="U23" s="169"/>
      <c r="V23" s="170"/>
      <c r="W23" s="112"/>
      <c r="X23" s="99"/>
      <c r="Y23" s="113">
        <f t="shared" si="3"/>
        <v>0</v>
      </c>
      <c r="Z23" s="169"/>
      <c r="AA23" s="170"/>
      <c r="AB23" s="112"/>
      <c r="AC23" s="99"/>
      <c r="AD23" s="113">
        <f t="shared" si="4"/>
        <v>0</v>
      </c>
      <c r="AE23" s="169"/>
      <c r="AF23" s="170"/>
      <c r="AG23" s="112"/>
      <c r="AH23" s="99"/>
      <c r="AI23" s="113">
        <f t="shared" si="5"/>
        <v>0</v>
      </c>
    </row>
    <row r="24" spans="2:35" ht="15" x14ac:dyDescent="0.2">
      <c r="B24" s="129">
        <f t="shared" si="6"/>
        <v>10</v>
      </c>
      <c r="C24" s="80" t="s">
        <v>308</v>
      </c>
      <c r="D24" s="81" t="s">
        <v>277</v>
      </c>
      <c r="E24" s="5" t="s">
        <v>108</v>
      </c>
      <c r="F24" s="169"/>
      <c r="G24" s="170"/>
      <c r="H24" s="112"/>
      <c r="I24" s="99"/>
      <c r="J24" s="113">
        <f t="shared" si="0"/>
        <v>0</v>
      </c>
      <c r="K24" s="169"/>
      <c r="L24" s="170"/>
      <c r="M24" s="112">
        <v>1653</v>
      </c>
      <c r="N24" s="99">
        <v>68960.22</v>
      </c>
      <c r="O24" s="113">
        <f t="shared" si="1"/>
        <v>68960.22</v>
      </c>
      <c r="P24" s="169"/>
      <c r="Q24" s="170"/>
      <c r="R24" s="112"/>
      <c r="S24" s="99"/>
      <c r="T24" s="113">
        <f t="shared" si="2"/>
        <v>0</v>
      </c>
      <c r="U24" s="169"/>
      <c r="V24" s="170"/>
      <c r="W24" s="112"/>
      <c r="X24" s="99"/>
      <c r="Y24" s="113">
        <f t="shared" si="3"/>
        <v>0</v>
      </c>
      <c r="Z24" s="169"/>
      <c r="AA24" s="170"/>
      <c r="AB24" s="112"/>
      <c r="AC24" s="99"/>
      <c r="AD24" s="113">
        <f t="shared" si="4"/>
        <v>0</v>
      </c>
      <c r="AE24" s="169"/>
      <c r="AF24" s="170"/>
      <c r="AG24" s="112"/>
      <c r="AH24" s="99"/>
      <c r="AI24" s="113">
        <f t="shared" si="5"/>
        <v>0</v>
      </c>
    </row>
    <row r="25" spans="2:35" ht="15" x14ac:dyDescent="0.2">
      <c r="B25" s="129">
        <f t="shared" si="6"/>
        <v>11</v>
      </c>
      <c r="C25" s="80" t="s">
        <v>360</v>
      </c>
      <c r="D25" s="192" t="s">
        <v>368</v>
      </c>
      <c r="E25" s="5" t="s">
        <v>108</v>
      </c>
      <c r="F25" s="169"/>
      <c r="G25" s="170"/>
      <c r="H25" s="112"/>
      <c r="I25" s="99"/>
      <c r="J25" s="113">
        <f t="shared" si="0"/>
        <v>0</v>
      </c>
      <c r="K25" s="169"/>
      <c r="L25" s="170"/>
      <c r="M25" s="112">
        <v>1653</v>
      </c>
      <c r="N25" s="99">
        <v>75962.61</v>
      </c>
      <c r="O25" s="113">
        <f t="shared" si="1"/>
        <v>75962.61</v>
      </c>
      <c r="P25" s="169"/>
      <c r="Q25" s="170"/>
      <c r="R25" s="112"/>
      <c r="S25" s="99"/>
      <c r="T25" s="113">
        <f t="shared" si="2"/>
        <v>0</v>
      </c>
      <c r="U25" s="169"/>
      <c r="V25" s="170"/>
      <c r="W25" s="112"/>
      <c r="X25" s="99"/>
      <c r="Y25" s="113">
        <f t="shared" si="3"/>
        <v>0</v>
      </c>
      <c r="Z25" s="169"/>
      <c r="AA25" s="170"/>
      <c r="AB25" s="112"/>
      <c r="AC25" s="99"/>
      <c r="AD25" s="113">
        <f t="shared" si="4"/>
        <v>0</v>
      </c>
      <c r="AE25" s="169"/>
      <c r="AF25" s="170"/>
      <c r="AG25" s="112"/>
      <c r="AH25" s="99"/>
      <c r="AI25" s="113">
        <f t="shared" si="5"/>
        <v>0</v>
      </c>
    </row>
    <row r="26" spans="2:35" ht="15" x14ac:dyDescent="0.2">
      <c r="B26" s="129">
        <f t="shared" si="6"/>
        <v>12</v>
      </c>
      <c r="C26" s="80" t="s">
        <v>361</v>
      </c>
      <c r="D26" s="192" t="s">
        <v>277</v>
      </c>
      <c r="E26" s="5" t="s">
        <v>108</v>
      </c>
      <c r="F26" s="169"/>
      <c r="G26" s="170"/>
      <c r="H26" s="112"/>
      <c r="I26" s="99"/>
      <c r="J26" s="113">
        <f t="shared" ref="J26:J51" si="7">G26+I26</f>
        <v>0</v>
      </c>
      <c r="K26" s="169"/>
      <c r="L26" s="170"/>
      <c r="M26" s="112">
        <v>1653</v>
      </c>
      <c r="N26" s="99">
        <v>61761.15</v>
      </c>
      <c r="O26" s="113">
        <f t="shared" ref="O26:O51" si="8">L26+N26</f>
        <v>61761.15</v>
      </c>
      <c r="P26" s="169"/>
      <c r="Q26" s="170"/>
      <c r="R26" s="112"/>
      <c r="S26" s="99"/>
      <c r="T26" s="113">
        <f t="shared" ref="T26:T51" si="9">Q26+S26</f>
        <v>0</v>
      </c>
      <c r="U26" s="169"/>
      <c r="V26" s="170"/>
      <c r="W26" s="112"/>
      <c r="X26" s="99"/>
      <c r="Y26" s="113">
        <f t="shared" ref="Y26:Y51" si="10">V26+X26</f>
        <v>0</v>
      </c>
      <c r="Z26" s="169"/>
      <c r="AA26" s="170"/>
      <c r="AB26" s="112"/>
      <c r="AC26" s="99"/>
      <c r="AD26" s="113">
        <f t="shared" ref="AD26:AD51" si="11">AA26+AC26</f>
        <v>0</v>
      </c>
      <c r="AE26" s="169"/>
      <c r="AF26" s="170"/>
      <c r="AG26" s="112"/>
      <c r="AH26" s="99"/>
      <c r="AI26" s="113">
        <f t="shared" ref="AI26:AI51" si="12">AF26+AH26</f>
        <v>0</v>
      </c>
    </row>
    <row r="27" spans="2:35" ht="15" x14ac:dyDescent="0.2">
      <c r="B27" s="129">
        <f t="shared" si="6"/>
        <v>13</v>
      </c>
      <c r="C27" s="80" t="s">
        <v>309</v>
      </c>
      <c r="D27" s="192" t="s">
        <v>327</v>
      </c>
      <c r="E27" s="5" t="s">
        <v>108</v>
      </c>
      <c r="F27" s="169"/>
      <c r="G27" s="170"/>
      <c r="H27" s="112"/>
      <c r="I27" s="99"/>
      <c r="J27" s="113">
        <f t="shared" ref="J27:J45" si="13">G27+I27</f>
        <v>0</v>
      </c>
      <c r="K27" s="169"/>
      <c r="L27" s="170"/>
      <c r="M27" s="112">
        <v>1653</v>
      </c>
      <c r="N27" s="99">
        <v>72098.92</v>
      </c>
      <c r="O27" s="113">
        <f t="shared" ref="O27:O45" si="14">L27+N27</f>
        <v>72098.92</v>
      </c>
      <c r="P27" s="169"/>
      <c r="Q27" s="170"/>
      <c r="R27" s="112"/>
      <c r="S27" s="99"/>
      <c r="T27" s="113">
        <f t="shared" ref="T27:T45" si="15">Q27+S27</f>
        <v>0</v>
      </c>
      <c r="U27" s="169"/>
      <c r="V27" s="170"/>
      <c r="W27" s="112"/>
      <c r="X27" s="99"/>
      <c r="Y27" s="113">
        <f t="shared" ref="Y27:Y45" si="16">V27+X27</f>
        <v>0</v>
      </c>
      <c r="Z27" s="169"/>
      <c r="AA27" s="170"/>
      <c r="AB27" s="112"/>
      <c r="AC27" s="99"/>
      <c r="AD27" s="113">
        <f t="shared" ref="AD27:AD45" si="17">AA27+AC27</f>
        <v>0</v>
      </c>
      <c r="AE27" s="169"/>
      <c r="AF27" s="170"/>
      <c r="AG27" s="112"/>
      <c r="AH27" s="99"/>
      <c r="AI27" s="113">
        <f t="shared" ref="AI27:AI45" si="18">AF27+AH27</f>
        <v>0</v>
      </c>
    </row>
    <row r="28" spans="2:35" ht="15" x14ac:dyDescent="0.2">
      <c r="B28" s="129">
        <f t="shared" si="6"/>
        <v>14</v>
      </c>
      <c r="C28" s="80" t="s">
        <v>310</v>
      </c>
      <c r="D28" s="192" t="s">
        <v>328</v>
      </c>
      <c r="E28" s="5" t="s">
        <v>108</v>
      </c>
      <c r="F28" s="169"/>
      <c r="G28" s="170"/>
      <c r="H28" s="112"/>
      <c r="I28" s="99"/>
      <c r="J28" s="113">
        <f t="shared" si="13"/>
        <v>0</v>
      </c>
      <c r="K28" s="169"/>
      <c r="L28" s="170"/>
      <c r="M28" s="112">
        <v>1653</v>
      </c>
      <c r="N28" s="99">
        <v>69812.539999999994</v>
      </c>
      <c r="O28" s="113">
        <f t="shared" si="14"/>
        <v>69812.539999999994</v>
      </c>
      <c r="P28" s="169"/>
      <c r="Q28" s="170"/>
      <c r="R28" s="112"/>
      <c r="S28" s="99"/>
      <c r="T28" s="113">
        <f t="shared" si="15"/>
        <v>0</v>
      </c>
      <c r="U28" s="169"/>
      <c r="V28" s="170"/>
      <c r="W28" s="112"/>
      <c r="X28" s="99"/>
      <c r="Y28" s="113">
        <f t="shared" si="16"/>
        <v>0</v>
      </c>
      <c r="Z28" s="169"/>
      <c r="AA28" s="170"/>
      <c r="AB28" s="112"/>
      <c r="AC28" s="99"/>
      <c r="AD28" s="113">
        <f t="shared" si="17"/>
        <v>0</v>
      </c>
      <c r="AE28" s="169"/>
      <c r="AF28" s="170"/>
      <c r="AG28" s="112"/>
      <c r="AH28" s="99"/>
      <c r="AI28" s="113">
        <f t="shared" si="18"/>
        <v>0</v>
      </c>
    </row>
    <row r="29" spans="2:35" ht="15" x14ac:dyDescent="0.2">
      <c r="B29" s="129">
        <f t="shared" si="6"/>
        <v>15</v>
      </c>
      <c r="C29" s="80" t="s">
        <v>311</v>
      </c>
      <c r="D29" s="192" t="s">
        <v>277</v>
      </c>
      <c r="E29" s="5" t="s">
        <v>108</v>
      </c>
      <c r="F29" s="169"/>
      <c r="G29" s="170"/>
      <c r="H29" s="112"/>
      <c r="I29" s="99"/>
      <c r="J29" s="113">
        <f t="shared" si="13"/>
        <v>0</v>
      </c>
      <c r="K29" s="169"/>
      <c r="L29" s="170"/>
      <c r="M29" s="112">
        <v>1653</v>
      </c>
      <c r="N29" s="99">
        <v>71598.350000000006</v>
      </c>
      <c r="O29" s="113">
        <f t="shared" si="14"/>
        <v>71598.350000000006</v>
      </c>
      <c r="P29" s="169"/>
      <c r="Q29" s="170"/>
      <c r="R29" s="112"/>
      <c r="S29" s="99"/>
      <c r="T29" s="113">
        <f t="shared" si="15"/>
        <v>0</v>
      </c>
      <c r="U29" s="169"/>
      <c r="V29" s="170"/>
      <c r="W29" s="112"/>
      <c r="X29" s="99"/>
      <c r="Y29" s="113">
        <f t="shared" si="16"/>
        <v>0</v>
      </c>
      <c r="Z29" s="169"/>
      <c r="AA29" s="170"/>
      <c r="AB29" s="112"/>
      <c r="AC29" s="99"/>
      <c r="AD29" s="113">
        <f t="shared" si="17"/>
        <v>0</v>
      </c>
      <c r="AE29" s="169"/>
      <c r="AF29" s="170"/>
      <c r="AG29" s="112"/>
      <c r="AH29" s="99"/>
      <c r="AI29" s="113">
        <f t="shared" si="18"/>
        <v>0</v>
      </c>
    </row>
    <row r="30" spans="2:35" ht="15" x14ac:dyDescent="0.2">
      <c r="B30" s="129">
        <f t="shared" si="6"/>
        <v>16</v>
      </c>
      <c r="C30" s="80" t="s">
        <v>362</v>
      </c>
      <c r="D30" s="192" t="s">
        <v>277</v>
      </c>
      <c r="E30" s="5" t="s">
        <v>108</v>
      </c>
      <c r="F30" s="169"/>
      <c r="G30" s="170"/>
      <c r="H30" s="112"/>
      <c r="I30" s="99"/>
      <c r="J30" s="113">
        <f t="shared" si="13"/>
        <v>0</v>
      </c>
      <c r="K30" s="169"/>
      <c r="L30" s="170"/>
      <c r="M30" s="112">
        <v>1653</v>
      </c>
      <c r="N30" s="99">
        <v>67006.69</v>
      </c>
      <c r="O30" s="113">
        <f t="shared" si="14"/>
        <v>67006.69</v>
      </c>
      <c r="P30" s="169"/>
      <c r="Q30" s="170"/>
      <c r="R30" s="112"/>
      <c r="S30" s="99"/>
      <c r="T30" s="113">
        <f t="shared" si="15"/>
        <v>0</v>
      </c>
      <c r="U30" s="169"/>
      <c r="V30" s="170"/>
      <c r="W30" s="112"/>
      <c r="X30" s="99"/>
      <c r="Y30" s="113">
        <f t="shared" si="16"/>
        <v>0</v>
      </c>
      <c r="Z30" s="169"/>
      <c r="AA30" s="170"/>
      <c r="AB30" s="112"/>
      <c r="AC30" s="99"/>
      <c r="AD30" s="113">
        <f t="shared" si="17"/>
        <v>0</v>
      </c>
      <c r="AE30" s="169"/>
      <c r="AF30" s="170"/>
      <c r="AG30" s="112"/>
      <c r="AH30" s="99"/>
      <c r="AI30" s="113">
        <f t="shared" si="18"/>
        <v>0</v>
      </c>
    </row>
    <row r="31" spans="2:35" ht="15" x14ac:dyDescent="0.2">
      <c r="B31" s="129">
        <f t="shared" si="6"/>
        <v>17</v>
      </c>
      <c r="C31" s="80" t="s">
        <v>363</v>
      </c>
      <c r="D31" s="192" t="s">
        <v>327</v>
      </c>
      <c r="E31" s="5" t="s">
        <v>108</v>
      </c>
      <c r="F31" s="169"/>
      <c r="G31" s="170"/>
      <c r="H31" s="112"/>
      <c r="I31" s="99"/>
      <c r="J31" s="113">
        <f t="shared" si="13"/>
        <v>0</v>
      </c>
      <c r="K31" s="169"/>
      <c r="L31" s="170"/>
      <c r="M31" s="112">
        <v>1358.63</v>
      </c>
      <c r="N31" s="99">
        <v>49383.33</v>
      </c>
      <c r="O31" s="113">
        <f t="shared" si="14"/>
        <v>49383.33</v>
      </c>
      <c r="P31" s="169"/>
      <c r="Q31" s="170"/>
      <c r="R31" s="112"/>
      <c r="S31" s="99"/>
      <c r="T31" s="113">
        <f t="shared" si="15"/>
        <v>0</v>
      </c>
      <c r="U31" s="169"/>
      <c r="V31" s="170"/>
      <c r="W31" s="112"/>
      <c r="X31" s="99"/>
      <c r="Y31" s="113">
        <f t="shared" si="16"/>
        <v>0</v>
      </c>
      <c r="Z31" s="169"/>
      <c r="AA31" s="170"/>
      <c r="AB31" s="112"/>
      <c r="AC31" s="99"/>
      <c r="AD31" s="113">
        <f t="shared" si="17"/>
        <v>0</v>
      </c>
      <c r="AE31" s="169"/>
      <c r="AF31" s="170"/>
      <c r="AG31" s="112"/>
      <c r="AH31" s="99"/>
      <c r="AI31" s="113">
        <f t="shared" si="18"/>
        <v>0</v>
      </c>
    </row>
    <row r="32" spans="2:35" ht="15" x14ac:dyDescent="0.2">
      <c r="B32" s="129">
        <f t="shared" si="6"/>
        <v>18</v>
      </c>
      <c r="C32" s="80" t="s">
        <v>312</v>
      </c>
      <c r="D32" s="192" t="s">
        <v>285</v>
      </c>
      <c r="E32" s="5" t="s">
        <v>108</v>
      </c>
      <c r="F32" s="169"/>
      <c r="G32" s="170"/>
      <c r="H32" s="112"/>
      <c r="I32" s="99"/>
      <c r="J32" s="113">
        <f t="shared" si="13"/>
        <v>0</v>
      </c>
      <c r="K32" s="169"/>
      <c r="L32" s="170"/>
      <c r="M32" s="112">
        <v>1653</v>
      </c>
      <c r="N32" s="99">
        <v>65015.48</v>
      </c>
      <c r="O32" s="113">
        <f t="shared" si="14"/>
        <v>65015.48</v>
      </c>
      <c r="P32" s="169"/>
      <c r="Q32" s="170"/>
      <c r="R32" s="112"/>
      <c r="S32" s="99"/>
      <c r="T32" s="113">
        <f t="shared" si="15"/>
        <v>0</v>
      </c>
      <c r="U32" s="169"/>
      <c r="V32" s="170"/>
      <c r="W32" s="112"/>
      <c r="X32" s="99"/>
      <c r="Y32" s="113">
        <f t="shared" si="16"/>
        <v>0</v>
      </c>
      <c r="Z32" s="169"/>
      <c r="AA32" s="170"/>
      <c r="AB32" s="112"/>
      <c r="AC32" s="99"/>
      <c r="AD32" s="113">
        <f t="shared" si="17"/>
        <v>0</v>
      </c>
      <c r="AE32" s="169"/>
      <c r="AF32" s="170"/>
      <c r="AG32" s="112"/>
      <c r="AH32" s="99"/>
      <c r="AI32" s="113">
        <f t="shared" si="18"/>
        <v>0</v>
      </c>
    </row>
    <row r="33" spans="2:35" ht="15" x14ac:dyDescent="0.2">
      <c r="B33" s="129">
        <f t="shared" si="6"/>
        <v>19</v>
      </c>
      <c r="C33" s="80" t="s">
        <v>313</v>
      </c>
      <c r="D33" s="192" t="s">
        <v>329</v>
      </c>
      <c r="E33" s="5" t="s">
        <v>108</v>
      </c>
      <c r="F33" s="169"/>
      <c r="G33" s="170"/>
      <c r="H33" s="112"/>
      <c r="I33" s="99"/>
      <c r="J33" s="113">
        <f t="shared" si="13"/>
        <v>0</v>
      </c>
      <c r="K33" s="169"/>
      <c r="L33" s="170"/>
      <c r="M33" s="112">
        <v>1392</v>
      </c>
      <c r="N33" s="99">
        <v>48695.41</v>
      </c>
      <c r="O33" s="113">
        <f t="shared" si="14"/>
        <v>48695.41</v>
      </c>
      <c r="P33" s="169"/>
      <c r="Q33" s="170"/>
      <c r="R33" s="112"/>
      <c r="S33" s="99"/>
      <c r="T33" s="113">
        <f t="shared" si="15"/>
        <v>0</v>
      </c>
      <c r="U33" s="169"/>
      <c r="V33" s="170"/>
      <c r="W33" s="112"/>
      <c r="X33" s="99"/>
      <c r="Y33" s="113">
        <f t="shared" si="16"/>
        <v>0</v>
      </c>
      <c r="Z33" s="169"/>
      <c r="AA33" s="170"/>
      <c r="AB33" s="112"/>
      <c r="AC33" s="99"/>
      <c r="AD33" s="113">
        <f t="shared" si="17"/>
        <v>0</v>
      </c>
      <c r="AE33" s="169"/>
      <c r="AF33" s="170"/>
      <c r="AG33" s="112"/>
      <c r="AH33" s="99"/>
      <c r="AI33" s="113">
        <f t="shared" si="18"/>
        <v>0</v>
      </c>
    </row>
    <row r="34" spans="2:35" ht="28.5" x14ac:dyDescent="0.2">
      <c r="B34" s="129">
        <f t="shared" si="6"/>
        <v>20</v>
      </c>
      <c r="C34" s="80" t="s">
        <v>314</v>
      </c>
      <c r="D34" s="192" t="s">
        <v>330</v>
      </c>
      <c r="E34" s="5" t="s">
        <v>108</v>
      </c>
      <c r="F34" s="169"/>
      <c r="G34" s="170"/>
      <c r="H34" s="112"/>
      <c r="I34" s="99"/>
      <c r="J34" s="113">
        <f t="shared" si="13"/>
        <v>0</v>
      </c>
      <c r="K34" s="169"/>
      <c r="L34" s="170"/>
      <c r="M34" s="112">
        <v>1653</v>
      </c>
      <c r="N34" s="99">
        <v>69976.639999999999</v>
      </c>
      <c r="O34" s="113">
        <f t="shared" si="14"/>
        <v>69976.639999999999</v>
      </c>
      <c r="P34" s="169"/>
      <c r="Q34" s="170"/>
      <c r="R34" s="112"/>
      <c r="S34" s="99"/>
      <c r="T34" s="113">
        <f t="shared" si="15"/>
        <v>0</v>
      </c>
      <c r="U34" s="169"/>
      <c r="V34" s="170"/>
      <c r="W34" s="112"/>
      <c r="X34" s="99"/>
      <c r="Y34" s="113">
        <f t="shared" si="16"/>
        <v>0</v>
      </c>
      <c r="Z34" s="169"/>
      <c r="AA34" s="170"/>
      <c r="AB34" s="112"/>
      <c r="AC34" s="99"/>
      <c r="AD34" s="113">
        <f t="shared" si="17"/>
        <v>0</v>
      </c>
      <c r="AE34" s="169"/>
      <c r="AF34" s="170"/>
      <c r="AG34" s="112"/>
      <c r="AH34" s="99"/>
      <c r="AI34" s="113">
        <f t="shared" si="18"/>
        <v>0</v>
      </c>
    </row>
    <row r="35" spans="2:35" ht="15" x14ac:dyDescent="0.2">
      <c r="B35" s="129">
        <f t="shared" si="6"/>
        <v>21</v>
      </c>
      <c r="C35" s="80" t="s">
        <v>279</v>
      </c>
      <c r="D35" s="192" t="s">
        <v>284</v>
      </c>
      <c r="E35" s="5" t="s">
        <v>108</v>
      </c>
      <c r="F35" s="169"/>
      <c r="G35" s="170"/>
      <c r="H35" s="112"/>
      <c r="I35" s="99"/>
      <c r="J35" s="113">
        <f t="shared" si="13"/>
        <v>0</v>
      </c>
      <c r="K35" s="169"/>
      <c r="L35" s="170"/>
      <c r="M35" s="112">
        <v>1653</v>
      </c>
      <c r="N35" s="99">
        <v>75486.02</v>
      </c>
      <c r="O35" s="113">
        <f t="shared" si="14"/>
        <v>75486.02</v>
      </c>
      <c r="P35" s="169"/>
      <c r="Q35" s="170"/>
      <c r="R35" s="112"/>
      <c r="S35" s="99"/>
      <c r="T35" s="113">
        <f t="shared" si="15"/>
        <v>0</v>
      </c>
      <c r="U35" s="169"/>
      <c r="V35" s="170"/>
      <c r="W35" s="112"/>
      <c r="X35" s="99"/>
      <c r="Y35" s="113">
        <f t="shared" si="16"/>
        <v>0</v>
      </c>
      <c r="Z35" s="169"/>
      <c r="AA35" s="170"/>
      <c r="AB35" s="112"/>
      <c r="AC35" s="99"/>
      <c r="AD35" s="113">
        <f t="shared" si="17"/>
        <v>0</v>
      </c>
      <c r="AE35" s="169"/>
      <c r="AF35" s="170"/>
      <c r="AG35" s="112"/>
      <c r="AH35" s="99"/>
      <c r="AI35" s="113">
        <f t="shared" si="18"/>
        <v>0</v>
      </c>
    </row>
    <row r="36" spans="2:35" ht="15" x14ac:dyDescent="0.2">
      <c r="B36" s="129">
        <f t="shared" si="6"/>
        <v>22</v>
      </c>
      <c r="C36" s="80" t="s">
        <v>315</v>
      </c>
      <c r="D36" s="192" t="s">
        <v>331</v>
      </c>
      <c r="E36" s="5" t="s">
        <v>108</v>
      </c>
      <c r="F36" s="169"/>
      <c r="G36" s="170"/>
      <c r="H36" s="112"/>
      <c r="I36" s="99"/>
      <c r="J36" s="113">
        <f t="shared" si="13"/>
        <v>0</v>
      </c>
      <c r="K36" s="169"/>
      <c r="L36" s="170"/>
      <c r="M36" s="112">
        <v>1392</v>
      </c>
      <c r="N36" s="99">
        <v>42515.839999999997</v>
      </c>
      <c r="O36" s="113">
        <f t="shared" si="14"/>
        <v>42515.839999999997</v>
      </c>
      <c r="P36" s="169"/>
      <c r="Q36" s="170"/>
      <c r="R36" s="112"/>
      <c r="S36" s="99"/>
      <c r="T36" s="113">
        <f t="shared" si="15"/>
        <v>0</v>
      </c>
      <c r="U36" s="169"/>
      <c r="V36" s="170"/>
      <c r="W36" s="112"/>
      <c r="X36" s="99"/>
      <c r="Y36" s="113">
        <f t="shared" si="16"/>
        <v>0</v>
      </c>
      <c r="Z36" s="169"/>
      <c r="AA36" s="170"/>
      <c r="AB36" s="112"/>
      <c r="AC36" s="99"/>
      <c r="AD36" s="113">
        <f t="shared" si="17"/>
        <v>0</v>
      </c>
      <c r="AE36" s="169"/>
      <c r="AF36" s="170"/>
      <c r="AG36" s="112"/>
      <c r="AH36" s="99"/>
      <c r="AI36" s="113">
        <f t="shared" si="18"/>
        <v>0</v>
      </c>
    </row>
    <row r="37" spans="2:35" ht="15" x14ac:dyDescent="0.2">
      <c r="B37" s="129">
        <f t="shared" si="6"/>
        <v>23</v>
      </c>
      <c r="C37" s="80" t="s">
        <v>316</v>
      </c>
      <c r="D37" s="192" t="s">
        <v>332</v>
      </c>
      <c r="E37" s="5" t="s">
        <v>108</v>
      </c>
      <c r="F37" s="169"/>
      <c r="G37" s="170"/>
      <c r="H37" s="112"/>
      <c r="I37" s="99"/>
      <c r="J37" s="113">
        <f t="shared" si="13"/>
        <v>0</v>
      </c>
      <c r="K37" s="169"/>
      <c r="L37" s="170"/>
      <c r="M37" s="112">
        <v>1653</v>
      </c>
      <c r="N37" s="99">
        <v>74192.759999999995</v>
      </c>
      <c r="O37" s="113">
        <f t="shared" si="14"/>
        <v>74192.759999999995</v>
      </c>
      <c r="P37" s="169"/>
      <c r="Q37" s="170"/>
      <c r="R37" s="112"/>
      <c r="S37" s="99"/>
      <c r="T37" s="113">
        <f t="shared" si="15"/>
        <v>0</v>
      </c>
      <c r="U37" s="169"/>
      <c r="V37" s="170"/>
      <c r="W37" s="112"/>
      <c r="X37" s="99"/>
      <c r="Y37" s="113">
        <f t="shared" si="16"/>
        <v>0</v>
      </c>
      <c r="Z37" s="169"/>
      <c r="AA37" s="170"/>
      <c r="AB37" s="112"/>
      <c r="AC37" s="99"/>
      <c r="AD37" s="113">
        <f t="shared" si="17"/>
        <v>0</v>
      </c>
      <c r="AE37" s="169"/>
      <c r="AF37" s="170"/>
      <c r="AG37" s="112"/>
      <c r="AH37" s="99"/>
      <c r="AI37" s="113">
        <f t="shared" si="18"/>
        <v>0</v>
      </c>
    </row>
    <row r="38" spans="2:35" ht="15" x14ac:dyDescent="0.2">
      <c r="B38" s="129">
        <f t="shared" si="6"/>
        <v>24</v>
      </c>
      <c r="C38" s="80" t="s">
        <v>317</v>
      </c>
      <c r="D38" s="192" t="s">
        <v>327</v>
      </c>
      <c r="E38" s="5" t="s">
        <v>108</v>
      </c>
      <c r="F38" s="169"/>
      <c r="G38" s="170"/>
      <c r="H38" s="112"/>
      <c r="I38" s="99"/>
      <c r="J38" s="113">
        <f t="shared" si="13"/>
        <v>0</v>
      </c>
      <c r="K38" s="169"/>
      <c r="L38" s="170"/>
      <c r="M38" s="112">
        <v>1653</v>
      </c>
      <c r="N38" s="99">
        <v>64204.6</v>
      </c>
      <c r="O38" s="113">
        <f t="shared" si="14"/>
        <v>64204.6</v>
      </c>
      <c r="P38" s="169"/>
      <c r="Q38" s="170"/>
      <c r="R38" s="112"/>
      <c r="S38" s="99"/>
      <c r="T38" s="113">
        <f t="shared" si="15"/>
        <v>0</v>
      </c>
      <c r="U38" s="169"/>
      <c r="V38" s="170"/>
      <c r="W38" s="112"/>
      <c r="X38" s="99"/>
      <c r="Y38" s="113">
        <f t="shared" si="16"/>
        <v>0</v>
      </c>
      <c r="Z38" s="169"/>
      <c r="AA38" s="170"/>
      <c r="AB38" s="112"/>
      <c r="AC38" s="99"/>
      <c r="AD38" s="113">
        <f t="shared" si="17"/>
        <v>0</v>
      </c>
      <c r="AE38" s="169"/>
      <c r="AF38" s="170"/>
      <c r="AG38" s="112"/>
      <c r="AH38" s="99"/>
      <c r="AI38" s="113">
        <f t="shared" si="18"/>
        <v>0</v>
      </c>
    </row>
    <row r="39" spans="2:35" ht="15" x14ac:dyDescent="0.2">
      <c r="B39" s="129">
        <f t="shared" si="6"/>
        <v>25</v>
      </c>
      <c r="C39" s="80" t="s">
        <v>364</v>
      </c>
      <c r="D39" s="192" t="s">
        <v>332</v>
      </c>
      <c r="E39" s="5" t="s">
        <v>108</v>
      </c>
      <c r="F39" s="169"/>
      <c r="G39" s="170"/>
      <c r="H39" s="112"/>
      <c r="I39" s="99"/>
      <c r="J39" s="113">
        <f t="shared" si="13"/>
        <v>0</v>
      </c>
      <c r="K39" s="169"/>
      <c r="L39" s="170"/>
      <c r="M39" s="112">
        <v>1653</v>
      </c>
      <c r="N39" s="99">
        <v>81195.02</v>
      </c>
      <c r="O39" s="113">
        <f t="shared" si="14"/>
        <v>81195.02</v>
      </c>
      <c r="P39" s="169"/>
      <c r="Q39" s="170"/>
      <c r="R39" s="112"/>
      <c r="S39" s="99"/>
      <c r="T39" s="113">
        <f t="shared" si="15"/>
        <v>0</v>
      </c>
      <c r="U39" s="169"/>
      <c r="V39" s="170"/>
      <c r="W39" s="112"/>
      <c r="X39" s="99"/>
      <c r="Y39" s="113">
        <f t="shared" si="16"/>
        <v>0</v>
      </c>
      <c r="Z39" s="169"/>
      <c r="AA39" s="170"/>
      <c r="AB39" s="112"/>
      <c r="AC39" s="99"/>
      <c r="AD39" s="113">
        <f t="shared" si="17"/>
        <v>0</v>
      </c>
      <c r="AE39" s="169"/>
      <c r="AF39" s="170"/>
      <c r="AG39" s="112"/>
      <c r="AH39" s="99"/>
      <c r="AI39" s="113">
        <f t="shared" si="18"/>
        <v>0</v>
      </c>
    </row>
    <row r="40" spans="2:35" ht="28.5" x14ac:dyDescent="0.2">
      <c r="B40" s="129">
        <f t="shared" si="6"/>
        <v>26</v>
      </c>
      <c r="C40" s="80" t="s">
        <v>365</v>
      </c>
      <c r="D40" s="192" t="s">
        <v>369</v>
      </c>
      <c r="E40" s="5" t="s">
        <v>108</v>
      </c>
      <c r="F40" s="169"/>
      <c r="G40" s="170"/>
      <c r="H40" s="112"/>
      <c r="I40" s="99"/>
      <c r="J40" s="113">
        <f t="shared" si="13"/>
        <v>0</v>
      </c>
      <c r="K40" s="169"/>
      <c r="L40" s="170"/>
      <c r="M40" s="112">
        <v>1653</v>
      </c>
      <c r="N40" s="99">
        <v>72809.3</v>
      </c>
      <c r="O40" s="113">
        <f t="shared" si="14"/>
        <v>72809.3</v>
      </c>
      <c r="P40" s="169"/>
      <c r="Q40" s="170"/>
      <c r="R40" s="112"/>
      <c r="S40" s="99"/>
      <c r="T40" s="113">
        <f t="shared" si="15"/>
        <v>0</v>
      </c>
      <c r="U40" s="169"/>
      <c r="V40" s="170"/>
      <c r="W40" s="112"/>
      <c r="X40" s="99"/>
      <c r="Y40" s="113">
        <f t="shared" si="16"/>
        <v>0</v>
      </c>
      <c r="Z40" s="169"/>
      <c r="AA40" s="170"/>
      <c r="AB40" s="112"/>
      <c r="AC40" s="99"/>
      <c r="AD40" s="113">
        <f t="shared" si="17"/>
        <v>0</v>
      </c>
      <c r="AE40" s="169"/>
      <c r="AF40" s="170"/>
      <c r="AG40" s="112"/>
      <c r="AH40" s="99"/>
      <c r="AI40" s="113">
        <f t="shared" si="18"/>
        <v>0</v>
      </c>
    </row>
    <row r="41" spans="2:35" ht="15" x14ac:dyDescent="0.2">
      <c r="B41" s="129">
        <f t="shared" si="6"/>
        <v>27</v>
      </c>
      <c r="C41" s="80" t="s">
        <v>280</v>
      </c>
      <c r="D41" s="81" t="s">
        <v>285</v>
      </c>
      <c r="E41" s="5" t="s">
        <v>108</v>
      </c>
      <c r="F41" s="169"/>
      <c r="G41" s="170"/>
      <c r="H41" s="112"/>
      <c r="I41" s="99"/>
      <c r="J41" s="113">
        <f t="shared" si="13"/>
        <v>0</v>
      </c>
      <c r="K41" s="169"/>
      <c r="L41" s="170"/>
      <c r="M41" s="112">
        <v>1653</v>
      </c>
      <c r="N41" s="99">
        <v>72765.14</v>
      </c>
      <c r="O41" s="113">
        <f t="shared" si="14"/>
        <v>72765.14</v>
      </c>
      <c r="P41" s="169"/>
      <c r="Q41" s="170"/>
      <c r="R41" s="112"/>
      <c r="S41" s="99"/>
      <c r="T41" s="113">
        <f t="shared" si="15"/>
        <v>0</v>
      </c>
      <c r="U41" s="169"/>
      <c r="V41" s="170"/>
      <c r="W41" s="112"/>
      <c r="X41" s="99"/>
      <c r="Y41" s="113">
        <f t="shared" si="16"/>
        <v>0</v>
      </c>
      <c r="Z41" s="169"/>
      <c r="AA41" s="170"/>
      <c r="AB41" s="112"/>
      <c r="AC41" s="99"/>
      <c r="AD41" s="113">
        <f t="shared" si="17"/>
        <v>0</v>
      </c>
      <c r="AE41" s="169"/>
      <c r="AF41" s="170"/>
      <c r="AG41" s="112"/>
      <c r="AH41" s="99"/>
      <c r="AI41" s="113">
        <f t="shared" si="18"/>
        <v>0</v>
      </c>
    </row>
    <row r="42" spans="2:35" ht="15" x14ac:dyDescent="0.2">
      <c r="B42" s="129">
        <f t="shared" si="6"/>
        <v>28</v>
      </c>
      <c r="C42" s="80" t="s">
        <v>318</v>
      </c>
      <c r="D42" s="192" t="s">
        <v>277</v>
      </c>
      <c r="E42" s="5" t="s">
        <v>108</v>
      </c>
      <c r="F42" s="169"/>
      <c r="G42" s="170"/>
      <c r="H42" s="112"/>
      <c r="I42" s="99"/>
      <c r="J42" s="113">
        <f t="shared" si="13"/>
        <v>0</v>
      </c>
      <c r="K42" s="169"/>
      <c r="L42" s="170"/>
      <c r="M42" s="112">
        <v>1653</v>
      </c>
      <c r="N42" s="99">
        <v>63216.78</v>
      </c>
      <c r="O42" s="113">
        <f t="shared" si="14"/>
        <v>63216.78</v>
      </c>
      <c r="P42" s="169"/>
      <c r="Q42" s="170"/>
      <c r="R42" s="112"/>
      <c r="S42" s="99"/>
      <c r="T42" s="113">
        <f t="shared" si="15"/>
        <v>0</v>
      </c>
      <c r="U42" s="169"/>
      <c r="V42" s="170"/>
      <c r="W42" s="112"/>
      <c r="X42" s="99"/>
      <c r="Y42" s="113">
        <f t="shared" si="16"/>
        <v>0</v>
      </c>
      <c r="Z42" s="169"/>
      <c r="AA42" s="170"/>
      <c r="AB42" s="112"/>
      <c r="AC42" s="99"/>
      <c r="AD42" s="113">
        <f t="shared" si="17"/>
        <v>0</v>
      </c>
      <c r="AE42" s="169"/>
      <c r="AF42" s="170"/>
      <c r="AG42" s="112"/>
      <c r="AH42" s="99"/>
      <c r="AI42" s="113">
        <f t="shared" si="18"/>
        <v>0</v>
      </c>
    </row>
    <row r="43" spans="2:35" ht="15" x14ac:dyDescent="0.2">
      <c r="B43" s="129">
        <f t="shared" si="6"/>
        <v>29</v>
      </c>
      <c r="C43" s="80" t="s">
        <v>281</v>
      </c>
      <c r="D43" s="81" t="s">
        <v>277</v>
      </c>
      <c r="E43" s="5" t="s">
        <v>108</v>
      </c>
      <c r="F43" s="169"/>
      <c r="G43" s="170"/>
      <c r="H43" s="112"/>
      <c r="I43" s="99"/>
      <c r="J43" s="113">
        <f t="shared" si="13"/>
        <v>0</v>
      </c>
      <c r="K43" s="169"/>
      <c r="L43" s="170"/>
      <c r="M43" s="112">
        <v>1311.64</v>
      </c>
      <c r="N43" s="99">
        <v>58426.54</v>
      </c>
      <c r="O43" s="113">
        <f t="shared" si="14"/>
        <v>58426.54</v>
      </c>
      <c r="P43" s="169"/>
      <c r="Q43" s="170"/>
      <c r="R43" s="112"/>
      <c r="S43" s="99"/>
      <c r="T43" s="113">
        <f t="shared" si="15"/>
        <v>0</v>
      </c>
      <c r="U43" s="169"/>
      <c r="V43" s="170"/>
      <c r="W43" s="112"/>
      <c r="X43" s="99"/>
      <c r="Y43" s="113">
        <f t="shared" si="16"/>
        <v>0</v>
      </c>
      <c r="Z43" s="169"/>
      <c r="AA43" s="170"/>
      <c r="AB43" s="112"/>
      <c r="AC43" s="99"/>
      <c r="AD43" s="113">
        <f t="shared" si="17"/>
        <v>0</v>
      </c>
      <c r="AE43" s="169"/>
      <c r="AF43" s="170"/>
      <c r="AG43" s="112"/>
      <c r="AH43" s="99"/>
      <c r="AI43" s="113">
        <f t="shared" si="18"/>
        <v>0</v>
      </c>
    </row>
    <row r="44" spans="2:35" ht="15" x14ac:dyDescent="0.2">
      <c r="B44" s="129">
        <f t="shared" si="6"/>
        <v>30</v>
      </c>
      <c r="C44" s="80" t="s">
        <v>366</v>
      </c>
      <c r="D44" s="81" t="s">
        <v>327</v>
      </c>
      <c r="E44" s="5" t="s">
        <v>108</v>
      </c>
      <c r="F44" s="169"/>
      <c r="G44" s="170"/>
      <c r="H44" s="112"/>
      <c r="I44" s="99"/>
      <c r="J44" s="113">
        <f t="shared" si="13"/>
        <v>0</v>
      </c>
      <c r="K44" s="169"/>
      <c r="L44" s="170"/>
      <c r="M44" s="112">
        <v>1392</v>
      </c>
      <c r="N44" s="99">
        <v>73281.98</v>
      </c>
      <c r="O44" s="113">
        <f t="shared" si="14"/>
        <v>73281.98</v>
      </c>
      <c r="P44" s="169"/>
      <c r="Q44" s="170"/>
      <c r="R44" s="112"/>
      <c r="S44" s="99"/>
      <c r="T44" s="113">
        <f t="shared" si="15"/>
        <v>0</v>
      </c>
      <c r="U44" s="169"/>
      <c r="V44" s="170"/>
      <c r="W44" s="112"/>
      <c r="X44" s="99"/>
      <c r="Y44" s="113">
        <f t="shared" si="16"/>
        <v>0</v>
      </c>
      <c r="Z44" s="169"/>
      <c r="AA44" s="170"/>
      <c r="AB44" s="112"/>
      <c r="AC44" s="99"/>
      <c r="AD44" s="113">
        <f t="shared" si="17"/>
        <v>0</v>
      </c>
      <c r="AE44" s="169"/>
      <c r="AF44" s="170"/>
      <c r="AG44" s="112"/>
      <c r="AH44" s="99"/>
      <c r="AI44" s="113">
        <f t="shared" si="18"/>
        <v>0</v>
      </c>
    </row>
    <row r="45" spans="2:35" ht="15" x14ac:dyDescent="0.2">
      <c r="B45" s="129">
        <f t="shared" si="6"/>
        <v>31</v>
      </c>
      <c r="C45" s="80" t="s">
        <v>319</v>
      </c>
      <c r="D45" s="81" t="s">
        <v>333</v>
      </c>
      <c r="E45" s="5" t="s">
        <v>108</v>
      </c>
      <c r="F45" s="169"/>
      <c r="G45" s="170"/>
      <c r="H45" s="112"/>
      <c r="I45" s="99"/>
      <c r="J45" s="113">
        <f t="shared" si="13"/>
        <v>0</v>
      </c>
      <c r="K45" s="169"/>
      <c r="L45" s="170"/>
      <c r="M45" s="112">
        <v>1653</v>
      </c>
      <c r="N45" s="99">
        <v>71920.62</v>
      </c>
      <c r="O45" s="113">
        <f t="shared" si="14"/>
        <v>71920.62</v>
      </c>
      <c r="P45" s="169"/>
      <c r="Q45" s="170"/>
      <c r="R45" s="112"/>
      <c r="S45" s="99"/>
      <c r="T45" s="113">
        <f t="shared" si="15"/>
        <v>0</v>
      </c>
      <c r="U45" s="169"/>
      <c r="V45" s="170"/>
      <c r="W45" s="112"/>
      <c r="X45" s="99"/>
      <c r="Y45" s="113">
        <f t="shared" si="16"/>
        <v>0</v>
      </c>
      <c r="Z45" s="169"/>
      <c r="AA45" s="170"/>
      <c r="AB45" s="112"/>
      <c r="AC45" s="99"/>
      <c r="AD45" s="113">
        <f t="shared" si="17"/>
        <v>0</v>
      </c>
      <c r="AE45" s="169"/>
      <c r="AF45" s="170"/>
      <c r="AG45" s="112"/>
      <c r="AH45" s="99"/>
      <c r="AI45" s="113">
        <f t="shared" si="18"/>
        <v>0</v>
      </c>
    </row>
    <row r="46" spans="2:35" ht="15" x14ac:dyDescent="0.2">
      <c r="B46" s="129">
        <f t="shared" si="6"/>
        <v>32</v>
      </c>
      <c r="C46" s="80" t="s">
        <v>320</v>
      </c>
      <c r="D46" s="81" t="s">
        <v>334</v>
      </c>
      <c r="E46" s="5" t="s">
        <v>108</v>
      </c>
      <c r="F46" s="169"/>
      <c r="G46" s="170"/>
      <c r="H46" s="112"/>
      <c r="I46" s="99"/>
      <c r="J46" s="113">
        <f t="shared" si="7"/>
        <v>0</v>
      </c>
      <c r="K46" s="169"/>
      <c r="L46" s="170"/>
      <c r="M46" s="112">
        <v>1458.26</v>
      </c>
      <c r="N46" s="99">
        <v>55358.36</v>
      </c>
      <c r="O46" s="113">
        <f t="shared" si="8"/>
        <v>55358.36</v>
      </c>
      <c r="P46" s="169"/>
      <c r="Q46" s="170"/>
      <c r="R46" s="112"/>
      <c r="S46" s="99"/>
      <c r="T46" s="113">
        <f t="shared" si="9"/>
        <v>0</v>
      </c>
      <c r="U46" s="169"/>
      <c r="V46" s="170"/>
      <c r="W46" s="112"/>
      <c r="X46" s="99"/>
      <c r="Y46" s="113">
        <f t="shared" si="10"/>
        <v>0</v>
      </c>
      <c r="Z46" s="169"/>
      <c r="AA46" s="170"/>
      <c r="AB46" s="112"/>
      <c r="AC46" s="99"/>
      <c r="AD46" s="113">
        <f t="shared" si="11"/>
        <v>0</v>
      </c>
      <c r="AE46" s="169"/>
      <c r="AF46" s="170"/>
      <c r="AG46" s="112"/>
      <c r="AH46" s="99"/>
      <c r="AI46" s="113">
        <f t="shared" si="12"/>
        <v>0</v>
      </c>
    </row>
    <row r="47" spans="2:35" ht="15" x14ac:dyDescent="0.2">
      <c r="B47" s="129">
        <f t="shared" si="6"/>
        <v>33</v>
      </c>
      <c r="C47" s="80" t="s">
        <v>282</v>
      </c>
      <c r="D47" s="81" t="s">
        <v>276</v>
      </c>
      <c r="E47" s="5" t="s">
        <v>108</v>
      </c>
      <c r="F47" s="169"/>
      <c r="G47" s="170"/>
      <c r="H47" s="112"/>
      <c r="I47" s="99"/>
      <c r="J47" s="113">
        <f t="shared" si="7"/>
        <v>0</v>
      </c>
      <c r="K47" s="169"/>
      <c r="L47" s="170"/>
      <c r="M47" s="112">
        <v>1653</v>
      </c>
      <c r="N47" s="99">
        <v>72092.95</v>
      </c>
      <c r="O47" s="113">
        <f t="shared" si="8"/>
        <v>72092.95</v>
      </c>
      <c r="P47" s="169"/>
      <c r="Q47" s="170"/>
      <c r="R47" s="112"/>
      <c r="S47" s="99"/>
      <c r="T47" s="113">
        <f t="shared" si="9"/>
        <v>0</v>
      </c>
      <c r="U47" s="169"/>
      <c r="V47" s="170"/>
      <c r="W47" s="112"/>
      <c r="X47" s="99"/>
      <c r="Y47" s="113">
        <f t="shared" si="10"/>
        <v>0</v>
      </c>
      <c r="Z47" s="169"/>
      <c r="AA47" s="170"/>
      <c r="AB47" s="112"/>
      <c r="AC47" s="99"/>
      <c r="AD47" s="113">
        <f t="shared" si="11"/>
        <v>0</v>
      </c>
      <c r="AE47" s="169"/>
      <c r="AF47" s="170"/>
      <c r="AG47" s="112"/>
      <c r="AH47" s="99"/>
      <c r="AI47" s="113">
        <f t="shared" si="12"/>
        <v>0</v>
      </c>
    </row>
    <row r="48" spans="2:35" ht="15" x14ac:dyDescent="0.2">
      <c r="B48" s="129">
        <f t="shared" si="6"/>
        <v>34</v>
      </c>
      <c r="C48" s="80" t="s">
        <v>321</v>
      </c>
      <c r="D48" s="192" t="s">
        <v>277</v>
      </c>
      <c r="E48" s="5" t="s">
        <v>108</v>
      </c>
      <c r="F48" s="169"/>
      <c r="G48" s="170"/>
      <c r="H48" s="112"/>
      <c r="I48" s="99"/>
      <c r="J48" s="113">
        <f t="shared" si="7"/>
        <v>0</v>
      </c>
      <c r="K48" s="169"/>
      <c r="L48" s="170"/>
      <c r="M48" s="112">
        <v>1653</v>
      </c>
      <c r="N48" s="99">
        <v>69132.36</v>
      </c>
      <c r="O48" s="113">
        <f t="shared" si="8"/>
        <v>69132.36</v>
      </c>
      <c r="P48" s="169"/>
      <c r="Q48" s="170"/>
      <c r="R48" s="112"/>
      <c r="S48" s="99"/>
      <c r="T48" s="113">
        <f t="shared" si="9"/>
        <v>0</v>
      </c>
      <c r="U48" s="169"/>
      <c r="V48" s="170"/>
      <c r="W48" s="112"/>
      <c r="X48" s="99"/>
      <c r="Y48" s="113">
        <f t="shared" si="10"/>
        <v>0</v>
      </c>
      <c r="Z48" s="169"/>
      <c r="AA48" s="170"/>
      <c r="AB48" s="112"/>
      <c r="AC48" s="99"/>
      <c r="AD48" s="113">
        <f t="shared" si="11"/>
        <v>0</v>
      </c>
      <c r="AE48" s="169"/>
      <c r="AF48" s="170"/>
      <c r="AG48" s="112"/>
      <c r="AH48" s="99"/>
      <c r="AI48" s="113">
        <f t="shared" si="12"/>
        <v>0</v>
      </c>
    </row>
    <row r="49" spans="1:35" ht="15" x14ac:dyDescent="0.2">
      <c r="B49" s="129">
        <f t="shared" si="6"/>
        <v>35</v>
      </c>
      <c r="C49" s="80" t="s">
        <v>322</v>
      </c>
      <c r="D49" s="192" t="s">
        <v>277</v>
      </c>
      <c r="E49" s="5" t="s">
        <v>108</v>
      </c>
      <c r="F49" s="169"/>
      <c r="G49" s="170"/>
      <c r="H49" s="112"/>
      <c r="I49" s="99"/>
      <c r="J49" s="113">
        <f t="shared" si="7"/>
        <v>0</v>
      </c>
      <c r="K49" s="169"/>
      <c r="L49" s="170"/>
      <c r="M49" s="112">
        <v>1653</v>
      </c>
      <c r="N49" s="99">
        <v>90333.07</v>
      </c>
      <c r="O49" s="113">
        <f t="shared" si="8"/>
        <v>90333.07</v>
      </c>
      <c r="P49" s="169"/>
      <c r="Q49" s="170"/>
      <c r="R49" s="112"/>
      <c r="S49" s="99"/>
      <c r="T49" s="113">
        <f t="shared" si="9"/>
        <v>0</v>
      </c>
      <c r="U49" s="169"/>
      <c r="V49" s="170"/>
      <c r="W49" s="112"/>
      <c r="X49" s="99"/>
      <c r="Y49" s="113">
        <f t="shared" si="10"/>
        <v>0</v>
      </c>
      <c r="Z49" s="169"/>
      <c r="AA49" s="170"/>
      <c r="AB49" s="112"/>
      <c r="AC49" s="99"/>
      <c r="AD49" s="113">
        <f t="shared" si="11"/>
        <v>0</v>
      </c>
      <c r="AE49" s="169"/>
      <c r="AF49" s="170"/>
      <c r="AG49" s="112"/>
      <c r="AH49" s="99"/>
      <c r="AI49" s="113">
        <f t="shared" si="12"/>
        <v>0</v>
      </c>
    </row>
    <row r="50" spans="1:35" ht="15" x14ac:dyDescent="0.2">
      <c r="B50" s="129">
        <f t="shared" si="6"/>
        <v>36</v>
      </c>
      <c r="C50" s="80" t="s">
        <v>283</v>
      </c>
      <c r="D50" s="81" t="s">
        <v>277</v>
      </c>
      <c r="E50" s="5" t="s">
        <v>108</v>
      </c>
      <c r="F50" s="169"/>
      <c r="G50" s="170"/>
      <c r="H50" s="112"/>
      <c r="I50" s="99"/>
      <c r="J50" s="113">
        <f t="shared" si="7"/>
        <v>0</v>
      </c>
      <c r="K50" s="169"/>
      <c r="L50" s="170"/>
      <c r="M50" s="112">
        <v>1621.3</v>
      </c>
      <c r="N50" s="99">
        <v>71980.86</v>
      </c>
      <c r="O50" s="113">
        <f t="shared" si="8"/>
        <v>71980.86</v>
      </c>
      <c r="P50" s="169"/>
      <c r="Q50" s="170"/>
      <c r="R50" s="112"/>
      <c r="S50" s="99"/>
      <c r="T50" s="113">
        <f t="shared" si="9"/>
        <v>0</v>
      </c>
      <c r="U50" s="169"/>
      <c r="V50" s="170"/>
      <c r="W50" s="112"/>
      <c r="X50" s="99"/>
      <c r="Y50" s="113">
        <f t="shared" si="10"/>
        <v>0</v>
      </c>
      <c r="Z50" s="169"/>
      <c r="AA50" s="170"/>
      <c r="AB50" s="112"/>
      <c r="AC50" s="99"/>
      <c r="AD50" s="113">
        <f t="shared" si="11"/>
        <v>0</v>
      </c>
      <c r="AE50" s="169"/>
      <c r="AF50" s="170"/>
      <c r="AG50" s="112"/>
      <c r="AH50" s="99"/>
      <c r="AI50" s="113">
        <f t="shared" si="12"/>
        <v>0</v>
      </c>
    </row>
    <row r="51" spans="1:35" ht="15" x14ac:dyDescent="0.2">
      <c r="B51" s="129">
        <f t="shared" si="6"/>
        <v>37</v>
      </c>
      <c r="C51" s="80" t="s">
        <v>323</v>
      </c>
      <c r="D51" s="81" t="s">
        <v>277</v>
      </c>
      <c r="E51" s="5" t="s">
        <v>108</v>
      </c>
      <c r="F51" s="169"/>
      <c r="G51" s="170"/>
      <c r="H51" s="112"/>
      <c r="I51" s="99"/>
      <c r="J51" s="113">
        <f t="shared" si="7"/>
        <v>0</v>
      </c>
      <c r="K51" s="169"/>
      <c r="L51" s="170"/>
      <c r="M51" s="112">
        <v>1399.39</v>
      </c>
      <c r="N51" s="99">
        <v>50556.55</v>
      </c>
      <c r="O51" s="113">
        <f t="shared" si="8"/>
        <v>50556.55</v>
      </c>
      <c r="P51" s="169"/>
      <c r="Q51" s="170"/>
      <c r="R51" s="112"/>
      <c r="S51" s="99"/>
      <c r="T51" s="113">
        <f t="shared" si="9"/>
        <v>0</v>
      </c>
      <c r="U51" s="169"/>
      <c r="V51" s="170"/>
      <c r="W51" s="112"/>
      <c r="X51" s="99"/>
      <c r="Y51" s="113">
        <f t="shared" si="10"/>
        <v>0</v>
      </c>
      <c r="Z51" s="169"/>
      <c r="AA51" s="170"/>
      <c r="AB51" s="112"/>
      <c r="AC51" s="99"/>
      <c r="AD51" s="113">
        <f t="shared" si="11"/>
        <v>0</v>
      </c>
      <c r="AE51" s="169"/>
      <c r="AF51" s="170"/>
      <c r="AG51" s="112"/>
      <c r="AH51" s="99"/>
      <c r="AI51" s="113">
        <f t="shared" si="12"/>
        <v>0</v>
      </c>
    </row>
    <row r="52" spans="1:35" ht="15" x14ac:dyDescent="0.2">
      <c r="B52" s="129">
        <f t="shared" si="6"/>
        <v>38</v>
      </c>
      <c r="C52" s="80" t="s">
        <v>367</v>
      </c>
      <c r="D52" s="81" t="s">
        <v>370</v>
      </c>
      <c r="E52" s="5" t="s">
        <v>108</v>
      </c>
      <c r="F52" s="169"/>
      <c r="G52" s="170"/>
      <c r="H52" s="112"/>
      <c r="I52" s="99"/>
      <c r="J52" s="113">
        <f t="shared" si="0"/>
        <v>0</v>
      </c>
      <c r="K52" s="169"/>
      <c r="L52" s="170"/>
      <c r="M52" s="112">
        <v>1653</v>
      </c>
      <c r="N52" s="99">
        <v>72081.48</v>
      </c>
      <c r="O52" s="113">
        <f t="shared" si="1"/>
        <v>72081.48</v>
      </c>
      <c r="P52" s="169"/>
      <c r="Q52" s="170"/>
      <c r="R52" s="112"/>
      <c r="S52" s="99"/>
      <c r="T52" s="113">
        <f t="shared" si="2"/>
        <v>0</v>
      </c>
      <c r="U52" s="169"/>
      <c r="V52" s="170"/>
      <c r="W52" s="112"/>
      <c r="X52" s="99"/>
      <c r="Y52" s="113">
        <f t="shared" si="3"/>
        <v>0</v>
      </c>
      <c r="Z52" s="169"/>
      <c r="AA52" s="170"/>
      <c r="AB52" s="112"/>
      <c r="AC52" s="99"/>
      <c r="AD52" s="113">
        <f t="shared" si="4"/>
        <v>0</v>
      </c>
      <c r="AE52" s="169"/>
      <c r="AF52" s="170"/>
      <c r="AG52" s="112"/>
      <c r="AH52" s="99"/>
      <c r="AI52" s="113">
        <f t="shared" si="5"/>
        <v>0</v>
      </c>
    </row>
    <row r="53" spans="1:35" ht="15" x14ac:dyDescent="0.2">
      <c r="B53" s="129">
        <f t="shared" si="6"/>
        <v>39</v>
      </c>
      <c r="C53" s="80" t="s">
        <v>324</v>
      </c>
      <c r="D53" s="81" t="s">
        <v>277</v>
      </c>
      <c r="E53" s="5" t="s">
        <v>108</v>
      </c>
      <c r="F53" s="169"/>
      <c r="G53" s="170"/>
      <c r="H53" s="112"/>
      <c r="I53" s="99"/>
      <c r="J53" s="113">
        <f t="shared" si="0"/>
        <v>0</v>
      </c>
      <c r="K53" s="169"/>
      <c r="L53" s="170"/>
      <c r="M53" s="112">
        <v>1239.75</v>
      </c>
      <c r="N53" s="99">
        <v>47794.09</v>
      </c>
      <c r="O53" s="113">
        <f t="shared" si="1"/>
        <v>47794.09</v>
      </c>
      <c r="P53" s="169"/>
      <c r="Q53" s="170"/>
      <c r="R53" s="112"/>
      <c r="S53" s="99"/>
      <c r="T53" s="113">
        <f t="shared" si="2"/>
        <v>0</v>
      </c>
      <c r="U53" s="169"/>
      <c r="V53" s="170"/>
      <c r="W53" s="112"/>
      <c r="X53" s="99"/>
      <c r="Y53" s="113">
        <f t="shared" si="3"/>
        <v>0</v>
      </c>
      <c r="Z53" s="169"/>
      <c r="AA53" s="170"/>
      <c r="AB53" s="112"/>
      <c r="AC53" s="99"/>
      <c r="AD53" s="113">
        <f t="shared" si="4"/>
        <v>0</v>
      </c>
      <c r="AE53" s="169"/>
      <c r="AF53" s="170"/>
      <c r="AG53" s="112"/>
      <c r="AH53" s="99"/>
      <c r="AI53" s="113">
        <f t="shared" si="5"/>
        <v>0</v>
      </c>
    </row>
    <row r="54" spans="1:35" ht="15.75" thickBot="1" x14ac:dyDescent="0.25">
      <c r="B54" s="129">
        <f t="shared" si="6"/>
        <v>40</v>
      </c>
      <c r="C54" s="80" t="s">
        <v>302</v>
      </c>
      <c r="D54" s="81"/>
      <c r="E54" s="5" t="s">
        <v>108</v>
      </c>
      <c r="F54" s="169"/>
      <c r="G54" s="170"/>
      <c r="H54" s="112">
        <v>8058.38</v>
      </c>
      <c r="I54" s="99">
        <v>341706.32</v>
      </c>
      <c r="J54" s="113">
        <f t="shared" si="0"/>
        <v>341706.32</v>
      </c>
      <c r="K54" s="169"/>
      <c r="L54" s="170"/>
      <c r="M54" s="112"/>
      <c r="N54" s="99"/>
      <c r="O54" s="113">
        <f t="shared" si="1"/>
        <v>0</v>
      </c>
      <c r="P54" s="169"/>
      <c r="Q54" s="170"/>
      <c r="R54" s="112"/>
      <c r="S54" s="99"/>
      <c r="T54" s="113">
        <f t="shared" si="2"/>
        <v>0</v>
      </c>
      <c r="U54" s="169"/>
      <c r="V54" s="170"/>
      <c r="W54" s="112"/>
      <c r="X54" s="99"/>
      <c r="Y54" s="113">
        <f t="shared" si="3"/>
        <v>0</v>
      </c>
      <c r="Z54" s="169"/>
      <c r="AA54" s="170"/>
      <c r="AB54" s="112"/>
      <c r="AC54" s="99"/>
      <c r="AD54" s="113">
        <f t="shared" si="4"/>
        <v>0</v>
      </c>
      <c r="AE54" s="169"/>
      <c r="AF54" s="170"/>
      <c r="AG54" s="112"/>
      <c r="AH54" s="99"/>
      <c r="AI54" s="113">
        <f t="shared" si="5"/>
        <v>0</v>
      </c>
    </row>
    <row r="55" spans="1:35" ht="15" hidden="1" x14ac:dyDescent="0.2">
      <c r="B55" s="129">
        <f t="shared" si="6"/>
        <v>41</v>
      </c>
      <c r="C55" s="80"/>
      <c r="D55" s="81"/>
      <c r="E55" s="5" t="s">
        <v>108</v>
      </c>
      <c r="F55" s="169"/>
      <c r="G55" s="170"/>
      <c r="H55" s="112"/>
      <c r="I55" s="99"/>
      <c r="J55" s="113">
        <f t="shared" si="0"/>
        <v>0</v>
      </c>
      <c r="K55" s="169"/>
      <c r="L55" s="170"/>
      <c r="M55" s="112"/>
      <c r="N55" s="99"/>
      <c r="O55" s="113">
        <f t="shared" si="1"/>
        <v>0</v>
      </c>
      <c r="P55" s="169"/>
      <c r="Q55" s="170"/>
      <c r="R55" s="112"/>
      <c r="S55" s="99"/>
      <c r="T55" s="113">
        <f t="shared" si="2"/>
        <v>0</v>
      </c>
      <c r="U55" s="169"/>
      <c r="V55" s="170"/>
      <c r="W55" s="112"/>
      <c r="X55" s="99"/>
      <c r="Y55" s="113">
        <f t="shared" si="3"/>
        <v>0</v>
      </c>
      <c r="Z55" s="169"/>
      <c r="AA55" s="170"/>
      <c r="AB55" s="112"/>
      <c r="AC55" s="99"/>
      <c r="AD55" s="113">
        <f t="shared" si="4"/>
        <v>0</v>
      </c>
      <c r="AE55" s="169"/>
      <c r="AF55" s="170"/>
      <c r="AG55" s="112"/>
      <c r="AH55" s="99"/>
      <c r="AI55" s="113">
        <f t="shared" si="5"/>
        <v>0</v>
      </c>
    </row>
    <row r="56" spans="1:35" ht="15" hidden="1" x14ac:dyDescent="0.2">
      <c r="B56" s="129">
        <f t="shared" si="6"/>
        <v>42</v>
      </c>
      <c r="C56" s="80"/>
      <c r="D56" s="81"/>
      <c r="E56" s="5" t="s">
        <v>108</v>
      </c>
      <c r="F56" s="169"/>
      <c r="G56" s="170"/>
      <c r="H56" s="112"/>
      <c r="I56" s="99"/>
      <c r="J56" s="113">
        <f>G56+I56</f>
        <v>0</v>
      </c>
      <c r="K56" s="169"/>
      <c r="L56" s="170"/>
      <c r="M56" s="112"/>
      <c r="N56" s="99"/>
      <c r="O56" s="113">
        <f t="shared" si="1"/>
        <v>0</v>
      </c>
      <c r="P56" s="169"/>
      <c r="Q56" s="170"/>
      <c r="R56" s="112"/>
      <c r="S56" s="99"/>
      <c r="T56" s="113">
        <f t="shared" si="2"/>
        <v>0</v>
      </c>
      <c r="U56" s="169"/>
      <c r="V56" s="170"/>
      <c r="W56" s="112"/>
      <c r="X56" s="99"/>
      <c r="Y56" s="113">
        <f t="shared" si="3"/>
        <v>0</v>
      </c>
      <c r="Z56" s="169"/>
      <c r="AA56" s="170"/>
      <c r="AB56" s="112"/>
      <c r="AC56" s="99"/>
      <c r="AD56" s="113">
        <f t="shared" si="4"/>
        <v>0</v>
      </c>
      <c r="AE56" s="169"/>
      <c r="AF56" s="170"/>
      <c r="AG56" s="112"/>
      <c r="AH56" s="99"/>
      <c r="AI56" s="113">
        <f t="shared" si="5"/>
        <v>0</v>
      </c>
    </row>
    <row r="57" spans="1:35" ht="15.75" hidden="1" thickBot="1" x14ac:dyDescent="0.25">
      <c r="B57" s="129">
        <f t="shared" si="6"/>
        <v>43</v>
      </c>
      <c r="C57" s="80"/>
      <c r="D57" s="81"/>
      <c r="E57" s="5" t="s">
        <v>108</v>
      </c>
      <c r="F57" s="169"/>
      <c r="G57" s="170"/>
      <c r="H57" s="112"/>
      <c r="I57" s="99"/>
      <c r="J57" s="113">
        <f>G57+I57</f>
        <v>0</v>
      </c>
      <c r="K57" s="169"/>
      <c r="L57" s="170"/>
      <c r="M57" s="112"/>
      <c r="N57" s="99"/>
      <c r="O57" s="113">
        <f t="shared" si="1"/>
        <v>0</v>
      </c>
      <c r="P57" s="169"/>
      <c r="Q57" s="170"/>
      <c r="R57" s="112"/>
      <c r="S57" s="99"/>
      <c r="T57" s="113">
        <f t="shared" si="2"/>
        <v>0</v>
      </c>
      <c r="U57" s="169"/>
      <c r="V57" s="170"/>
      <c r="W57" s="112"/>
      <c r="X57" s="99"/>
      <c r="Y57" s="113">
        <f t="shared" si="3"/>
        <v>0</v>
      </c>
      <c r="Z57" s="169"/>
      <c r="AA57" s="170"/>
      <c r="AB57" s="112"/>
      <c r="AC57" s="99"/>
      <c r="AD57" s="113">
        <f t="shared" si="4"/>
        <v>0</v>
      </c>
      <c r="AE57" s="169"/>
      <c r="AF57" s="170"/>
      <c r="AG57" s="112"/>
      <c r="AH57" s="99"/>
      <c r="AI57" s="113">
        <f t="shared" si="5"/>
        <v>0</v>
      </c>
    </row>
    <row r="58" spans="1:35" ht="31.5" customHeight="1" x14ac:dyDescent="0.2">
      <c r="D58" s="209" t="s">
        <v>104</v>
      </c>
      <c r="E58" s="210"/>
      <c r="F58" s="97">
        <f>SUMIF($E15:$E57,"&lt;&gt;SÍ",F15:F57)</f>
        <v>0</v>
      </c>
      <c r="G58" s="100">
        <f>SUMIF($E15:$E57,"&lt;&gt;SÍ",G15:G57)</f>
        <v>0</v>
      </c>
      <c r="H58" s="101">
        <f>SUMIF($E15:$E57,"&lt;&gt;SÍ",H15:H57)</f>
        <v>8058.38</v>
      </c>
      <c r="I58" s="102">
        <f>SUMIF($E15:$E57,"&lt;&gt;SÍ",I15:I57)</f>
        <v>341706.32</v>
      </c>
      <c r="J58" s="78">
        <f>G58+I58</f>
        <v>341706.32</v>
      </c>
      <c r="K58" s="97">
        <f>SUMIF($E15:$E57,"&lt;&gt;SÍ",K15:K57)</f>
        <v>0</v>
      </c>
      <c r="L58" s="100">
        <f>SUMIF($E15:$E57,"&lt;&gt;SÍ",L15:L57)</f>
        <v>0</v>
      </c>
      <c r="M58" s="101">
        <f>SUMIF($E15:$E57,"&lt;&gt;SÍ",M15:M57)</f>
        <v>58955.670000000006</v>
      </c>
      <c r="N58" s="102">
        <f>SUMIF($E15:$E57,"&lt;&gt;SÍ",N15:N57)</f>
        <v>2565691.7399999993</v>
      </c>
      <c r="O58" s="78">
        <f>L58+N58</f>
        <v>2565691.7399999993</v>
      </c>
      <c r="P58" s="97">
        <f>SUMIF($E15:$E57,"&lt;&gt;SÍ",P15:P57)</f>
        <v>0</v>
      </c>
      <c r="Q58" s="100">
        <f>SUMIF($E15:$E57,"&lt;&gt;SÍ",Q15:Q57)</f>
        <v>0</v>
      </c>
      <c r="R58" s="101">
        <f>SUMIF($E15:$E57,"&lt;&gt;SÍ",R15:R57)</f>
        <v>0</v>
      </c>
      <c r="S58" s="102">
        <f>SUMIF($E15:$E57,"&lt;&gt;SÍ",S15:S57)</f>
        <v>0</v>
      </c>
      <c r="T58" s="78">
        <f>Q58+S58</f>
        <v>0</v>
      </c>
      <c r="U58" s="97">
        <f>SUMIF($E15:$E57,"&lt;&gt;SÍ",U15:U57)</f>
        <v>0</v>
      </c>
      <c r="V58" s="100">
        <f>SUMIF($E15:$E57,"&lt;&gt;SÍ",V15:V57)</f>
        <v>0</v>
      </c>
      <c r="W58" s="101">
        <f>SUMIF($E15:$E57,"&lt;&gt;SÍ",W15:W57)</f>
        <v>0</v>
      </c>
      <c r="X58" s="102">
        <f>SUMIF($E15:$E57,"&lt;&gt;SÍ",X15:X57)</f>
        <v>0</v>
      </c>
      <c r="Y58" s="78">
        <f>V58+X58</f>
        <v>0</v>
      </c>
      <c r="Z58" s="97">
        <f>SUMIF($E15:$E57,"&lt;&gt;SÍ",Z15:Z57)</f>
        <v>0</v>
      </c>
      <c r="AA58" s="100">
        <f>SUMIF($E15:$E57,"&lt;&gt;SÍ",AA15:AA57)</f>
        <v>0</v>
      </c>
      <c r="AB58" s="101">
        <f>SUMIF($E15:$E57,"&lt;&gt;SÍ",AB15:AB57)</f>
        <v>0</v>
      </c>
      <c r="AC58" s="102">
        <f>SUMIF($E15:$E57,"&lt;&gt;SÍ",AC15:AC57)</f>
        <v>0</v>
      </c>
      <c r="AD58" s="78">
        <f>AA58+AC58</f>
        <v>0</v>
      </c>
      <c r="AE58" s="97">
        <f>SUMIF($E15:$E57,"&lt;&gt;SÍ",AE15:AE57)</f>
        <v>0</v>
      </c>
      <c r="AF58" s="100">
        <f>SUMIF($E15:$E57,"&lt;&gt;SÍ",AF15:AF57)</f>
        <v>0</v>
      </c>
      <c r="AG58" s="101">
        <f>SUMIF($E15:$E57,"&lt;&gt;SÍ",AG15:AG57)</f>
        <v>0</v>
      </c>
      <c r="AH58" s="102">
        <f>SUMIF($E15:$E57,"&lt;&gt;SÍ",AH15:AH57)</f>
        <v>0</v>
      </c>
      <c r="AI58" s="78">
        <f>AF58+AH58</f>
        <v>0</v>
      </c>
    </row>
    <row r="59" spans="1:35" ht="31.5" customHeight="1" thickBot="1" x14ac:dyDescent="0.25">
      <c r="D59" s="211" t="s">
        <v>105</v>
      </c>
      <c r="E59" s="212"/>
      <c r="F59" s="103">
        <f>SUMIF($E15:$E57,"SÍ",F15:F57)</f>
        <v>0</v>
      </c>
      <c r="G59" s="104">
        <f>SUMIF($E15:$E57,"SÍ",G15:G57)</f>
        <v>0</v>
      </c>
      <c r="H59" s="105"/>
      <c r="I59" s="106"/>
      <c r="J59" s="107">
        <f>G59</f>
        <v>0</v>
      </c>
      <c r="K59" s="103">
        <f>SUMIF($E15:$E57,"SÍ",K15:K57)</f>
        <v>0</v>
      </c>
      <c r="L59" s="104">
        <f>SUMIF($E15:$E57,"SÍ",L15:L57)</f>
        <v>0</v>
      </c>
      <c r="M59" s="105"/>
      <c r="N59" s="106"/>
      <c r="O59" s="107">
        <f>L59</f>
        <v>0</v>
      </c>
      <c r="P59" s="103">
        <f>SUMIF($E15:$E57,"SÍ",P15:P57)</f>
        <v>0</v>
      </c>
      <c r="Q59" s="104">
        <f>SUMIF($E15:$E57,"SÍ",Q15:Q57)</f>
        <v>0</v>
      </c>
      <c r="R59" s="105"/>
      <c r="S59" s="106"/>
      <c r="T59" s="107">
        <f>Q59</f>
        <v>0</v>
      </c>
      <c r="U59" s="103">
        <f>SUMIF($E15:$E57,"SÍ",U15:U57)</f>
        <v>0</v>
      </c>
      <c r="V59" s="104">
        <f>SUMIF($E15:$E57,"SÍ",V15:V57)</f>
        <v>0</v>
      </c>
      <c r="W59" s="105"/>
      <c r="X59" s="106"/>
      <c r="Y59" s="107">
        <f>V59</f>
        <v>0</v>
      </c>
      <c r="Z59" s="103">
        <f>SUMIF($E15:$E57,"SÍ",Z15:Z57)</f>
        <v>0</v>
      </c>
      <c r="AA59" s="104">
        <f>SUMIF($E15:$E57,"SÍ",AA15:AA57)</f>
        <v>0</v>
      </c>
      <c r="AB59" s="105"/>
      <c r="AC59" s="106"/>
      <c r="AD59" s="107">
        <f>AA59</f>
        <v>0</v>
      </c>
      <c r="AE59" s="103">
        <f>SUMIF($E15:$E57,"SÍ",AE15:AE57)</f>
        <v>0</v>
      </c>
      <c r="AF59" s="104">
        <f>SUMIF($E15:$E57,"SÍ",AF15:AF57)</f>
        <v>0</v>
      </c>
      <c r="AG59" s="105"/>
      <c r="AH59" s="106"/>
      <c r="AI59" s="107">
        <f>AF59</f>
        <v>0</v>
      </c>
    </row>
    <row r="60" spans="1:35" ht="31.5" customHeight="1" thickBot="1" x14ac:dyDescent="0.25">
      <c r="C60" s="114"/>
      <c r="D60" s="133" t="s">
        <v>11</v>
      </c>
      <c r="E60" s="134"/>
      <c r="F60" s="98">
        <f>F58+F59</f>
        <v>0</v>
      </c>
      <c r="G60" s="108">
        <f>G58+G59</f>
        <v>0</v>
      </c>
      <c r="H60" s="109">
        <f>H58</f>
        <v>8058.38</v>
      </c>
      <c r="I60" s="110">
        <f>I58</f>
        <v>341706.32</v>
      </c>
      <c r="J60" s="111">
        <f>G60+I60</f>
        <v>341706.32</v>
      </c>
      <c r="K60" s="98">
        <f>K58+K59</f>
        <v>0</v>
      </c>
      <c r="L60" s="108">
        <f>L58+L59</f>
        <v>0</v>
      </c>
      <c r="M60" s="109">
        <f>M58</f>
        <v>58955.670000000006</v>
      </c>
      <c r="N60" s="110">
        <f>N58</f>
        <v>2565691.7399999993</v>
      </c>
      <c r="O60" s="111">
        <f>L60+N60</f>
        <v>2565691.7399999993</v>
      </c>
      <c r="P60" s="98">
        <f>P58+P59</f>
        <v>0</v>
      </c>
      <c r="Q60" s="108">
        <f>Q58+Q59</f>
        <v>0</v>
      </c>
      <c r="R60" s="109">
        <f>R58</f>
        <v>0</v>
      </c>
      <c r="S60" s="110">
        <f>S58</f>
        <v>0</v>
      </c>
      <c r="T60" s="111">
        <f>Q60+S60</f>
        <v>0</v>
      </c>
      <c r="U60" s="98">
        <f>U58+U59</f>
        <v>0</v>
      </c>
      <c r="V60" s="108">
        <f>V58+V59</f>
        <v>0</v>
      </c>
      <c r="W60" s="109">
        <f>W58</f>
        <v>0</v>
      </c>
      <c r="X60" s="110">
        <f>X58</f>
        <v>0</v>
      </c>
      <c r="Y60" s="111">
        <f>V60+X60</f>
        <v>0</v>
      </c>
      <c r="Z60" s="98">
        <f>Z58+Z59</f>
        <v>0</v>
      </c>
      <c r="AA60" s="108">
        <f>AA58+AA59</f>
        <v>0</v>
      </c>
      <c r="AB60" s="109">
        <f>AB58</f>
        <v>0</v>
      </c>
      <c r="AC60" s="110">
        <f>AC58</f>
        <v>0</v>
      </c>
      <c r="AD60" s="111">
        <f>AA60+AC60</f>
        <v>0</v>
      </c>
      <c r="AE60" s="98">
        <f>AE58+AE59</f>
        <v>0</v>
      </c>
      <c r="AF60" s="108">
        <f>AF58+AF59</f>
        <v>0</v>
      </c>
      <c r="AG60" s="109">
        <f>AG58</f>
        <v>0</v>
      </c>
      <c r="AH60" s="110">
        <f>AH58</f>
        <v>0</v>
      </c>
      <c r="AI60" s="111">
        <f>AF60+AH60</f>
        <v>0</v>
      </c>
    </row>
    <row r="61" spans="1:35" ht="6" customHeight="1" x14ac:dyDescent="0.2">
      <c r="A61" s="22"/>
      <c r="B61" s="22"/>
      <c r="C61" s="22"/>
      <c r="D61" s="22"/>
      <c r="E61" s="22"/>
      <c r="F61" s="22"/>
      <c r="G61" s="22"/>
      <c r="H61" s="22"/>
      <c r="I61" s="22"/>
      <c r="J61" s="22"/>
    </row>
  </sheetData>
  <sheetProtection insertRows="0"/>
  <protectedRanges>
    <protectedRange password="CC9E" sqref="G12 F61 D60:E61 H61:IU61 K57:K59 P57:P59 U57:U59 Z57:Z59 AE57:AE59 H57:J60 M57:O60 R57:T60 W57:Y60 AB57:AD60 AG13:IU13 H13:K13 B7:B8 A1:A8 A11:A61 E9:IU10 B1:G5 B11:G11 H1:IU8 H11:IU12 A9:B10 M13:P13 R13:U13 W13:Z13 AB13:AE13 H14:IU14 E7:G8 F6:G6 D12:F59 AA15:AA60 V15:V60 Q15:Q60 L15:L60 G14:G61 AF15:IU60 R15:U56 W15:Z56 AB15:AE56 M15:P56 H15:K56 B12:C61" name="Rango2"/>
    <protectedRange password="CC9E" sqref="A63:A65572 K63:IU65572 G12 F61:F65572 D60:E65572 D1:J1 K61:IU61 P57:P59 U57:U59 Z57:Z59 AE57:AE59 M57:O60 R57:T60 W57:Y60 AB57:AD60 AG13:IU13 K13 B1:C5 B7:B8 A1:A8 A11:A61 E9:IU10 D2:G5 B11:G11 K1:IU8 K11:IU12 I2:J8 H1:H8 A9:B10 M13:P13 R13:U13 W13:Z13 AB13:AE13 K14:IU14 E7:G8 F6:G6 D12:F59 AA15:AA60 V15:V60 Q15:Q60 L15:L60 G14:G65572 AF15:IU60 K15:K59 R15:U56 W15:Z56 AB15:AE56 M15:P56 H11:J65572 B12:C65572" name="Rango1"/>
    <protectedRange password="CC9E" sqref="A62:IU62" name="Rango2_1"/>
    <protectedRange password="CC9E" sqref="A62:IU62" name="Rango1_1"/>
    <protectedRange password="CC9E" sqref="E6" name="Rango2_3"/>
    <protectedRange password="CC9E" sqref="E6" name="Rango1_3"/>
    <protectedRange password="CC9E" sqref="B6" name="Rango2_6_1_1_2"/>
    <protectedRange password="CC9E" sqref="B6" name="Rango1_6_1_1_2"/>
  </protectedRanges>
  <mergeCells count="13">
    <mergeCell ref="B6:E6"/>
    <mergeCell ref="K13:O13"/>
    <mergeCell ref="P13:T13"/>
    <mergeCell ref="U13:Y13"/>
    <mergeCell ref="Z13:AD13"/>
    <mergeCell ref="AE13:AI13"/>
    <mergeCell ref="F13:J13"/>
    <mergeCell ref="D58:E58"/>
    <mergeCell ref="D59:E59"/>
    <mergeCell ref="B13:B14"/>
    <mergeCell ref="D13:D14"/>
    <mergeCell ref="C13:C14"/>
    <mergeCell ref="E13:E14"/>
  </mergeCells>
  <phoneticPr fontId="2" type="noConversion"/>
  <dataValidations count="1">
    <dataValidation type="list" allowBlank="1" showInputMessage="1" showErrorMessage="1" sqref="E15:E57" xr:uid="{00000000-0002-0000-0200-00000000000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40"/>
  <sheetViews>
    <sheetView showGridLines="0" zoomScale="70" zoomScaleNormal="70" workbookViewId="0">
      <pane xSplit="5" ySplit="15" topLeftCell="F16"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7.7109375" style="16" customWidth="1"/>
    <col min="4" max="4" width="19" style="16" customWidth="1"/>
    <col min="5" max="5" width="11.85546875" style="16" customWidth="1"/>
    <col min="6" max="14" width="14.7109375" style="16" customWidth="1"/>
    <col min="15" max="15" width="14" style="16" customWidth="1"/>
    <col min="16" max="17" width="13.85546875" style="16" customWidth="1"/>
    <col min="18" max="18" width="14.7109375" style="16" customWidth="1"/>
    <col min="19" max="19" width="14.140625" style="16" customWidth="1"/>
    <col min="20" max="20" width="15.42578125" style="16" customWidth="1"/>
    <col min="21" max="21" width="14.42578125" style="16" customWidth="1"/>
    <col min="22" max="22" width="14.85546875" style="16" customWidth="1"/>
    <col min="23" max="23" width="14.5703125" style="16" customWidth="1"/>
    <col min="24" max="16384" width="11.42578125" style="16"/>
  </cols>
  <sheetData>
    <row r="1" spans="1:23" ht="64.5" customHeight="1" x14ac:dyDescent="0.2">
      <c r="E1" s="221"/>
      <c r="F1" s="221"/>
      <c r="G1" s="221"/>
      <c r="H1" s="221"/>
      <c r="I1" s="221"/>
      <c r="J1" s="221"/>
      <c r="K1" s="12"/>
      <c r="L1" s="12"/>
      <c r="M1" s="12"/>
      <c r="N1" s="12"/>
    </row>
    <row r="2" spans="1:23" ht="15" customHeight="1" x14ac:dyDescent="0.2">
      <c r="B2" s="115"/>
    </row>
    <row r="3" spans="1:23" ht="15" customHeight="1" x14ac:dyDescent="0.2"/>
    <row r="4" spans="1:23" ht="15" x14ac:dyDescent="0.2">
      <c r="B4" s="92" t="s">
        <v>5</v>
      </c>
    </row>
    <row r="5" spans="1:23" ht="15" customHeight="1" x14ac:dyDescent="0.2">
      <c r="B5" s="225" t="s">
        <v>127</v>
      </c>
      <c r="C5" s="225"/>
      <c r="D5" s="225"/>
      <c r="E5" s="225"/>
      <c r="F5" s="225"/>
      <c r="G5" s="225"/>
      <c r="H5" s="225"/>
      <c r="I5" s="225"/>
      <c r="J5" s="225"/>
      <c r="K5" s="225"/>
      <c r="L5" s="225"/>
      <c r="M5" s="225"/>
      <c r="N5" s="225"/>
    </row>
    <row r="6" spans="1:23" ht="15" x14ac:dyDescent="0.2">
      <c r="C6" s="166"/>
      <c r="F6" s="87"/>
    </row>
    <row r="7" spans="1:23" ht="33.75" customHeight="1" x14ac:dyDescent="0.2">
      <c r="B7" s="217" t="s">
        <v>149</v>
      </c>
      <c r="C7" s="217"/>
      <c r="D7" s="217"/>
      <c r="E7" s="217"/>
      <c r="F7" s="87"/>
    </row>
    <row r="8" spans="1:23" ht="15" x14ac:dyDescent="0.2">
      <c r="B8" s="125"/>
      <c r="C8" s="166"/>
      <c r="F8" s="87"/>
    </row>
    <row r="9" spans="1:23" ht="15" x14ac:dyDescent="0.2">
      <c r="B9" s="125" t="s">
        <v>120</v>
      </c>
      <c r="C9" s="166"/>
      <c r="F9" s="87"/>
    </row>
    <row r="10" spans="1:23" ht="15" x14ac:dyDescent="0.2">
      <c r="B10" s="125"/>
      <c r="C10" s="166"/>
      <c r="F10" s="87"/>
    </row>
    <row r="11" spans="1:23" ht="27" customHeight="1" x14ac:dyDescent="0.2">
      <c r="B11" s="217" t="s">
        <v>136</v>
      </c>
      <c r="C11" s="217"/>
      <c r="D11" s="217"/>
      <c r="E11" s="217"/>
      <c r="F11" s="87"/>
    </row>
    <row r="12" spans="1:23" ht="15" x14ac:dyDescent="0.2">
      <c r="D12" s="166"/>
      <c r="F12" s="87"/>
    </row>
    <row r="13" spans="1:23" ht="6" customHeight="1" thickBot="1" x14ac:dyDescent="0.25"/>
    <row r="14" spans="1:23" ht="15.75" customHeight="1" thickBot="1" x14ac:dyDescent="0.25">
      <c r="A14" s="56"/>
      <c r="B14" s="213" t="s">
        <v>137</v>
      </c>
      <c r="C14" s="226" t="s">
        <v>146</v>
      </c>
      <c r="D14" s="213" t="s">
        <v>78</v>
      </c>
      <c r="E14" s="213" t="s">
        <v>124</v>
      </c>
      <c r="F14" s="218">
        <f>Personal!F13</f>
        <v>2021</v>
      </c>
      <c r="G14" s="219"/>
      <c r="H14" s="220"/>
      <c r="I14" s="218">
        <f>F14+1</f>
        <v>2022</v>
      </c>
      <c r="J14" s="219"/>
      <c r="K14" s="220"/>
      <c r="L14" s="218">
        <f>I14+1</f>
        <v>2023</v>
      </c>
      <c r="M14" s="219"/>
      <c r="N14" s="220"/>
      <c r="O14" s="218">
        <f>L14+1</f>
        <v>2024</v>
      </c>
      <c r="P14" s="219"/>
      <c r="Q14" s="220"/>
      <c r="R14" s="218">
        <f>O14+1</f>
        <v>2025</v>
      </c>
      <c r="S14" s="219"/>
      <c r="T14" s="220"/>
      <c r="U14" s="218">
        <f>R14+1</f>
        <v>2026</v>
      </c>
      <c r="V14" s="219"/>
      <c r="W14" s="220"/>
    </row>
    <row r="15" spans="1:23" s="56" customFormat="1" ht="78.75" customHeight="1" thickBot="1" x14ac:dyDescent="0.25">
      <c r="A15" s="16"/>
      <c r="B15" s="214" t="s">
        <v>1</v>
      </c>
      <c r="C15" s="227" t="s">
        <v>0</v>
      </c>
      <c r="D15" s="214"/>
      <c r="E15" s="214"/>
      <c r="F15" s="137" t="s">
        <v>7</v>
      </c>
      <c r="G15" s="138" t="s">
        <v>139</v>
      </c>
      <c r="H15" s="139" t="s">
        <v>8</v>
      </c>
      <c r="I15" s="137" t="s">
        <v>7</v>
      </c>
      <c r="J15" s="138" t="s">
        <v>139</v>
      </c>
      <c r="K15" s="139" t="s">
        <v>8</v>
      </c>
      <c r="L15" s="137" t="s">
        <v>7</v>
      </c>
      <c r="M15" s="138" t="s">
        <v>139</v>
      </c>
      <c r="N15" s="139" t="s">
        <v>8</v>
      </c>
      <c r="O15" s="137" t="s">
        <v>7</v>
      </c>
      <c r="P15" s="138" t="s">
        <v>139</v>
      </c>
      <c r="Q15" s="139" t="s">
        <v>8</v>
      </c>
      <c r="R15" s="137" t="s">
        <v>7</v>
      </c>
      <c r="S15" s="138" t="s">
        <v>139</v>
      </c>
      <c r="T15" s="139" t="s">
        <v>8</v>
      </c>
      <c r="U15" s="137" t="s">
        <v>7</v>
      </c>
      <c r="V15" s="138" t="s">
        <v>139</v>
      </c>
      <c r="W15" s="139" t="s">
        <v>8</v>
      </c>
    </row>
    <row r="16" spans="1:23" ht="15.75" customHeight="1" x14ac:dyDescent="0.2">
      <c r="B16" s="128">
        <v>1</v>
      </c>
      <c r="C16" s="66"/>
      <c r="D16" s="66"/>
      <c r="E16" s="67"/>
      <c r="F16" s="58"/>
      <c r="G16" s="64"/>
      <c r="H16" s="171">
        <f>SUM(F16:G16)</f>
        <v>0</v>
      </c>
      <c r="I16" s="58"/>
      <c r="J16" s="64"/>
      <c r="K16" s="171">
        <f>SUM(I16:J16)</f>
        <v>0</v>
      </c>
      <c r="L16" s="58"/>
      <c r="M16" s="64"/>
      <c r="N16" s="171">
        <f>SUM(L16:M16)</f>
        <v>0</v>
      </c>
      <c r="O16" s="58"/>
      <c r="P16" s="64"/>
      <c r="Q16" s="171">
        <f>SUM(O16:P16)</f>
        <v>0</v>
      </c>
      <c r="R16" s="58"/>
      <c r="S16" s="64"/>
      <c r="T16" s="171">
        <f>SUM(R16:S16)</f>
        <v>0</v>
      </c>
      <c r="U16" s="58"/>
      <c r="V16" s="64"/>
      <c r="W16" s="171">
        <f>U16+V16</f>
        <v>0</v>
      </c>
    </row>
    <row r="17" spans="2:23" ht="15" x14ac:dyDescent="0.2">
      <c r="B17" s="129">
        <f>B16+1</f>
        <v>2</v>
      </c>
      <c r="C17" s="68"/>
      <c r="D17" s="68"/>
      <c r="E17" s="69"/>
      <c r="F17" s="58"/>
      <c r="G17" s="59"/>
      <c r="H17" s="171">
        <f t="shared" ref="H17:H35" si="0">SUM(F17:G17)</f>
        <v>0</v>
      </c>
      <c r="I17" s="70"/>
      <c r="J17" s="71"/>
      <c r="K17" s="171">
        <f t="shared" ref="K17:K35" si="1">SUM(I17:J17)</f>
        <v>0</v>
      </c>
      <c r="L17" s="64"/>
      <c r="M17" s="64"/>
      <c r="N17" s="171">
        <f t="shared" ref="N17:N35" si="2">SUM(L17:M17)</f>
        <v>0</v>
      </c>
      <c r="O17" s="64"/>
      <c r="P17" s="64"/>
      <c r="Q17" s="171">
        <f t="shared" ref="Q17:Q35" si="3">SUM(O17:P17)</f>
        <v>0</v>
      </c>
      <c r="R17" s="64"/>
      <c r="S17" s="64"/>
      <c r="T17" s="171">
        <f t="shared" ref="T17:T35" si="4">SUM(R17:S17)</f>
        <v>0</v>
      </c>
      <c r="U17" s="64"/>
      <c r="V17" s="64"/>
      <c r="W17" s="171">
        <f t="shared" ref="W17:W35" si="5">U17+V17</f>
        <v>0</v>
      </c>
    </row>
    <row r="18" spans="2:23" ht="15" x14ac:dyDescent="0.2">
      <c r="B18" s="129">
        <f t="shared" ref="B18:B34" si="6">B17+1</f>
        <v>3</v>
      </c>
      <c r="C18" s="68"/>
      <c r="D18" s="68"/>
      <c r="E18" s="69"/>
      <c r="F18" s="58"/>
      <c r="G18" s="59"/>
      <c r="H18" s="171">
        <f t="shared" si="0"/>
        <v>0</v>
      </c>
      <c r="I18" s="70"/>
      <c r="J18" s="71"/>
      <c r="K18" s="171">
        <f t="shared" si="1"/>
        <v>0</v>
      </c>
      <c r="L18" s="64"/>
      <c r="M18" s="64"/>
      <c r="N18" s="171">
        <f t="shared" si="2"/>
        <v>0</v>
      </c>
      <c r="O18" s="64"/>
      <c r="P18" s="64"/>
      <c r="Q18" s="171">
        <f t="shared" si="3"/>
        <v>0</v>
      </c>
      <c r="R18" s="64"/>
      <c r="S18" s="64"/>
      <c r="T18" s="171">
        <f t="shared" si="4"/>
        <v>0</v>
      </c>
      <c r="U18" s="64"/>
      <c r="V18" s="64"/>
      <c r="W18" s="171">
        <f t="shared" si="5"/>
        <v>0</v>
      </c>
    </row>
    <row r="19" spans="2:23" ht="15" x14ac:dyDescent="0.2">
      <c r="B19" s="129">
        <f t="shared" si="6"/>
        <v>4</v>
      </c>
      <c r="C19" s="68"/>
      <c r="D19" s="68"/>
      <c r="E19" s="69"/>
      <c r="F19" s="58"/>
      <c r="G19" s="59"/>
      <c r="H19" s="171">
        <f t="shared" si="0"/>
        <v>0</v>
      </c>
      <c r="I19" s="70"/>
      <c r="J19" s="71"/>
      <c r="K19" s="171">
        <f t="shared" si="1"/>
        <v>0</v>
      </c>
      <c r="L19" s="64"/>
      <c r="M19" s="64"/>
      <c r="N19" s="171">
        <f t="shared" si="2"/>
        <v>0</v>
      </c>
      <c r="O19" s="64"/>
      <c r="P19" s="64"/>
      <c r="Q19" s="171">
        <f t="shared" si="3"/>
        <v>0</v>
      </c>
      <c r="R19" s="64"/>
      <c r="S19" s="64"/>
      <c r="T19" s="171">
        <f t="shared" si="4"/>
        <v>0</v>
      </c>
      <c r="U19" s="64"/>
      <c r="V19" s="64"/>
      <c r="W19" s="171">
        <f t="shared" si="5"/>
        <v>0</v>
      </c>
    </row>
    <row r="20" spans="2:23" ht="15" x14ac:dyDescent="0.2">
      <c r="B20" s="129">
        <f t="shared" si="6"/>
        <v>5</v>
      </c>
      <c r="C20" s="68"/>
      <c r="D20" s="68"/>
      <c r="E20" s="69"/>
      <c r="F20" s="58"/>
      <c r="G20" s="59"/>
      <c r="H20" s="171">
        <f t="shared" si="0"/>
        <v>0</v>
      </c>
      <c r="I20" s="70"/>
      <c r="J20" s="71"/>
      <c r="K20" s="171">
        <f t="shared" si="1"/>
        <v>0</v>
      </c>
      <c r="L20" s="64"/>
      <c r="M20" s="64"/>
      <c r="N20" s="171">
        <f t="shared" si="2"/>
        <v>0</v>
      </c>
      <c r="O20" s="64"/>
      <c r="P20" s="64"/>
      <c r="Q20" s="171">
        <f t="shared" si="3"/>
        <v>0</v>
      </c>
      <c r="R20" s="64"/>
      <c r="S20" s="64"/>
      <c r="T20" s="171">
        <f t="shared" si="4"/>
        <v>0</v>
      </c>
      <c r="U20" s="64"/>
      <c r="V20" s="64"/>
      <c r="W20" s="171">
        <f t="shared" si="5"/>
        <v>0</v>
      </c>
    </row>
    <row r="21" spans="2:23" ht="15" x14ac:dyDescent="0.2">
      <c r="B21" s="129">
        <f t="shared" si="6"/>
        <v>6</v>
      </c>
      <c r="C21" s="68"/>
      <c r="D21" s="68"/>
      <c r="E21" s="69"/>
      <c r="F21" s="58"/>
      <c r="G21" s="59"/>
      <c r="H21" s="171">
        <f t="shared" si="0"/>
        <v>0</v>
      </c>
      <c r="I21" s="70"/>
      <c r="J21" s="71"/>
      <c r="K21" s="171">
        <f t="shared" si="1"/>
        <v>0</v>
      </c>
      <c r="L21" s="64"/>
      <c r="M21" s="64"/>
      <c r="N21" s="171">
        <f t="shared" si="2"/>
        <v>0</v>
      </c>
      <c r="O21" s="64"/>
      <c r="P21" s="64"/>
      <c r="Q21" s="171">
        <f t="shared" si="3"/>
        <v>0</v>
      </c>
      <c r="R21" s="64"/>
      <c r="S21" s="64"/>
      <c r="T21" s="171">
        <f t="shared" si="4"/>
        <v>0</v>
      </c>
      <c r="U21" s="64"/>
      <c r="V21" s="64"/>
      <c r="W21" s="171">
        <f t="shared" si="5"/>
        <v>0</v>
      </c>
    </row>
    <row r="22" spans="2:23" ht="15" x14ac:dyDescent="0.2">
      <c r="B22" s="129">
        <f t="shared" si="6"/>
        <v>7</v>
      </c>
      <c r="C22" s="68"/>
      <c r="D22" s="68"/>
      <c r="E22" s="69"/>
      <c r="F22" s="58"/>
      <c r="G22" s="59"/>
      <c r="H22" s="171">
        <f t="shared" si="0"/>
        <v>0</v>
      </c>
      <c r="I22" s="70"/>
      <c r="J22" s="71"/>
      <c r="K22" s="171">
        <f t="shared" si="1"/>
        <v>0</v>
      </c>
      <c r="L22" s="64"/>
      <c r="M22" s="64"/>
      <c r="N22" s="171">
        <f t="shared" si="2"/>
        <v>0</v>
      </c>
      <c r="O22" s="64"/>
      <c r="P22" s="64"/>
      <c r="Q22" s="171">
        <f t="shared" si="3"/>
        <v>0</v>
      </c>
      <c r="R22" s="64"/>
      <c r="S22" s="64"/>
      <c r="T22" s="171">
        <f t="shared" si="4"/>
        <v>0</v>
      </c>
      <c r="U22" s="64"/>
      <c r="V22" s="64"/>
      <c r="W22" s="171">
        <f t="shared" si="5"/>
        <v>0</v>
      </c>
    </row>
    <row r="23" spans="2:23" ht="15" x14ac:dyDescent="0.2">
      <c r="B23" s="129">
        <f t="shared" si="6"/>
        <v>8</v>
      </c>
      <c r="C23" s="68"/>
      <c r="D23" s="68"/>
      <c r="E23" s="69"/>
      <c r="F23" s="58"/>
      <c r="G23" s="59"/>
      <c r="H23" s="171">
        <f t="shared" si="0"/>
        <v>0</v>
      </c>
      <c r="I23" s="70"/>
      <c r="J23" s="71"/>
      <c r="K23" s="171">
        <f t="shared" si="1"/>
        <v>0</v>
      </c>
      <c r="L23" s="64"/>
      <c r="M23" s="64"/>
      <c r="N23" s="171">
        <f t="shared" si="2"/>
        <v>0</v>
      </c>
      <c r="O23" s="64"/>
      <c r="P23" s="64"/>
      <c r="Q23" s="171">
        <f t="shared" si="3"/>
        <v>0</v>
      </c>
      <c r="R23" s="64"/>
      <c r="S23" s="64"/>
      <c r="T23" s="171">
        <f t="shared" si="4"/>
        <v>0</v>
      </c>
      <c r="U23" s="64"/>
      <c r="V23" s="64"/>
      <c r="W23" s="171">
        <f t="shared" si="5"/>
        <v>0</v>
      </c>
    </row>
    <row r="24" spans="2:23" ht="15" x14ac:dyDescent="0.2">
      <c r="B24" s="129">
        <f t="shared" si="6"/>
        <v>9</v>
      </c>
      <c r="C24" s="68"/>
      <c r="D24" s="68"/>
      <c r="E24" s="69"/>
      <c r="F24" s="58"/>
      <c r="G24" s="59"/>
      <c r="H24" s="171">
        <f t="shared" si="0"/>
        <v>0</v>
      </c>
      <c r="I24" s="70"/>
      <c r="J24" s="71"/>
      <c r="K24" s="171">
        <f t="shared" si="1"/>
        <v>0</v>
      </c>
      <c r="L24" s="64"/>
      <c r="M24" s="64"/>
      <c r="N24" s="171">
        <f t="shared" si="2"/>
        <v>0</v>
      </c>
      <c r="O24" s="64"/>
      <c r="P24" s="64"/>
      <c r="Q24" s="171">
        <f t="shared" si="3"/>
        <v>0</v>
      </c>
      <c r="R24" s="64"/>
      <c r="S24" s="64"/>
      <c r="T24" s="171">
        <f t="shared" si="4"/>
        <v>0</v>
      </c>
      <c r="U24" s="64"/>
      <c r="V24" s="64"/>
      <c r="W24" s="171">
        <f t="shared" si="5"/>
        <v>0</v>
      </c>
    </row>
    <row r="25" spans="2:23" ht="15" x14ac:dyDescent="0.2">
      <c r="B25" s="129">
        <f t="shared" si="6"/>
        <v>10</v>
      </c>
      <c r="C25" s="68"/>
      <c r="D25" s="68"/>
      <c r="E25" s="69"/>
      <c r="F25" s="58"/>
      <c r="G25" s="59"/>
      <c r="H25" s="171">
        <f t="shared" si="0"/>
        <v>0</v>
      </c>
      <c r="I25" s="70"/>
      <c r="J25" s="71"/>
      <c r="K25" s="171">
        <f t="shared" si="1"/>
        <v>0</v>
      </c>
      <c r="L25" s="64"/>
      <c r="M25" s="64"/>
      <c r="N25" s="171">
        <f t="shared" si="2"/>
        <v>0</v>
      </c>
      <c r="O25" s="64"/>
      <c r="P25" s="64"/>
      <c r="Q25" s="171">
        <f t="shared" si="3"/>
        <v>0</v>
      </c>
      <c r="R25" s="64"/>
      <c r="S25" s="64"/>
      <c r="T25" s="171">
        <f t="shared" si="4"/>
        <v>0</v>
      </c>
      <c r="U25" s="64"/>
      <c r="V25" s="64"/>
      <c r="W25" s="171">
        <f t="shared" si="5"/>
        <v>0</v>
      </c>
    </row>
    <row r="26" spans="2:23" ht="15" x14ac:dyDescent="0.2">
      <c r="B26" s="129">
        <f t="shared" si="6"/>
        <v>11</v>
      </c>
      <c r="C26" s="68"/>
      <c r="D26" s="68"/>
      <c r="E26" s="69"/>
      <c r="F26" s="58"/>
      <c r="G26" s="59"/>
      <c r="H26" s="171">
        <f t="shared" si="0"/>
        <v>0</v>
      </c>
      <c r="I26" s="70"/>
      <c r="J26" s="71"/>
      <c r="K26" s="171">
        <f t="shared" si="1"/>
        <v>0</v>
      </c>
      <c r="L26" s="64"/>
      <c r="M26" s="64"/>
      <c r="N26" s="171">
        <f t="shared" si="2"/>
        <v>0</v>
      </c>
      <c r="O26" s="64"/>
      <c r="P26" s="64"/>
      <c r="Q26" s="171">
        <f t="shared" si="3"/>
        <v>0</v>
      </c>
      <c r="R26" s="64"/>
      <c r="S26" s="64"/>
      <c r="T26" s="171">
        <f t="shared" si="4"/>
        <v>0</v>
      </c>
      <c r="U26" s="64"/>
      <c r="V26" s="64"/>
      <c r="W26" s="171">
        <f t="shared" si="5"/>
        <v>0</v>
      </c>
    </row>
    <row r="27" spans="2:23" ht="15" x14ac:dyDescent="0.2">
      <c r="B27" s="129">
        <f t="shared" si="6"/>
        <v>12</v>
      </c>
      <c r="C27" s="68"/>
      <c r="D27" s="68"/>
      <c r="E27" s="69"/>
      <c r="F27" s="58"/>
      <c r="G27" s="59"/>
      <c r="H27" s="171">
        <f t="shared" si="0"/>
        <v>0</v>
      </c>
      <c r="I27" s="70"/>
      <c r="J27" s="71"/>
      <c r="K27" s="171">
        <f t="shared" si="1"/>
        <v>0</v>
      </c>
      <c r="L27" s="64"/>
      <c r="M27" s="64"/>
      <c r="N27" s="171">
        <f t="shared" si="2"/>
        <v>0</v>
      </c>
      <c r="O27" s="64"/>
      <c r="P27" s="64"/>
      <c r="Q27" s="171">
        <f t="shared" si="3"/>
        <v>0</v>
      </c>
      <c r="R27" s="64"/>
      <c r="S27" s="64"/>
      <c r="T27" s="171">
        <f t="shared" si="4"/>
        <v>0</v>
      </c>
      <c r="U27" s="64"/>
      <c r="V27" s="64"/>
      <c r="W27" s="171">
        <f t="shared" si="5"/>
        <v>0</v>
      </c>
    </row>
    <row r="28" spans="2:23" ht="15" x14ac:dyDescent="0.2">
      <c r="B28" s="129">
        <f t="shared" si="6"/>
        <v>13</v>
      </c>
      <c r="C28" s="68"/>
      <c r="D28" s="68"/>
      <c r="E28" s="69"/>
      <c r="F28" s="58"/>
      <c r="G28" s="59"/>
      <c r="H28" s="171">
        <f t="shared" si="0"/>
        <v>0</v>
      </c>
      <c r="I28" s="70"/>
      <c r="J28" s="71"/>
      <c r="K28" s="171">
        <f t="shared" si="1"/>
        <v>0</v>
      </c>
      <c r="L28" s="64"/>
      <c r="M28" s="64"/>
      <c r="N28" s="171">
        <f t="shared" si="2"/>
        <v>0</v>
      </c>
      <c r="O28" s="64"/>
      <c r="P28" s="64"/>
      <c r="Q28" s="171">
        <f t="shared" si="3"/>
        <v>0</v>
      </c>
      <c r="R28" s="64"/>
      <c r="S28" s="64"/>
      <c r="T28" s="171">
        <f t="shared" si="4"/>
        <v>0</v>
      </c>
      <c r="U28" s="64"/>
      <c r="V28" s="64"/>
      <c r="W28" s="171">
        <f t="shared" si="5"/>
        <v>0</v>
      </c>
    </row>
    <row r="29" spans="2:23" ht="15" x14ac:dyDescent="0.2">
      <c r="B29" s="129">
        <f t="shared" si="6"/>
        <v>14</v>
      </c>
      <c r="C29" s="68"/>
      <c r="D29" s="68"/>
      <c r="E29" s="69"/>
      <c r="F29" s="58"/>
      <c r="G29" s="59"/>
      <c r="H29" s="171">
        <f t="shared" si="0"/>
        <v>0</v>
      </c>
      <c r="I29" s="70"/>
      <c r="J29" s="71"/>
      <c r="K29" s="171">
        <f t="shared" si="1"/>
        <v>0</v>
      </c>
      <c r="L29" s="64"/>
      <c r="M29" s="64"/>
      <c r="N29" s="171">
        <f t="shared" si="2"/>
        <v>0</v>
      </c>
      <c r="O29" s="64"/>
      <c r="P29" s="64"/>
      <c r="Q29" s="171">
        <f t="shared" si="3"/>
        <v>0</v>
      </c>
      <c r="R29" s="64"/>
      <c r="S29" s="64"/>
      <c r="T29" s="171">
        <f t="shared" si="4"/>
        <v>0</v>
      </c>
      <c r="U29" s="64"/>
      <c r="V29" s="64"/>
      <c r="W29" s="171">
        <f t="shared" si="5"/>
        <v>0</v>
      </c>
    </row>
    <row r="30" spans="2:23" ht="15" x14ac:dyDescent="0.2">
      <c r="B30" s="129">
        <f t="shared" si="6"/>
        <v>15</v>
      </c>
      <c r="C30" s="68"/>
      <c r="D30" s="68"/>
      <c r="E30" s="69"/>
      <c r="F30" s="58"/>
      <c r="G30" s="59"/>
      <c r="H30" s="171">
        <f t="shared" si="0"/>
        <v>0</v>
      </c>
      <c r="I30" s="70"/>
      <c r="J30" s="71"/>
      <c r="K30" s="171">
        <f t="shared" si="1"/>
        <v>0</v>
      </c>
      <c r="L30" s="64"/>
      <c r="M30" s="64"/>
      <c r="N30" s="171">
        <f t="shared" si="2"/>
        <v>0</v>
      </c>
      <c r="O30" s="64"/>
      <c r="P30" s="64"/>
      <c r="Q30" s="171">
        <f t="shared" si="3"/>
        <v>0</v>
      </c>
      <c r="R30" s="64"/>
      <c r="S30" s="64"/>
      <c r="T30" s="171">
        <f t="shared" si="4"/>
        <v>0</v>
      </c>
      <c r="U30" s="64"/>
      <c r="V30" s="64"/>
      <c r="W30" s="171">
        <f t="shared" si="5"/>
        <v>0</v>
      </c>
    </row>
    <row r="31" spans="2:23" ht="15" x14ac:dyDescent="0.2">
      <c r="B31" s="129">
        <f t="shared" si="6"/>
        <v>16</v>
      </c>
      <c r="C31" s="68"/>
      <c r="D31" s="68"/>
      <c r="E31" s="69"/>
      <c r="F31" s="58"/>
      <c r="G31" s="59"/>
      <c r="H31" s="171">
        <f t="shared" si="0"/>
        <v>0</v>
      </c>
      <c r="I31" s="70"/>
      <c r="J31" s="71"/>
      <c r="K31" s="171">
        <f t="shared" si="1"/>
        <v>0</v>
      </c>
      <c r="L31" s="64"/>
      <c r="M31" s="64"/>
      <c r="N31" s="171">
        <f t="shared" si="2"/>
        <v>0</v>
      </c>
      <c r="O31" s="64"/>
      <c r="P31" s="64"/>
      <c r="Q31" s="171">
        <f t="shared" si="3"/>
        <v>0</v>
      </c>
      <c r="R31" s="64"/>
      <c r="S31" s="64"/>
      <c r="T31" s="171">
        <f t="shared" si="4"/>
        <v>0</v>
      </c>
      <c r="U31" s="64"/>
      <c r="V31" s="64"/>
      <c r="W31" s="171">
        <f t="shared" si="5"/>
        <v>0</v>
      </c>
    </row>
    <row r="32" spans="2:23" ht="15" x14ac:dyDescent="0.2">
      <c r="B32" s="129">
        <f t="shared" si="6"/>
        <v>17</v>
      </c>
      <c r="C32" s="68"/>
      <c r="D32" s="68"/>
      <c r="E32" s="69"/>
      <c r="F32" s="58"/>
      <c r="G32" s="59"/>
      <c r="H32" s="171">
        <f t="shared" si="0"/>
        <v>0</v>
      </c>
      <c r="I32" s="70"/>
      <c r="J32" s="71"/>
      <c r="K32" s="171">
        <f t="shared" si="1"/>
        <v>0</v>
      </c>
      <c r="L32" s="64"/>
      <c r="M32" s="64"/>
      <c r="N32" s="171">
        <f t="shared" si="2"/>
        <v>0</v>
      </c>
      <c r="O32" s="64"/>
      <c r="P32" s="64"/>
      <c r="Q32" s="171">
        <f t="shared" si="3"/>
        <v>0</v>
      </c>
      <c r="R32" s="64"/>
      <c r="S32" s="64"/>
      <c r="T32" s="171">
        <f t="shared" si="4"/>
        <v>0</v>
      </c>
      <c r="U32" s="64"/>
      <c r="V32" s="64"/>
      <c r="W32" s="171">
        <f t="shared" si="5"/>
        <v>0</v>
      </c>
    </row>
    <row r="33" spans="2:23" ht="15" x14ac:dyDescent="0.2">
      <c r="B33" s="135">
        <f t="shared" si="6"/>
        <v>18</v>
      </c>
      <c r="C33" s="68"/>
      <c r="D33" s="68"/>
      <c r="E33" s="69"/>
      <c r="F33" s="58"/>
      <c r="G33" s="59"/>
      <c r="H33" s="171">
        <f t="shared" si="0"/>
        <v>0</v>
      </c>
      <c r="I33" s="70"/>
      <c r="J33" s="71"/>
      <c r="K33" s="171">
        <f t="shared" si="1"/>
        <v>0</v>
      </c>
      <c r="L33" s="64"/>
      <c r="M33" s="64"/>
      <c r="N33" s="171">
        <f t="shared" si="2"/>
        <v>0</v>
      </c>
      <c r="O33" s="64"/>
      <c r="P33" s="64"/>
      <c r="Q33" s="171">
        <f t="shared" si="3"/>
        <v>0</v>
      </c>
      <c r="R33" s="64"/>
      <c r="S33" s="64"/>
      <c r="T33" s="171">
        <f t="shared" si="4"/>
        <v>0</v>
      </c>
      <c r="U33" s="64"/>
      <c r="V33" s="64"/>
      <c r="W33" s="171">
        <f t="shared" si="5"/>
        <v>0</v>
      </c>
    </row>
    <row r="34" spans="2:23" ht="15" x14ac:dyDescent="0.2">
      <c r="B34" s="135">
        <f t="shared" si="6"/>
        <v>19</v>
      </c>
      <c r="C34" s="68"/>
      <c r="D34" s="68"/>
      <c r="E34" s="69"/>
      <c r="F34" s="58"/>
      <c r="G34" s="59"/>
      <c r="H34" s="171">
        <f t="shared" si="0"/>
        <v>0</v>
      </c>
      <c r="I34" s="70"/>
      <c r="J34" s="71"/>
      <c r="K34" s="171">
        <f t="shared" si="1"/>
        <v>0</v>
      </c>
      <c r="L34" s="64"/>
      <c r="M34" s="64"/>
      <c r="N34" s="171">
        <f t="shared" si="2"/>
        <v>0</v>
      </c>
      <c r="O34" s="64"/>
      <c r="P34" s="64"/>
      <c r="Q34" s="171">
        <f t="shared" si="3"/>
        <v>0</v>
      </c>
      <c r="R34" s="64"/>
      <c r="S34" s="64"/>
      <c r="T34" s="171">
        <f t="shared" si="4"/>
        <v>0</v>
      </c>
      <c r="U34" s="64"/>
      <c r="V34" s="64"/>
      <c r="W34" s="171">
        <f t="shared" si="5"/>
        <v>0</v>
      </c>
    </row>
    <row r="35" spans="2:23" ht="15.75" thickBot="1" x14ac:dyDescent="0.25">
      <c r="B35" s="136">
        <f>B34+1</f>
        <v>20</v>
      </c>
      <c r="C35" s="72"/>
      <c r="D35" s="72"/>
      <c r="E35" s="69"/>
      <c r="F35" s="58"/>
      <c r="G35" s="73"/>
      <c r="H35" s="172">
        <f t="shared" si="0"/>
        <v>0</v>
      </c>
      <c r="I35" s="74"/>
      <c r="J35" s="75"/>
      <c r="K35" s="172">
        <f t="shared" si="1"/>
        <v>0</v>
      </c>
      <c r="L35" s="64"/>
      <c r="M35" s="64"/>
      <c r="N35" s="172">
        <f t="shared" si="2"/>
        <v>0</v>
      </c>
      <c r="O35" s="64"/>
      <c r="P35" s="64"/>
      <c r="Q35" s="172">
        <f t="shared" si="3"/>
        <v>0</v>
      </c>
      <c r="R35" s="64"/>
      <c r="S35" s="64"/>
      <c r="T35" s="172">
        <f t="shared" si="4"/>
        <v>0</v>
      </c>
      <c r="U35" s="64"/>
      <c r="V35" s="64"/>
      <c r="W35" s="171">
        <f t="shared" si="5"/>
        <v>0</v>
      </c>
    </row>
    <row r="36" spans="2:23" ht="21" customHeight="1" thickBot="1" x14ac:dyDescent="0.25">
      <c r="C36" s="228" t="s">
        <v>16</v>
      </c>
      <c r="D36" s="229"/>
      <c r="E36" s="140" t="s">
        <v>13</v>
      </c>
      <c r="F36" s="76">
        <f t="shared" ref="F36:U38" si="7">SUMIF($E$16:$E$35,$E36,F$16:F$35)</f>
        <v>0</v>
      </c>
      <c r="G36" s="77">
        <f t="shared" si="7"/>
        <v>0</v>
      </c>
      <c r="H36" s="55">
        <f>SUM(F36:G36)</f>
        <v>0</v>
      </c>
      <c r="I36" s="76">
        <f t="shared" si="7"/>
        <v>0</v>
      </c>
      <c r="J36" s="77">
        <f t="shared" si="7"/>
        <v>0</v>
      </c>
      <c r="K36" s="55">
        <f>SUM(I36:J36)</f>
        <v>0</v>
      </c>
      <c r="L36" s="76">
        <f t="shared" si="7"/>
        <v>0</v>
      </c>
      <c r="M36" s="77">
        <f t="shared" si="7"/>
        <v>0</v>
      </c>
      <c r="N36" s="55">
        <f>SUM(L36:M36)</f>
        <v>0</v>
      </c>
      <c r="O36" s="76">
        <f t="shared" si="7"/>
        <v>0</v>
      </c>
      <c r="P36" s="77">
        <f t="shared" si="7"/>
        <v>0</v>
      </c>
      <c r="Q36" s="55">
        <f>SUM(O36:P36)</f>
        <v>0</v>
      </c>
      <c r="R36" s="76">
        <f t="shared" si="7"/>
        <v>0</v>
      </c>
      <c r="S36" s="77">
        <f t="shared" si="7"/>
        <v>0</v>
      </c>
      <c r="T36" s="55">
        <f>SUM(R36:S36)</f>
        <v>0</v>
      </c>
      <c r="U36" s="76">
        <f t="shared" si="7"/>
        <v>0</v>
      </c>
      <c r="V36" s="77">
        <f t="shared" ref="U36:V38" si="8">SUMIF($E$16:$E$35,$E36,V$16:V$35)</f>
        <v>0</v>
      </c>
      <c r="W36" s="55">
        <f>SUM(U36:V36)</f>
        <v>0</v>
      </c>
    </row>
    <row r="37" spans="2:23" ht="21" customHeight="1" thickBot="1" x14ac:dyDescent="0.25">
      <c r="C37" s="165" t="s">
        <v>17</v>
      </c>
      <c r="D37" s="165"/>
      <c r="E37" s="140" t="s">
        <v>14</v>
      </c>
      <c r="F37" s="76">
        <f t="shared" si="7"/>
        <v>0</v>
      </c>
      <c r="G37" s="77">
        <f t="shared" si="7"/>
        <v>0</v>
      </c>
      <c r="H37" s="55">
        <f>SUM(F37:G37)</f>
        <v>0</v>
      </c>
      <c r="I37" s="76">
        <f t="shared" si="7"/>
        <v>0</v>
      </c>
      <c r="J37" s="77">
        <f t="shared" si="7"/>
        <v>0</v>
      </c>
      <c r="K37" s="55">
        <f>SUM(I37:J37)</f>
        <v>0</v>
      </c>
      <c r="L37" s="76">
        <f t="shared" si="7"/>
        <v>0</v>
      </c>
      <c r="M37" s="77">
        <f t="shared" si="7"/>
        <v>0</v>
      </c>
      <c r="N37" s="55">
        <f>SUM(L37:M37)</f>
        <v>0</v>
      </c>
      <c r="O37" s="76">
        <f t="shared" si="7"/>
        <v>0</v>
      </c>
      <c r="P37" s="77">
        <f t="shared" si="7"/>
        <v>0</v>
      </c>
      <c r="Q37" s="55">
        <f>SUM(O37:P37)</f>
        <v>0</v>
      </c>
      <c r="R37" s="76">
        <f t="shared" si="7"/>
        <v>0</v>
      </c>
      <c r="S37" s="77">
        <f t="shared" si="7"/>
        <v>0</v>
      </c>
      <c r="T37" s="55">
        <f>SUM(R37:S37)</f>
        <v>0</v>
      </c>
      <c r="U37" s="76">
        <f t="shared" si="8"/>
        <v>0</v>
      </c>
      <c r="V37" s="77">
        <f t="shared" si="8"/>
        <v>0</v>
      </c>
      <c r="W37" s="55">
        <f>SUM(U37:V37)</f>
        <v>0</v>
      </c>
    </row>
    <row r="38" spans="2:23" ht="21" customHeight="1" thickBot="1" x14ac:dyDescent="0.25">
      <c r="C38" s="165" t="s">
        <v>18</v>
      </c>
      <c r="D38" s="165"/>
      <c r="E38" s="140" t="s">
        <v>27</v>
      </c>
      <c r="F38" s="76">
        <f t="shared" si="7"/>
        <v>0</v>
      </c>
      <c r="G38" s="77">
        <f t="shared" si="7"/>
        <v>0</v>
      </c>
      <c r="H38" s="55">
        <f>SUM(F38:G38)</f>
        <v>0</v>
      </c>
      <c r="I38" s="76">
        <f t="shared" si="7"/>
        <v>0</v>
      </c>
      <c r="J38" s="77">
        <f t="shared" si="7"/>
        <v>0</v>
      </c>
      <c r="K38" s="55">
        <f>SUM(I38:J38)</f>
        <v>0</v>
      </c>
      <c r="L38" s="76">
        <f t="shared" si="7"/>
        <v>0</v>
      </c>
      <c r="M38" s="77">
        <f t="shared" si="7"/>
        <v>0</v>
      </c>
      <c r="N38" s="55">
        <f>SUM(L38:M38)</f>
        <v>0</v>
      </c>
      <c r="O38" s="76">
        <f t="shared" si="7"/>
        <v>0</v>
      </c>
      <c r="P38" s="77">
        <f t="shared" si="7"/>
        <v>0</v>
      </c>
      <c r="Q38" s="55">
        <f>SUM(O38:P38)</f>
        <v>0</v>
      </c>
      <c r="R38" s="76">
        <f t="shared" si="7"/>
        <v>0</v>
      </c>
      <c r="S38" s="77">
        <f t="shared" si="7"/>
        <v>0</v>
      </c>
      <c r="T38" s="55">
        <f>SUM(R38:S38)</f>
        <v>0</v>
      </c>
      <c r="U38" s="76">
        <f t="shared" si="8"/>
        <v>0</v>
      </c>
      <c r="V38" s="77">
        <f t="shared" si="8"/>
        <v>0</v>
      </c>
      <c r="W38" s="55">
        <f>SUM(U38:V38)</f>
        <v>0</v>
      </c>
    </row>
    <row r="39" spans="2:23" ht="22.5" customHeight="1" thickBot="1" x14ac:dyDescent="0.25">
      <c r="C39" s="222" t="s">
        <v>125</v>
      </c>
      <c r="D39" s="223"/>
      <c r="E39" s="224"/>
      <c r="F39" s="54">
        <f>F36+F37+F38</f>
        <v>0</v>
      </c>
      <c r="G39" s="54">
        <f>G36+G37+G38</f>
        <v>0</v>
      </c>
      <c r="H39" s="55">
        <f>F39+G39</f>
        <v>0</v>
      </c>
      <c r="I39" s="54">
        <f>I36+I37+I38</f>
        <v>0</v>
      </c>
      <c r="J39" s="54">
        <f>J36+J37+J38</f>
        <v>0</v>
      </c>
      <c r="K39" s="55">
        <f>I39+J39</f>
        <v>0</v>
      </c>
      <c r="L39" s="54">
        <f>L36+L37+L38</f>
        <v>0</v>
      </c>
      <c r="M39" s="54">
        <f>M36+M37+M38</f>
        <v>0</v>
      </c>
      <c r="N39" s="55">
        <f>L39+M39</f>
        <v>0</v>
      </c>
      <c r="O39" s="54">
        <f>O36+O37+O38</f>
        <v>0</v>
      </c>
      <c r="P39" s="54">
        <f>P36+P37+P38</f>
        <v>0</v>
      </c>
      <c r="Q39" s="55">
        <f>O39+P39</f>
        <v>0</v>
      </c>
      <c r="R39" s="54">
        <f>R36+R37+R38</f>
        <v>0</v>
      </c>
      <c r="S39" s="54">
        <f>S36+S37+S38</f>
        <v>0</v>
      </c>
      <c r="T39" s="55">
        <f>R39+S39</f>
        <v>0</v>
      </c>
      <c r="U39" s="54">
        <f>U36+U37+U38</f>
        <v>0</v>
      </c>
      <c r="V39" s="54">
        <f>V36+V37+V38</f>
        <v>0</v>
      </c>
      <c r="W39" s="55">
        <f>U39+V39</f>
        <v>0</v>
      </c>
    </row>
    <row r="40" spans="2:23" ht="6" customHeight="1" x14ac:dyDescent="0.2"/>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C39:E39"/>
    <mergeCell ref="B5:N5"/>
    <mergeCell ref="I14:K14"/>
    <mergeCell ref="L14:N14"/>
    <mergeCell ref="B14:B15"/>
    <mergeCell ref="C14:C15"/>
    <mergeCell ref="F14:H14"/>
    <mergeCell ref="E14:E15"/>
    <mergeCell ref="D14:D15"/>
    <mergeCell ref="C36:D36"/>
    <mergeCell ref="O14:Q14"/>
    <mergeCell ref="R14:T14"/>
    <mergeCell ref="U14:W14"/>
    <mergeCell ref="E1:J1"/>
    <mergeCell ref="B7:E7"/>
    <mergeCell ref="B11:E11"/>
  </mergeCells>
  <phoneticPr fontId="2" type="noConversion"/>
  <dataValidations count="1">
    <dataValidation type="list" allowBlank="1" showInputMessage="1" showErrorMessage="1" sqref="E16:E35" xr:uid="{00000000-0002-0000-0300-000000000000}">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42"/>
  <sheetViews>
    <sheetView showGridLines="0" showZeros="0" zoomScale="70" zoomScaleNormal="70" workbookViewId="0">
      <pane xSplit="4" ySplit="13" topLeftCell="E14" activePane="bottomRight" state="frozen"/>
      <selection activeCell="E44" sqref="E44"/>
      <selection pane="topRight" activeCell="E44" sqref="E44"/>
      <selection pane="bottomLeft" activeCell="E44" sqref="E44"/>
      <selection pane="bottomRight" activeCell="C26" sqref="C26"/>
    </sheetView>
  </sheetViews>
  <sheetFormatPr baseColWidth="10" defaultColWidth="11.42578125" defaultRowHeight="14.25" x14ac:dyDescent="0.2"/>
  <cols>
    <col min="1" max="1" width="1.7109375" style="16" customWidth="1"/>
    <col min="2" max="2" width="14.7109375" style="16" customWidth="1"/>
    <col min="3" max="3" width="96.28515625" style="16" customWidth="1"/>
    <col min="4" max="4" width="18.140625" style="16" customWidth="1"/>
    <col min="5" max="5" width="14.7109375" style="16" hidden="1" customWidth="1"/>
    <col min="6" max="7" width="18.140625" style="16" bestFit="1" customWidth="1"/>
    <col min="8" max="8" width="14.7109375" style="16" hidden="1" customWidth="1"/>
    <col min="9" max="10" width="17.7109375" style="16" bestFit="1" customWidth="1"/>
    <col min="11" max="11" width="14.7109375" style="16" hidden="1" customWidth="1"/>
    <col min="12" max="13" width="14.7109375" style="16" customWidth="1"/>
    <col min="14" max="14" width="15.42578125" style="16" hidden="1" customWidth="1"/>
    <col min="15" max="15" width="15.28515625" style="16" customWidth="1"/>
    <col min="16" max="16" width="16" style="16" customWidth="1"/>
    <col min="17" max="17" width="15" style="16" hidden="1" customWidth="1"/>
    <col min="18" max="19" width="15" style="16" customWidth="1"/>
    <col min="20" max="20" width="15.42578125" style="16" customWidth="1"/>
    <col min="21" max="21" width="14.28515625" style="16" customWidth="1"/>
    <col min="22" max="22" width="14.7109375" style="16" customWidth="1"/>
    <col min="23" max="16384" width="11.42578125" style="16"/>
  </cols>
  <sheetData>
    <row r="1" spans="1:22" ht="63" customHeight="1" x14ac:dyDescent="0.2">
      <c r="E1" s="221"/>
      <c r="F1" s="221"/>
      <c r="G1" s="221"/>
      <c r="H1" s="221"/>
      <c r="I1" s="221"/>
      <c r="J1" s="12"/>
      <c r="K1" s="12"/>
      <c r="L1" s="12"/>
      <c r="M1" s="12"/>
    </row>
    <row r="4" spans="1:22" ht="15" x14ac:dyDescent="0.2">
      <c r="B4" s="92" t="s">
        <v>5</v>
      </c>
    </row>
    <row r="5" spans="1:22" ht="15" x14ac:dyDescent="0.2">
      <c r="B5" s="21" t="s">
        <v>15</v>
      </c>
    </row>
    <row r="7" spans="1:22" ht="28.5" customHeight="1" x14ac:dyDescent="0.2">
      <c r="B7" s="217" t="s">
        <v>149</v>
      </c>
      <c r="C7" s="217"/>
      <c r="D7" s="217"/>
      <c r="E7" s="189"/>
    </row>
    <row r="8" spans="1:22" ht="15" x14ac:dyDescent="0.2">
      <c r="B8" s="125"/>
      <c r="C8" s="166"/>
      <c r="D8" s="19"/>
      <c r="E8" s="87"/>
    </row>
    <row r="9" spans="1:22" ht="29.25" customHeight="1" x14ac:dyDescent="0.2">
      <c r="B9" s="217" t="s">
        <v>129</v>
      </c>
      <c r="C9" s="217"/>
      <c r="D9" s="217"/>
      <c r="E9" s="87"/>
    </row>
    <row r="10" spans="1:22" ht="15" x14ac:dyDescent="0.2">
      <c r="B10" s="125"/>
      <c r="C10" s="166"/>
      <c r="D10" s="166"/>
      <c r="E10" s="87"/>
    </row>
    <row r="11" spans="1:22" ht="6" customHeight="1" thickBot="1" x14ac:dyDescent="0.25"/>
    <row r="12" spans="1:22" ht="15.75" customHeight="1" thickBot="1" x14ac:dyDescent="0.25">
      <c r="A12" s="56"/>
      <c r="B12" s="213" t="s">
        <v>137</v>
      </c>
      <c r="C12" s="226" t="s">
        <v>146</v>
      </c>
      <c r="D12" s="213" t="s">
        <v>78</v>
      </c>
      <c r="E12" s="218">
        <f>Personal!F13</f>
        <v>2021</v>
      </c>
      <c r="F12" s="219"/>
      <c r="G12" s="220"/>
      <c r="H12" s="218">
        <f>E12+1</f>
        <v>2022</v>
      </c>
      <c r="I12" s="219"/>
      <c r="J12" s="220"/>
      <c r="K12" s="218">
        <f>H12+1</f>
        <v>2023</v>
      </c>
      <c r="L12" s="219"/>
      <c r="M12" s="220"/>
      <c r="N12" s="218">
        <f>K12+1</f>
        <v>2024</v>
      </c>
      <c r="O12" s="219"/>
      <c r="P12" s="220"/>
      <c r="Q12" s="218">
        <f>N12+1</f>
        <v>2025</v>
      </c>
      <c r="R12" s="219"/>
      <c r="S12" s="220"/>
      <c r="T12" s="218">
        <f>Q12+1</f>
        <v>2026</v>
      </c>
      <c r="U12" s="219"/>
      <c r="V12" s="220"/>
    </row>
    <row r="13" spans="1:22" s="56" customFormat="1" ht="66.75" customHeight="1" thickBot="1" x14ac:dyDescent="0.25">
      <c r="A13" s="16"/>
      <c r="B13" s="214" t="s">
        <v>1</v>
      </c>
      <c r="C13" s="227" t="s">
        <v>0</v>
      </c>
      <c r="D13" s="214"/>
      <c r="E13" s="137" t="s">
        <v>7</v>
      </c>
      <c r="F13" s="138" t="s">
        <v>139</v>
      </c>
      <c r="G13" s="139" t="s">
        <v>8</v>
      </c>
      <c r="H13" s="137" t="s">
        <v>7</v>
      </c>
      <c r="I13" s="138" t="s">
        <v>139</v>
      </c>
      <c r="J13" s="139" t="s">
        <v>8</v>
      </c>
      <c r="K13" s="141" t="s">
        <v>7</v>
      </c>
      <c r="L13" s="138" t="s">
        <v>139</v>
      </c>
      <c r="M13" s="139" t="s">
        <v>8</v>
      </c>
      <c r="N13" s="141" t="s">
        <v>7</v>
      </c>
      <c r="O13" s="138" t="s">
        <v>139</v>
      </c>
      <c r="P13" s="139" t="s">
        <v>8</v>
      </c>
      <c r="Q13" s="141" t="s">
        <v>7</v>
      </c>
      <c r="R13" s="138" t="s">
        <v>139</v>
      </c>
      <c r="S13" s="139" t="s">
        <v>8</v>
      </c>
      <c r="T13" s="141" t="s">
        <v>7</v>
      </c>
      <c r="U13" s="138" t="s">
        <v>139</v>
      </c>
      <c r="V13" s="139" t="s">
        <v>8</v>
      </c>
    </row>
    <row r="14" spans="1:22" ht="15.75" customHeight="1" x14ac:dyDescent="0.2">
      <c r="B14" s="128">
        <v>1</v>
      </c>
      <c r="C14" s="63" t="s">
        <v>158</v>
      </c>
      <c r="D14" s="161" t="s">
        <v>168</v>
      </c>
      <c r="E14" s="58"/>
      <c r="F14" s="64"/>
      <c r="G14" s="171">
        <f>E14+F14</f>
        <v>0</v>
      </c>
      <c r="H14" s="58"/>
      <c r="I14" s="64">
        <v>14474.89</v>
      </c>
      <c r="J14" s="171">
        <f>SUM(H14:I14)</f>
        <v>14474.89</v>
      </c>
      <c r="K14" s="58"/>
      <c r="L14" s="64"/>
      <c r="M14" s="171">
        <f>SUM(K14:L14)</f>
        <v>0</v>
      </c>
      <c r="N14" s="58"/>
      <c r="O14" s="64"/>
      <c r="P14" s="171">
        <f>SUM(N14:O14)</f>
        <v>0</v>
      </c>
      <c r="Q14" s="58"/>
      <c r="R14" s="64"/>
      <c r="S14" s="171">
        <f>SUM(Q14:R14)</f>
        <v>0</v>
      </c>
      <c r="T14" s="58"/>
      <c r="U14" s="64"/>
      <c r="V14" s="171">
        <f>SUM(T14:U14)</f>
        <v>0</v>
      </c>
    </row>
    <row r="15" spans="1:22" ht="15" x14ac:dyDescent="0.2">
      <c r="B15" s="129">
        <f>B14+1</f>
        <v>2</v>
      </c>
      <c r="C15" s="65" t="s">
        <v>336</v>
      </c>
      <c r="D15" s="162" t="s">
        <v>337</v>
      </c>
      <c r="E15" s="58"/>
      <c r="F15" s="59"/>
      <c r="G15" s="171">
        <f t="shared" ref="G15:G40" si="0">E15+F15</f>
        <v>0</v>
      </c>
      <c r="H15" s="58"/>
      <c r="I15" s="59">
        <v>500033.43000000005</v>
      </c>
      <c r="J15" s="171">
        <f t="shared" ref="J15:J40" si="1">SUM(H15:I15)</f>
        <v>500033.43000000005</v>
      </c>
      <c r="K15" s="58"/>
      <c r="L15" s="59"/>
      <c r="M15" s="171">
        <f t="shared" ref="M15:M40" si="2">SUM(K15:L15)</f>
        <v>0</v>
      </c>
      <c r="N15" s="58"/>
      <c r="O15" s="59"/>
      <c r="P15" s="171">
        <f t="shared" ref="P15:P40" si="3">SUM(N15:O15)</f>
        <v>0</v>
      </c>
      <c r="Q15" s="58"/>
      <c r="R15" s="59"/>
      <c r="S15" s="171">
        <f t="shared" ref="S15:S40" si="4">SUM(Q15:R15)</f>
        <v>0</v>
      </c>
      <c r="T15" s="58"/>
      <c r="U15" s="59"/>
      <c r="V15" s="171">
        <f t="shared" ref="V15:V40" si="5">SUM(T15:U15)</f>
        <v>0</v>
      </c>
    </row>
    <row r="16" spans="1:22" ht="15" x14ac:dyDescent="0.2">
      <c r="B16" s="129">
        <f t="shared" ref="B16:B40" si="6">B15+1</f>
        <v>3</v>
      </c>
      <c r="C16" s="65" t="s">
        <v>338</v>
      </c>
      <c r="D16" s="162" t="s">
        <v>339</v>
      </c>
      <c r="E16" s="58"/>
      <c r="F16" s="59"/>
      <c r="G16" s="171">
        <f t="shared" si="0"/>
        <v>0</v>
      </c>
      <c r="H16" s="58"/>
      <c r="I16" s="59">
        <v>775566.73000000033</v>
      </c>
      <c r="J16" s="171">
        <f t="shared" si="1"/>
        <v>775566.73000000033</v>
      </c>
      <c r="K16" s="58"/>
      <c r="L16" s="59"/>
      <c r="M16" s="171">
        <f t="shared" si="2"/>
        <v>0</v>
      </c>
      <c r="N16" s="58"/>
      <c r="O16" s="59"/>
      <c r="P16" s="171">
        <f t="shared" si="3"/>
        <v>0</v>
      </c>
      <c r="Q16" s="58"/>
      <c r="R16" s="59"/>
      <c r="S16" s="171">
        <f t="shared" si="4"/>
        <v>0</v>
      </c>
      <c r="T16" s="58"/>
      <c r="U16" s="59"/>
      <c r="V16" s="171">
        <f t="shared" si="5"/>
        <v>0</v>
      </c>
    </row>
    <row r="17" spans="2:22" ht="15" x14ac:dyDescent="0.2">
      <c r="B17" s="129">
        <f t="shared" si="6"/>
        <v>4</v>
      </c>
      <c r="C17" s="65" t="s">
        <v>159</v>
      </c>
      <c r="D17" s="162" t="s">
        <v>169</v>
      </c>
      <c r="E17" s="58"/>
      <c r="F17" s="59"/>
      <c r="G17" s="171">
        <f t="shared" si="0"/>
        <v>0</v>
      </c>
      <c r="H17" s="58"/>
      <c r="I17" s="59">
        <v>47700.479999999996</v>
      </c>
      <c r="J17" s="171">
        <f t="shared" si="1"/>
        <v>47700.479999999996</v>
      </c>
      <c r="K17" s="58"/>
      <c r="L17" s="59"/>
      <c r="M17" s="171">
        <f t="shared" si="2"/>
        <v>0</v>
      </c>
      <c r="N17" s="58"/>
      <c r="O17" s="59"/>
      <c r="P17" s="171">
        <f t="shared" si="3"/>
        <v>0</v>
      </c>
      <c r="Q17" s="58"/>
      <c r="R17" s="59"/>
      <c r="S17" s="171">
        <f t="shared" si="4"/>
        <v>0</v>
      </c>
      <c r="T17" s="58"/>
      <c r="U17" s="59"/>
      <c r="V17" s="171">
        <f t="shared" si="5"/>
        <v>0</v>
      </c>
    </row>
    <row r="18" spans="2:22" ht="15" x14ac:dyDescent="0.2">
      <c r="B18" s="129">
        <f t="shared" si="6"/>
        <v>5</v>
      </c>
      <c r="C18" s="65" t="s">
        <v>286</v>
      </c>
      <c r="D18" s="162" t="s">
        <v>287</v>
      </c>
      <c r="E18" s="58"/>
      <c r="F18" s="59"/>
      <c r="G18" s="171">
        <f t="shared" si="0"/>
        <v>0</v>
      </c>
      <c r="H18" s="58"/>
      <c r="I18" s="59">
        <v>13616.5</v>
      </c>
      <c r="J18" s="171">
        <f t="shared" si="1"/>
        <v>13616.5</v>
      </c>
      <c r="K18" s="58"/>
      <c r="L18" s="59"/>
      <c r="M18" s="171">
        <f t="shared" si="2"/>
        <v>0</v>
      </c>
      <c r="N18" s="58"/>
      <c r="O18" s="59"/>
      <c r="P18" s="171">
        <f t="shared" si="3"/>
        <v>0</v>
      </c>
      <c r="Q18" s="58"/>
      <c r="R18" s="59"/>
      <c r="S18" s="171">
        <f t="shared" si="4"/>
        <v>0</v>
      </c>
      <c r="T18" s="58"/>
      <c r="U18" s="59"/>
      <c r="V18" s="171">
        <f t="shared" si="5"/>
        <v>0</v>
      </c>
    </row>
    <row r="19" spans="2:22" ht="15" x14ac:dyDescent="0.2">
      <c r="B19" s="129">
        <f t="shared" si="6"/>
        <v>6</v>
      </c>
      <c r="C19" s="65" t="s">
        <v>160</v>
      </c>
      <c r="D19" s="162" t="s">
        <v>170</v>
      </c>
      <c r="E19" s="58"/>
      <c r="F19" s="59"/>
      <c r="G19" s="171">
        <f t="shared" si="0"/>
        <v>0</v>
      </c>
      <c r="H19" s="58"/>
      <c r="I19" s="59">
        <v>16228.29</v>
      </c>
      <c r="J19" s="171">
        <f t="shared" si="1"/>
        <v>16228.29</v>
      </c>
      <c r="K19" s="58"/>
      <c r="L19" s="59"/>
      <c r="M19" s="171">
        <f t="shared" si="2"/>
        <v>0</v>
      </c>
      <c r="N19" s="58"/>
      <c r="O19" s="59"/>
      <c r="P19" s="171">
        <f t="shared" si="3"/>
        <v>0</v>
      </c>
      <c r="Q19" s="58"/>
      <c r="R19" s="59"/>
      <c r="S19" s="171">
        <f t="shared" si="4"/>
        <v>0</v>
      </c>
      <c r="T19" s="58"/>
      <c r="U19" s="59"/>
      <c r="V19" s="171">
        <f t="shared" si="5"/>
        <v>0</v>
      </c>
    </row>
    <row r="20" spans="2:22" ht="15" x14ac:dyDescent="0.2">
      <c r="B20" s="129">
        <f t="shared" si="6"/>
        <v>7</v>
      </c>
      <c r="C20" s="65" t="s">
        <v>340</v>
      </c>
      <c r="D20" s="162" t="s">
        <v>341</v>
      </c>
      <c r="E20" s="58"/>
      <c r="F20" s="59"/>
      <c r="G20" s="171">
        <f t="shared" si="0"/>
        <v>0</v>
      </c>
      <c r="H20" s="58"/>
      <c r="I20" s="59">
        <v>35412</v>
      </c>
      <c r="J20" s="171">
        <f t="shared" si="1"/>
        <v>35412</v>
      </c>
      <c r="K20" s="58"/>
      <c r="L20" s="59"/>
      <c r="M20" s="171">
        <f t="shared" si="2"/>
        <v>0</v>
      </c>
      <c r="N20" s="58"/>
      <c r="O20" s="59"/>
      <c r="P20" s="171">
        <f t="shared" si="3"/>
        <v>0</v>
      </c>
      <c r="Q20" s="58"/>
      <c r="R20" s="59"/>
      <c r="S20" s="171">
        <f t="shared" si="4"/>
        <v>0</v>
      </c>
      <c r="T20" s="58"/>
      <c r="U20" s="59"/>
      <c r="V20" s="171">
        <f t="shared" si="5"/>
        <v>0</v>
      </c>
    </row>
    <row r="21" spans="2:22" ht="15" x14ac:dyDescent="0.2">
      <c r="B21" s="129">
        <f t="shared" si="6"/>
        <v>8</v>
      </c>
      <c r="C21" s="65" t="s">
        <v>161</v>
      </c>
      <c r="D21" s="162" t="s">
        <v>171</v>
      </c>
      <c r="E21" s="58"/>
      <c r="F21" s="59"/>
      <c r="G21" s="171">
        <f t="shared" si="0"/>
        <v>0</v>
      </c>
      <c r="H21" s="58"/>
      <c r="I21" s="59">
        <v>102005.06</v>
      </c>
      <c r="J21" s="171">
        <f t="shared" si="1"/>
        <v>102005.06</v>
      </c>
      <c r="K21" s="58"/>
      <c r="L21" s="59"/>
      <c r="M21" s="171">
        <f t="shared" si="2"/>
        <v>0</v>
      </c>
      <c r="N21" s="58"/>
      <c r="O21" s="59"/>
      <c r="P21" s="171">
        <f t="shared" si="3"/>
        <v>0</v>
      </c>
      <c r="Q21" s="58"/>
      <c r="R21" s="59"/>
      <c r="S21" s="171">
        <f t="shared" si="4"/>
        <v>0</v>
      </c>
      <c r="T21" s="58"/>
      <c r="U21" s="59"/>
      <c r="V21" s="171">
        <f t="shared" si="5"/>
        <v>0</v>
      </c>
    </row>
    <row r="22" spans="2:22" ht="15" x14ac:dyDescent="0.2">
      <c r="B22" s="129">
        <f t="shared" si="6"/>
        <v>9</v>
      </c>
      <c r="C22" s="65" t="s">
        <v>288</v>
      </c>
      <c r="D22" s="162" t="s">
        <v>289</v>
      </c>
      <c r="E22" s="58"/>
      <c r="F22" s="59"/>
      <c r="G22" s="171">
        <f t="shared" si="0"/>
        <v>0</v>
      </c>
      <c r="H22" s="58"/>
      <c r="I22" s="59">
        <v>16471.12</v>
      </c>
      <c r="J22" s="171">
        <f t="shared" si="1"/>
        <v>16471.12</v>
      </c>
      <c r="K22" s="58"/>
      <c r="L22" s="59"/>
      <c r="M22" s="171">
        <f t="shared" si="2"/>
        <v>0</v>
      </c>
      <c r="N22" s="58"/>
      <c r="O22" s="59"/>
      <c r="P22" s="171">
        <f t="shared" si="3"/>
        <v>0</v>
      </c>
      <c r="Q22" s="58"/>
      <c r="R22" s="59"/>
      <c r="S22" s="171">
        <f t="shared" si="4"/>
        <v>0</v>
      </c>
      <c r="T22" s="58"/>
      <c r="U22" s="59"/>
      <c r="V22" s="171">
        <f t="shared" si="5"/>
        <v>0</v>
      </c>
    </row>
    <row r="23" spans="2:22" ht="15" x14ac:dyDescent="0.2">
      <c r="B23" s="129">
        <f t="shared" si="6"/>
        <v>10</v>
      </c>
      <c r="C23" s="65" t="s">
        <v>342</v>
      </c>
      <c r="D23" s="162" t="s">
        <v>343</v>
      </c>
      <c r="E23" s="58"/>
      <c r="F23" s="59"/>
      <c r="G23" s="171">
        <f t="shared" si="0"/>
        <v>0</v>
      </c>
      <c r="H23" s="58"/>
      <c r="I23" s="59">
        <v>4800</v>
      </c>
      <c r="J23" s="171">
        <f t="shared" si="1"/>
        <v>4800</v>
      </c>
      <c r="K23" s="58"/>
      <c r="L23" s="59"/>
      <c r="M23" s="171">
        <f t="shared" si="2"/>
        <v>0</v>
      </c>
      <c r="N23" s="58"/>
      <c r="O23" s="59"/>
      <c r="P23" s="171">
        <f t="shared" si="3"/>
        <v>0</v>
      </c>
      <c r="Q23" s="58"/>
      <c r="R23" s="59"/>
      <c r="S23" s="171">
        <f t="shared" si="4"/>
        <v>0</v>
      </c>
      <c r="T23" s="58"/>
      <c r="U23" s="59"/>
      <c r="V23" s="171">
        <f t="shared" si="5"/>
        <v>0</v>
      </c>
    </row>
    <row r="24" spans="2:22" ht="15" x14ac:dyDescent="0.2">
      <c r="B24" s="129">
        <f t="shared" si="6"/>
        <v>11</v>
      </c>
      <c r="C24" s="65" t="s">
        <v>290</v>
      </c>
      <c r="D24" s="162" t="s">
        <v>291</v>
      </c>
      <c r="E24" s="58"/>
      <c r="F24" s="59"/>
      <c r="G24" s="171">
        <f t="shared" si="0"/>
        <v>0</v>
      </c>
      <c r="H24" s="58"/>
      <c r="I24" s="59">
        <v>1832.11</v>
      </c>
      <c r="J24" s="171">
        <f t="shared" si="1"/>
        <v>1832.11</v>
      </c>
      <c r="K24" s="58"/>
      <c r="L24" s="59"/>
      <c r="M24" s="171">
        <f t="shared" si="2"/>
        <v>0</v>
      </c>
      <c r="N24" s="58"/>
      <c r="O24" s="59"/>
      <c r="P24" s="171">
        <f t="shared" si="3"/>
        <v>0</v>
      </c>
      <c r="Q24" s="58"/>
      <c r="R24" s="59"/>
      <c r="S24" s="171">
        <f t="shared" si="4"/>
        <v>0</v>
      </c>
      <c r="T24" s="58"/>
      <c r="U24" s="59"/>
      <c r="V24" s="171">
        <f t="shared" si="5"/>
        <v>0</v>
      </c>
    </row>
    <row r="25" spans="2:22" ht="15" x14ac:dyDescent="0.2">
      <c r="B25" s="129">
        <f t="shared" si="6"/>
        <v>12</v>
      </c>
      <c r="C25" s="65" t="s">
        <v>292</v>
      </c>
      <c r="D25" s="162" t="s">
        <v>293</v>
      </c>
      <c r="E25" s="58"/>
      <c r="F25" s="59"/>
      <c r="G25" s="171">
        <f t="shared" si="0"/>
        <v>0</v>
      </c>
      <c r="H25" s="58"/>
      <c r="I25" s="59">
        <v>60898.540000000008</v>
      </c>
      <c r="J25" s="171">
        <f t="shared" si="1"/>
        <v>60898.540000000008</v>
      </c>
      <c r="K25" s="58"/>
      <c r="L25" s="59"/>
      <c r="M25" s="171">
        <f t="shared" si="2"/>
        <v>0</v>
      </c>
      <c r="N25" s="58"/>
      <c r="O25" s="59"/>
      <c r="P25" s="171">
        <f t="shared" si="3"/>
        <v>0</v>
      </c>
      <c r="Q25" s="58"/>
      <c r="R25" s="59"/>
      <c r="S25" s="171">
        <f t="shared" si="4"/>
        <v>0</v>
      </c>
      <c r="T25" s="58"/>
      <c r="U25" s="59"/>
      <c r="V25" s="171">
        <f t="shared" si="5"/>
        <v>0</v>
      </c>
    </row>
    <row r="26" spans="2:22" ht="15" x14ac:dyDescent="0.2">
      <c r="B26" s="129">
        <f t="shared" si="6"/>
        <v>13</v>
      </c>
      <c r="C26" s="65" t="s">
        <v>162</v>
      </c>
      <c r="D26" s="162" t="s">
        <v>172</v>
      </c>
      <c r="E26" s="58"/>
      <c r="F26" s="59"/>
      <c r="G26" s="171">
        <f t="shared" si="0"/>
        <v>0</v>
      </c>
      <c r="H26" s="58"/>
      <c r="I26" s="59">
        <v>1227702.2000000002</v>
      </c>
      <c r="J26" s="171">
        <f t="shared" si="1"/>
        <v>1227702.2000000002</v>
      </c>
      <c r="K26" s="58"/>
      <c r="L26" s="59"/>
      <c r="M26" s="171">
        <f t="shared" si="2"/>
        <v>0</v>
      </c>
      <c r="N26" s="58"/>
      <c r="O26" s="59"/>
      <c r="P26" s="171">
        <f t="shared" si="3"/>
        <v>0</v>
      </c>
      <c r="Q26" s="58"/>
      <c r="R26" s="59"/>
      <c r="S26" s="171">
        <f t="shared" si="4"/>
        <v>0</v>
      </c>
      <c r="T26" s="58"/>
      <c r="U26" s="59"/>
      <c r="V26" s="171">
        <f t="shared" si="5"/>
        <v>0</v>
      </c>
    </row>
    <row r="27" spans="2:22" ht="15" x14ac:dyDescent="0.2">
      <c r="B27" s="129">
        <f t="shared" si="6"/>
        <v>14</v>
      </c>
      <c r="C27" s="65" t="s">
        <v>163</v>
      </c>
      <c r="D27" s="162" t="s">
        <v>173</v>
      </c>
      <c r="E27" s="58"/>
      <c r="F27" s="59"/>
      <c r="G27" s="171">
        <f t="shared" si="0"/>
        <v>0</v>
      </c>
      <c r="H27" s="58"/>
      <c r="I27" s="59">
        <v>9460</v>
      </c>
      <c r="J27" s="171">
        <f t="shared" si="1"/>
        <v>9460</v>
      </c>
      <c r="K27" s="58"/>
      <c r="L27" s="59"/>
      <c r="M27" s="171">
        <f t="shared" si="2"/>
        <v>0</v>
      </c>
      <c r="N27" s="58"/>
      <c r="O27" s="59"/>
      <c r="P27" s="171">
        <f t="shared" si="3"/>
        <v>0</v>
      </c>
      <c r="Q27" s="58"/>
      <c r="R27" s="59"/>
      <c r="S27" s="171">
        <f t="shared" si="4"/>
        <v>0</v>
      </c>
      <c r="T27" s="58"/>
      <c r="U27" s="59"/>
      <c r="V27" s="171">
        <f t="shared" si="5"/>
        <v>0</v>
      </c>
    </row>
    <row r="28" spans="2:22" ht="15" x14ac:dyDescent="0.2">
      <c r="B28" s="129">
        <f t="shared" si="6"/>
        <v>15</v>
      </c>
      <c r="C28" s="65" t="s">
        <v>344</v>
      </c>
      <c r="D28" s="162" t="s">
        <v>345</v>
      </c>
      <c r="E28" s="58"/>
      <c r="F28" s="59"/>
      <c r="G28" s="171">
        <f t="shared" si="0"/>
        <v>0</v>
      </c>
      <c r="H28" s="58"/>
      <c r="I28" s="59">
        <v>11020.12</v>
      </c>
      <c r="J28" s="171">
        <f t="shared" si="1"/>
        <v>11020.12</v>
      </c>
      <c r="K28" s="58"/>
      <c r="L28" s="59"/>
      <c r="M28" s="171">
        <f t="shared" si="2"/>
        <v>0</v>
      </c>
      <c r="N28" s="58"/>
      <c r="O28" s="59"/>
      <c r="P28" s="171">
        <f t="shared" si="3"/>
        <v>0</v>
      </c>
      <c r="Q28" s="58"/>
      <c r="R28" s="59"/>
      <c r="S28" s="171">
        <f t="shared" si="4"/>
        <v>0</v>
      </c>
      <c r="T28" s="58"/>
      <c r="U28" s="59"/>
      <c r="V28" s="171">
        <f t="shared" si="5"/>
        <v>0</v>
      </c>
    </row>
    <row r="29" spans="2:22" ht="15" x14ac:dyDescent="0.2">
      <c r="B29" s="129">
        <f t="shared" si="6"/>
        <v>16</v>
      </c>
      <c r="C29" s="65" t="s">
        <v>164</v>
      </c>
      <c r="D29" s="162" t="s">
        <v>174</v>
      </c>
      <c r="E29" s="58"/>
      <c r="F29" s="59"/>
      <c r="G29" s="171">
        <f t="shared" si="0"/>
        <v>0</v>
      </c>
      <c r="H29" s="58"/>
      <c r="I29" s="59">
        <v>16711.84</v>
      </c>
      <c r="J29" s="171">
        <f t="shared" si="1"/>
        <v>16711.84</v>
      </c>
      <c r="K29" s="58"/>
      <c r="L29" s="59"/>
      <c r="M29" s="171">
        <f t="shared" si="2"/>
        <v>0</v>
      </c>
      <c r="N29" s="58"/>
      <c r="O29" s="59"/>
      <c r="P29" s="171">
        <f t="shared" si="3"/>
        <v>0</v>
      </c>
      <c r="Q29" s="58"/>
      <c r="R29" s="59"/>
      <c r="S29" s="171">
        <f t="shared" si="4"/>
        <v>0</v>
      </c>
      <c r="T29" s="58"/>
      <c r="U29" s="59"/>
      <c r="V29" s="171">
        <f t="shared" si="5"/>
        <v>0</v>
      </c>
    </row>
    <row r="30" spans="2:22" ht="15" x14ac:dyDescent="0.2">
      <c r="B30" s="129">
        <f t="shared" si="6"/>
        <v>17</v>
      </c>
      <c r="C30" s="65" t="s">
        <v>165</v>
      </c>
      <c r="D30" s="162" t="s">
        <v>175</v>
      </c>
      <c r="E30" s="58"/>
      <c r="F30" s="59"/>
      <c r="G30" s="171">
        <f t="shared" si="0"/>
        <v>0</v>
      </c>
      <c r="H30" s="58"/>
      <c r="I30" s="59">
        <v>8500</v>
      </c>
      <c r="J30" s="171">
        <f t="shared" si="1"/>
        <v>8500</v>
      </c>
      <c r="K30" s="58"/>
      <c r="L30" s="59"/>
      <c r="M30" s="171"/>
      <c r="N30" s="58"/>
      <c r="O30" s="59"/>
      <c r="P30" s="171"/>
      <c r="Q30" s="58"/>
      <c r="R30" s="59"/>
      <c r="S30" s="171"/>
      <c r="T30" s="58"/>
      <c r="U30" s="59"/>
      <c r="V30" s="171"/>
    </row>
    <row r="31" spans="2:22" ht="15" x14ac:dyDescent="0.2">
      <c r="B31" s="129">
        <f t="shared" si="6"/>
        <v>18</v>
      </c>
      <c r="C31" s="65" t="s">
        <v>346</v>
      </c>
      <c r="D31" s="162" t="s">
        <v>347</v>
      </c>
      <c r="E31" s="58"/>
      <c r="F31" s="59"/>
      <c r="G31" s="171">
        <f t="shared" si="0"/>
        <v>0</v>
      </c>
      <c r="H31" s="58"/>
      <c r="I31" s="59">
        <v>15674.91</v>
      </c>
      <c r="J31" s="171">
        <f t="shared" si="1"/>
        <v>15674.91</v>
      </c>
      <c r="K31" s="58"/>
      <c r="L31" s="59"/>
      <c r="M31" s="171"/>
      <c r="N31" s="58"/>
      <c r="O31" s="59"/>
      <c r="P31" s="171"/>
      <c r="Q31" s="58"/>
      <c r="R31" s="59"/>
      <c r="S31" s="171"/>
      <c r="T31" s="58"/>
      <c r="U31" s="59"/>
      <c r="V31" s="171"/>
    </row>
    <row r="32" spans="2:22" ht="15" x14ac:dyDescent="0.2">
      <c r="B32" s="129">
        <f t="shared" si="6"/>
        <v>19</v>
      </c>
      <c r="C32" s="65" t="s">
        <v>166</v>
      </c>
      <c r="D32" s="162" t="s">
        <v>176</v>
      </c>
      <c r="E32" s="58"/>
      <c r="F32" s="59"/>
      <c r="G32" s="171"/>
      <c r="H32" s="58"/>
      <c r="I32" s="59">
        <v>4138835.2199999997</v>
      </c>
      <c r="J32" s="171">
        <f t="shared" si="1"/>
        <v>4138835.2199999997</v>
      </c>
      <c r="K32" s="58"/>
      <c r="L32" s="59"/>
      <c r="M32" s="171"/>
      <c r="N32" s="58"/>
      <c r="O32" s="59"/>
      <c r="P32" s="171"/>
      <c r="Q32" s="58"/>
      <c r="R32" s="59"/>
      <c r="S32" s="171"/>
      <c r="T32" s="58"/>
      <c r="U32" s="59"/>
      <c r="V32" s="171"/>
    </row>
    <row r="33" spans="2:22" ht="15" x14ac:dyDescent="0.2">
      <c r="B33" s="129">
        <f t="shared" si="6"/>
        <v>20</v>
      </c>
      <c r="C33" s="65" t="s">
        <v>294</v>
      </c>
      <c r="D33" s="162" t="s">
        <v>295</v>
      </c>
      <c r="E33" s="58"/>
      <c r="F33" s="59"/>
      <c r="G33" s="171"/>
      <c r="H33" s="58"/>
      <c r="I33" s="59">
        <v>253613.41999999995</v>
      </c>
      <c r="J33" s="171">
        <f t="shared" si="1"/>
        <v>253613.41999999995</v>
      </c>
      <c r="K33" s="58"/>
      <c r="L33" s="59"/>
      <c r="M33" s="171"/>
      <c r="N33" s="58"/>
      <c r="O33" s="59"/>
      <c r="P33" s="171"/>
      <c r="Q33" s="58"/>
      <c r="R33" s="59"/>
      <c r="S33" s="171"/>
      <c r="T33" s="58"/>
      <c r="U33" s="59"/>
      <c r="V33" s="171"/>
    </row>
    <row r="34" spans="2:22" ht="15" x14ac:dyDescent="0.2">
      <c r="B34" s="129">
        <f t="shared" si="6"/>
        <v>21</v>
      </c>
      <c r="C34" s="65" t="s">
        <v>348</v>
      </c>
      <c r="D34" s="162" t="s">
        <v>349</v>
      </c>
      <c r="E34" s="58"/>
      <c r="F34" s="59"/>
      <c r="G34" s="171"/>
      <c r="H34" s="58"/>
      <c r="I34" s="59">
        <v>16608.93</v>
      </c>
      <c r="J34" s="171">
        <f t="shared" si="1"/>
        <v>16608.93</v>
      </c>
      <c r="K34" s="58"/>
      <c r="L34" s="59"/>
      <c r="M34" s="171"/>
      <c r="N34" s="58"/>
      <c r="O34" s="59"/>
      <c r="P34" s="171"/>
      <c r="Q34" s="58"/>
      <c r="R34" s="59"/>
      <c r="S34" s="171"/>
      <c r="T34" s="58"/>
      <c r="U34" s="59"/>
      <c r="V34" s="171"/>
    </row>
    <row r="35" spans="2:22" ht="15" x14ac:dyDescent="0.2">
      <c r="B35" s="129">
        <f t="shared" si="6"/>
        <v>22</v>
      </c>
      <c r="C35" s="65" t="s">
        <v>350</v>
      </c>
      <c r="D35" s="162" t="s">
        <v>351</v>
      </c>
      <c r="E35" s="58"/>
      <c r="F35" s="59"/>
      <c r="G35" s="171"/>
      <c r="H35" s="58"/>
      <c r="I35" s="59">
        <v>25937.66</v>
      </c>
      <c r="J35" s="171">
        <f t="shared" si="1"/>
        <v>25937.66</v>
      </c>
      <c r="K35" s="58"/>
      <c r="L35" s="59"/>
      <c r="M35" s="171"/>
      <c r="N35" s="58"/>
      <c r="O35" s="59"/>
      <c r="P35" s="171"/>
      <c r="Q35" s="58"/>
      <c r="R35" s="59"/>
      <c r="S35" s="171"/>
      <c r="T35" s="58"/>
      <c r="U35" s="59"/>
      <c r="V35" s="171"/>
    </row>
    <row r="36" spans="2:22" ht="15" x14ac:dyDescent="0.2">
      <c r="B36" s="129">
        <f t="shared" si="6"/>
        <v>23</v>
      </c>
      <c r="C36" s="65" t="s">
        <v>296</v>
      </c>
      <c r="D36" s="162" t="s">
        <v>297</v>
      </c>
      <c r="E36" s="58"/>
      <c r="F36" s="59"/>
      <c r="G36" s="171">
        <f t="shared" si="0"/>
        <v>0</v>
      </c>
      <c r="H36" s="58"/>
      <c r="I36" s="59">
        <v>65068.159999999996</v>
      </c>
      <c r="J36" s="171">
        <f t="shared" si="1"/>
        <v>65068.159999999996</v>
      </c>
      <c r="K36" s="58"/>
      <c r="L36" s="59"/>
      <c r="M36" s="171"/>
      <c r="N36" s="58"/>
      <c r="O36" s="59"/>
      <c r="P36" s="171"/>
      <c r="Q36" s="58"/>
      <c r="R36" s="59"/>
      <c r="S36" s="171"/>
      <c r="T36" s="58"/>
      <c r="U36" s="59"/>
      <c r="V36" s="171"/>
    </row>
    <row r="37" spans="2:22" ht="15" x14ac:dyDescent="0.2">
      <c r="B37" s="129">
        <f t="shared" si="6"/>
        <v>24</v>
      </c>
      <c r="C37" s="65" t="s">
        <v>352</v>
      </c>
      <c r="D37" s="162" t="s">
        <v>353</v>
      </c>
      <c r="E37" s="58"/>
      <c r="F37" s="59"/>
      <c r="G37" s="171">
        <f t="shared" si="0"/>
        <v>0</v>
      </c>
      <c r="H37" s="58"/>
      <c r="I37" s="59">
        <v>139901.84999999998</v>
      </c>
      <c r="J37" s="171">
        <f t="shared" si="1"/>
        <v>139901.84999999998</v>
      </c>
      <c r="K37" s="58"/>
      <c r="L37" s="59"/>
      <c r="M37" s="171">
        <f t="shared" si="2"/>
        <v>0</v>
      </c>
      <c r="N37" s="58"/>
      <c r="O37" s="59"/>
      <c r="P37" s="171">
        <f t="shared" si="3"/>
        <v>0</v>
      </c>
      <c r="Q37" s="58"/>
      <c r="R37" s="59"/>
      <c r="S37" s="171">
        <f t="shared" si="4"/>
        <v>0</v>
      </c>
      <c r="T37" s="58"/>
      <c r="U37" s="59"/>
      <c r="V37" s="171">
        <f t="shared" si="5"/>
        <v>0</v>
      </c>
    </row>
    <row r="38" spans="2:22" ht="15" x14ac:dyDescent="0.2">
      <c r="B38" s="129">
        <f t="shared" si="6"/>
        <v>25</v>
      </c>
      <c r="C38" s="65" t="s">
        <v>167</v>
      </c>
      <c r="D38" s="162" t="s">
        <v>177</v>
      </c>
      <c r="E38" s="58"/>
      <c r="F38" s="59"/>
      <c r="G38" s="171">
        <f t="shared" si="0"/>
        <v>0</v>
      </c>
      <c r="H38" s="58"/>
      <c r="I38" s="59">
        <v>1895341.07</v>
      </c>
      <c r="J38" s="171">
        <f t="shared" si="1"/>
        <v>1895341.07</v>
      </c>
      <c r="K38" s="58"/>
      <c r="L38" s="59"/>
      <c r="M38" s="171">
        <f t="shared" si="2"/>
        <v>0</v>
      </c>
      <c r="N38" s="58"/>
      <c r="O38" s="59"/>
      <c r="P38" s="171">
        <f t="shared" si="3"/>
        <v>0</v>
      </c>
      <c r="Q38" s="58"/>
      <c r="R38" s="59"/>
      <c r="S38" s="171">
        <f t="shared" si="4"/>
        <v>0</v>
      </c>
      <c r="T38" s="58"/>
      <c r="U38" s="59"/>
      <c r="V38" s="171">
        <f t="shared" si="5"/>
        <v>0</v>
      </c>
    </row>
    <row r="39" spans="2:22" ht="15" x14ac:dyDescent="0.2">
      <c r="B39" s="129">
        <f t="shared" si="6"/>
        <v>26</v>
      </c>
      <c r="C39" s="65" t="s">
        <v>354</v>
      </c>
      <c r="D39" s="163" t="s">
        <v>355</v>
      </c>
      <c r="E39" s="58"/>
      <c r="F39" s="59"/>
      <c r="G39" s="171">
        <f t="shared" si="0"/>
        <v>0</v>
      </c>
      <c r="H39" s="58"/>
      <c r="I39" s="59">
        <v>9496.66</v>
      </c>
      <c r="J39" s="171">
        <f t="shared" si="1"/>
        <v>9496.66</v>
      </c>
      <c r="K39" s="58"/>
      <c r="L39" s="59"/>
      <c r="M39" s="171">
        <f t="shared" si="2"/>
        <v>0</v>
      </c>
      <c r="N39" s="58"/>
      <c r="O39" s="59"/>
      <c r="P39" s="171">
        <f t="shared" si="3"/>
        <v>0</v>
      </c>
      <c r="Q39" s="58"/>
      <c r="R39" s="59"/>
      <c r="S39" s="171">
        <f t="shared" si="4"/>
        <v>0</v>
      </c>
      <c r="T39" s="58"/>
      <c r="U39" s="59"/>
      <c r="V39" s="171">
        <f t="shared" si="5"/>
        <v>0</v>
      </c>
    </row>
    <row r="40" spans="2:22" ht="15.75" thickBot="1" x14ac:dyDescent="0.25">
      <c r="B40" s="129">
        <f t="shared" si="6"/>
        <v>27</v>
      </c>
      <c r="C40" s="65" t="s">
        <v>335</v>
      </c>
      <c r="D40" s="164"/>
      <c r="E40" s="157"/>
      <c r="F40" s="73">
        <v>902651.52</v>
      </c>
      <c r="G40" s="172">
        <f t="shared" si="0"/>
        <v>902651.52</v>
      </c>
      <c r="H40" s="157"/>
      <c r="I40" s="73"/>
      <c r="J40" s="171">
        <f t="shared" si="1"/>
        <v>0</v>
      </c>
      <c r="K40" s="157"/>
      <c r="L40" s="73"/>
      <c r="M40" s="172">
        <f t="shared" si="2"/>
        <v>0</v>
      </c>
      <c r="N40" s="157"/>
      <c r="O40" s="73"/>
      <c r="P40" s="172">
        <f t="shared" si="3"/>
        <v>0</v>
      </c>
      <c r="Q40" s="157"/>
      <c r="R40" s="73"/>
      <c r="S40" s="172">
        <f t="shared" si="4"/>
        <v>0</v>
      </c>
      <c r="T40" s="157"/>
      <c r="U40" s="73"/>
      <c r="V40" s="172">
        <f t="shared" si="5"/>
        <v>0</v>
      </c>
    </row>
    <row r="41" spans="2:22" ht="31.5" customHeight="1" thickBot="1" x14ac:dyDescent="0.25">
      <c r="C41" s="228" t="s">
        <v>130</v>
      </c>
      <c r="D41" s="229"/>
      <c r="E41" s="62">
        <f>SUM(E14:E40)</f>
        <v>0</v>
      </c>
      <c r="F41" s="158">
        <f>SUM(F14:F40)</f>
        <v>902651.52</v>
      </c>
      <c r="G41" s="61">
        <f>E41+F41</f>
        <v>902651.52</v>
      </c>
      <c r="H41" s="160">
        <f>SUM(H14:H40)</f>
        <v>0</v>
      </c>
      <c r="I41" s="158">
        <f t="shared" ref="I41:V41" si="7">SUM(I14:I40)</f>
        <v>9422911.1899999995</v>
      </c>
      <c r="J41" s="159">
        <f t="shared" si="7"/>
        <v>9422911.1899999995</v>
      </c>
      <c r="K41" s="62">
        <f t="shared" si="7"/>
        <v>0</v>
      </c>
      <c r="L41" s="158">
        <f t="shared" si="7"/>
        <v>0</v>
      </c>
      <c r="M41" s="61">
        <f t="shared" si="7"/>
        <v>0</v>
      </c>
      <c r="N41" s="160">
        <f t="shared" si="7"/>
        <v>0</v>
      </c>
      <c r="O41" s="158">
        <f t="shared" si="7"/>
        <v>0</v>
      </c>
      <c r="P41" s="159">
        <f t="shared" si="7"/>
        <v>0</v>
      </c>
      <c r="Q41" s="62">
        <f t="shared" si="7"/>
        <v>0</v>
      </c>
      <c r="R41" s="158">
        <f t="shared" si="7"/>
        <v>0</v>
      </c>
      <c r="S41" s="61">
        <f t="shared" si="7"/>
        <v>0</v>
      </c>
      <c r="T41" s="160">
        <f t="shared" si="7"/>
        <v>0</v>
      </c>
      <c r="U41" s="158">
        <f t="shared" si="7"/>
        <v>0</v>
      </c>
      <c r="V41" s="61">
        <f t="shared" si="7"/>
        <v>0</v>
      </c>
    </row>
    <row r="42" spans="2:22" ht="6" customHeight="1" x14ac:dyDescent="0.2"/>
  </sheetData>
  <sheetProtection insertRows="0"/>
  <protectedRanges>
    <protectedRange password="CC9E" sqref="A7:A10 E9:IU9 E11:IU12 A11:D11 C10:IU10 C8:IU8 F7:IU7 A12:A13 C12:D13 E13 G13:H13 J13:K13 M13:N13 P13:Q13 S13:T13 V13:IU13 A1:IU6 A14:IU65541"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T12:V12"/>
    <mergeCell ref="B12:B13"/>
    <mergeCell ref="C12:C13"/>
    <mergeCell ref="E12:G12"/>
    <mergeCell ref="N12:P12"/>
    <mergeCell ref="Q12:S12"/>
    <mergeCell ref="E1:I1"/>
    <mergeCell ref="C41:D41"/>
    <mergeCell ref="H12:J12"/>
    <mergeCell ref="K12:M12"/>
    <mergeCell ref="D12:D13"/>
    <mergeCell ref="B7:D7"/>
    <mergeCell ref="B9:D9"/>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E12:G12 I12:J12 B14:B29"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5.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21" width="13.5703125" style="16" customWidth="1"/>
    <col min="22" max="16384" width="11.42578125" style="16"/>
  </cols>
  <sheetData>
    <row r="1" spans="2:21" ht="64.5" customHeight="1" x14ac:dyDescent="0.2">
      <c r="D1" s="221"/>
      <c r="E1" s="221"/>
      <c r="F1" s="221"/>
      <c r="G1" s="221"/>
      <c r="H1" s="221"/>
      <c r="I1" s="221"/>
      <c r="J1" s="12"/>
      <c r="K1" s="12"/>
      <c r="L1" s="12"/>
    </row>
    <row r="4" spans="2:21" ht="15" x14ac:dyDescent="0.2">
      <c r="B4" s="92" t="s">
        <v>82</v>
      </c>
    </row>
    <row r="6" spans="2:21" ht="43.9" customHeight="1" x14ac:dyDescent="0.2">
      <c r="B6" s="217" t="s">
        <v>150</v>
      </c>
      <c r="C6" s="217"/>
      <c r="D6" s="189"/>
      <c r="E6" s="189"/>
    </row>
    <row r="7" spans="2:21" ht="15" x14ac:dyDescent="0.2">
      <c r="C7" s="166"/>
      <c r="D7" s="87"/>
    </row>
    <row r="8" spans="2:21" ht="30" customHeight="1" x14ac:dyDescent="0.2">
      <c r="B8" s="217" t="s">
        <v>131</v>
      </c>
      <c r="C8" s="217"/>
      <c r="D8" s="87"/>
    </row>
    <row r="9" spans="2:21" ht="15" x14ac:dyDescent="0.2">
      <c r="C9" s="166"/>
      <c r="D9" s="87"/>
    </row>
    <row r="10" spans="2:21" ht="6" customHeight="1" thickBot="1" x14ac:dyDescent="0.25"/>
    <row r="11" spans="2:21" ht="15.75" customHeight="1" thickBot="1" x14ac:dyDescent="0.25">
      <c r="B11" s="213" t="s">
        <v>80</v>
      </c>
      <c r="C11" s="230" t="s">
        <v>142</v>
      </c>
      <c r="D11" s="218">
        <f>Personal!F13</f>
        <v>2021</v>
      </c>
      <c r="E11" s="219"/>
      <c r="F11" s="220"/>
      <c r="G11" s="218">
        <f>D11+1</f>
        <v>2022</v>
      </c>
      <c r="H11" s="219"/>
      <c r="I11" s="220"/>
      <c r="J11" s="218">
        <f>G11+1</f>
        <v>2023</v>
      </c>
      <c r="K11" s="219"/>
      <c r="L11" s="220"/>
      <c r="M11" s="218">
        <f>J11+1</f>
        <v>2024</v>
      </c>
      <c r="N11" s="219"/>
      <c r="O11" s="220"/>
      <c r="P11" s="218">
        <f>M11+1</f>
        <v>2025</v>
      </c>
      <c r="Q11" s="219"/>
      <c r="R11" s="220"/>
      <c r="S11" s="218">
        <f>P11+1</f>
        <v>2026</v>
      </c>
      <c r="T11" s="219"/>
      <c r="U11" s="220"/>
    </row>
    <row r="12" spans="2:21" s="56" customFormat="1" ht="57.6" customHeight="1" thickBot="1" x14ac:dyDescent="0.25">
      <c r="B12" s="214" t="s">
        <v>1</v>
      </c>
      <c r="C12" s="231"/>
      <c r="D12" s="137" t="s">
        <v>6</v>
      </c>
      <c r="E12" s="138" t="s">
        <v>139</v>
      </c>
      <c r="F12" s="139" t="s">
        <v>4</v>
      </c>
      <c r="G12" s="137" t="s">
        <v>6</v>
      </c>
      <c r="H12" s="138" t="s">
        <v>139</v>
      </c>
      <c r="I12" s="139" t="s">
        <v>4</v>
      </c>
      <c r="J12" s="137" t="s">
        <v>6</v>
      </c>
      <c r="K12" s="138" t="s">
        <v>139</v>
      </c>
      <c r="L12" s="139" t="s">
        <v>4</v>
      </c>
      <c r="M12" s="137" t="s">
        <v>6</v>
      </c>
      <c r="N12" s="138" t="s">
        <v>139</v>
      </c>
      <c r="O12" s="139" t="s">
        <v>4</v>
      </c>
      <c r="P12" s="137" t="s">
        <v>6</v>
      </c>
      <c r="Q12" s="138" t="s">
        <v>139</v>
      </c>
      <c r="R12" s="139" t="s">
        <v>4</v>
      </c>
      <c r="S12" s="137" t="s">
        <v>6</v>
      </c>
      <c r="T12" s="138" t="s">
        <v>139</v>
      </c>
      <c r="U12" s="139" t="s">
        <v>4</v>
      </c>
    </row>
    <row r="13" spans="2:21" ht="15.75" customHeight="1" x14ac:dyDescent="0.2">
      <c r="B13" s="128">
        <v>1</v>
      </c>
      <c r="C13" s="57"/>
      <c r="D13" s="58"/>
      <c r="E13" s="59"/>
      <c r="F13" s="171">
        <f>SUM(D13:E13)</f>
        <v>0</v>
      </c>
      <c r="G13" s="58"/>
      <c r="H13" s="59"/>
      <c r="I13" s="171">
        <f>SUM(G13:H13)</f>
        <v>0</v>
      </c>
      <c r="J13" s="58"/>
      <c r="K13" s="59"/>
      <c r="L13" s="171">
        <f>SUM(J13:K13)</f>
        <v>0</v>
      </c>
      <c r="M13" s="58"/>
      <c r="N13" s="59"/>
      <c r="O13" s="171">
        <f>SUM(M13:N13)</f>
        <v>0</v>
      </c>
      <c r="P13" s="58"/>
      <c r="Q13" s="59"/>
      <c r="R13" s="171">
        <f>SUM(P13:Q13)</f>
        <v>0</v>
      </c>
      <c r="S13" s="58"/>
      <c r="T13" s="59"/>
      <c r="U13" s="171">
        <f>SUM(S13:T13)</f>
        <v>0</v>
      </c>
    </row>
    <row r="14" spans="2:21" ht="15.75" customHeight="1" x14ac:dyDescent="0.2">
      <c r="B14" s="129">
        <f>B13+1</f>
        <v>2</v>
      </c>
      <c r="C14" s="60"/>
      <c r="D14" s="58"/>
      <c r="E14" s="59"/>
      <c r="F14" s="171">
        <f t="shared" ref="F14:F32" si="0">SUM(D14:E14)</f>
        <v>0</v>
      </c>
      <c r="G14" s="58"/>
      <c r="H14" s="59"/>
      <c r="I14" s="171">
        <f t="shared" ref="I14:I32" si="1">SUM(G14:H14)</f>
        <v>0</v>
      </c>
      <c r="J14" s="58"/>
      <c r="K14" s="59"/>
      <c r="L14" s="171">
        <f t="shared" ref="L14:L32" si="2">SUM(J14:K14)</f>
        <v>0</v>
      </c>
      <c r="M14" s="58"/>
      <c r="N14" s="59"/>
      <c r="O14" s="171">
        <f t="shared" ref="O14:O32" si="3">SUM(M14:N14)</f>
        <v>0</v>
      </c>
      <c r="P14" s="58"/>
      <c r="Q14" s="59"/>
      <c r="R14" s="171">
        <f t="shared" ref="R14:R32" si="4">SUM(P14:Q14)</f>
        <v>0</v>
      </c>
      <c r="S14" s="58"/>
      <c r="T14" s="59"/>
      <c r="U14" s="171">
        <f t="shared" ref="U14:U32" si="5">SUM(S14:T14)</f>
        <v>0</v>
      </c>
    </row>
    <row r="15" spans="2:21" ht="15.75" customHeight="1" x14ac:dyDescent="0.2">
      <c r="B15" s="129">
        <f t="shared" ref="B15:B31" si="6">B14+1</f>
        <v>3</v>
      </c>
      <c r="C15" s="60"/>
      <c r="D15" s="58"/>
      <c r="E15" s="59"/>
      <c r="F15" s="171">
        <f t="shared" si="0"/>
        <v>0</v>
      </c>
      <c r="G15" s="58"/>
      <c r="H15" s="59"/>
      <c r="I15" s="171">
        <f t="shared" si="1"/>
        <v>0</v>
      </c>
      <c r="J15" s="58"/>
      <c r="K15" s="59"/>
      <c r="L15" s="171">
        <f t="shared" si="2"/>
        <v>0</v>
      </c>
      <c r="M15" s="58"/>
      <c r="N15" s="59"/>
      <c r="O15" s="171">
        <f t="shared" si="3"/>
        <v>0</v>
      </c>
      <c r="P15" s="58"/>
      <c r="Q15" s="59"/>
      <c r="R15" s="171">
        <f t="shared" si="4"/>
        <v>0</v>
      </c>
      <c r="S15" s="58"/>
      <c r="T15" s="59"/>
      <c r="U15" s="171">
        <f t="shared" si="5"/>
        <v>0</v>
      </c>
    </row>
    <row r="16" spans="2:21" ht="15.75" customHeight="1" x14ac:dyDescent="0.2">
      <c r="B16" s="129">
        <f t="shared" si="6"/>
        <v>4</v>
      </c>
      <c r="C16" s="60"/>
      <c r="D16" s="58"/>
      <c r="E16" s="59"/>
      <c r="F16" s="171">
        <f t="shared" si="0"/>
        <v>0</v>
      </c>
      <c r="G16" s="58"/>
      <c r="H16" s="59"/>
      <c r="I16" s="171">
        <f t="shared" si="1"/>
        <v>0</v>
      </c>
      <c r="J16" s="58"/>
      <c r="K16" s="59"/>
      <c r="L16" s="171">
        <f t="shared" si="2"/>
        <v>0</v>
      </c>
      <c r="M16" s="58"/>
      <c r="N16" s="59"/>
      <c r="O16" s="171">
        <f t="shared" si="3"/>
        <v>0</v>
      </c>
      <c r="P16" s="58"/>
      <c r="Q16" s="59"/>
      <c r="R16" s="171">
        <f t="shared" si="4"/>
        <v>0</v>
      </c>
      <c r="S16" s="58"/>
      <c r="T16" s="59"/>
      <c r="U16" s="171">
        <f t="shared" si="5"/>
        <v>0</v>
      </c>
    </row>
    <row r="17" spans="2:21" ht="15.75" customHeight="1" x14ac:dyDescent="0.2">
      <c r="B17" s="129">
        <f t="shared" si="6"/>
        <v>5</v>
      </c>
      <c r="C17" s="60"/>
      <c r="D17" s="58"/>
      <c r="E17" s="59"/>
      <c r="F17" s="171">
        <f t="shared" si="0"/>
        <v>0</v>
      </c>
      <c r="G17" s="58"/>
      <c r="H17" s="59"/>
      <c r="I17" s="171">
        <f t="shared" si="1"/>
        <v>0</v>
      </c>
      <c r="J17" s="58"/>
      <c r="K17" s="59"/>
      <c r="L17" s="171">
        <f t="shared" si="2"/>
        <v>0</v>
      </c>
      <c r="M17" s="58"/>
      <c r="N17" s="59"/>
      <c r="O17" s="171">
        <f t="shared" si="3"/>
        <v>0</v>
      </c>
      <c r="P17" s="58"/>
      <c r="Q17" s="59"/>
      <c r="R17" s="171">
        <f t="shared" si="4"/>
        <v>0</v>
      </c>
      <c r="S17" s="58"/>
      <c r="T17" s="59"/>
      <c r="U17" s="171">
        <f t="shared" si="5"/>
        <v>0</v>
      </c>
    </row>
    <row r="18" spans="2:21" ht="15.75" customHeight="1" x14ac:dyDescent="0.2">
      <c r="B18" s="129">
        <f t="shared" si="6"/>
        <v>6</v>
      </c>
      <c r="C18" s="60"/>
      <c r="D18" s="58"/>
      <c r="E18" s="59"/>
      <c r="F18" s="171">
        <f t="shared" si="0"/>
        <v>0</v>
      </c>
      <c r="G18" s="58"/>
      <c r="H18" s="59"/>
      <c r="I18" s="171">
        <f t="shared" si="1"/>
        <v>0</v>
      </c>
      <c r="J18" s="58"/>
      <c r="K18" s="59"/>
      <c r="L18" s="171">
        <f t="shared" si="2"/>
        <v>0</v>
      </c>
      <c r="M18" s="58"/>
      <c r="N18" s="59"/>
      <c r="O18" s="171">
        <f t="shared" si="3"/>
        <v>0</v>
      </c>
      <c r="P18" s="58"/>
      <c r="Q18" s="59"/>
      <c r="R18" s="171">
        <f t="shared" si="4"/>
        <v>0</v>
      </c>
      <c r="S18" s="58"/>
      <c r="T18" s="59"/>
      <c r="U18" s="171">
        <f t="shared" si="5"/>
        <v>0</v>
      </c>
    </row>
    <row r="19" spans="2:21" ht="15.75" customHeight="1" x14ac:dyDescent="0.2">
      <c r="B19" s="129">
        <f t="shared" si="6"/>
        <v>7</v>
      </c>
      <c r="C19" s="60"/>
      <c r="D19" s="58"/>
      <c r="E19" s="59"/>
      <c r="F19" s="171">
        <f t="shared" si="0"/>
        <v>0</v>
      </c>
      <c r="G19" s="58"/>
      <c r="H19" s="59"/>
      <c r="I19" s="171">
        <f t="shared" si="1"/>
        <v>0</v>
      </c>
      <c r="J19" s="58"/>
      <c r="K19" s="59"/>
      <c r="L19" s="171">
        <f t="shared" si="2"/>
        <v>0</v>
      </c>
      <c r="M19" s="58"/>
      <c r="N19" s="59"/>
      <c r="O19" s="171">
        <f t="shared" si="3"/>
        <v>0</v>
      </c>
      <c r="P19" s="58"/>
      <c r="Q19" s="59"/>
      <c r="R19" s="171">
        <f t="shared" si="4"/>
        <v>0</v>
      </c>
      <c r="S19" s="58"/>
      <c r="T19" s="59"/>
      <c r="U19" s="171">
        <f t="shared" si="5"/>
        <v>0</v>
      </c>
    </row>
    <row r="20" spans="2:21" ht="15.75" customHeight="1" x14ac:dyDescent="0.2">
      <c r="B20" s="129">
        <f t="shared" si="6"/>
        <v>8</v>
      </c>
      <c r="C20" s="60"/>
      <c r="D20" s="58"/>
      <c r="E20" s="59"/>
      <c r="F20" s="171">
        <f t="shared" si="0"/>
        <v>0</v>
      </c>
      <c r="G20" s="58"/>
      <c r="H20" s="59"/>
      <c r="I20" s="171">
        <f t="shared" si="1"/>
        <v>0</v>
      </c>
      <c r="J20" s="58"/>
      <c r="K20" s="59"/>
      <c r="L20" s="171">
        <f t="shared" si="2"/>
        <v>0</v>
      </c>
      <c r="M20" s="58"/>
      <c r="N20" s="59"/>
      <c r="O20" s="171">
        <f t="shared" si="3"/>
        <v>0</v>
      </c>
      <c r="P20" s="58"/>
      <c r="Q20" s="59"/>
      <c r="R20" s="171">
        <f t="shared" si="4"/>
        <v>0</v>
      </c>
      <c r="S20" s="58"/>
      <c r="T20" s="59"/>
      <c r="U20" s="171">
        <f t="shared" si="5"/>
        <v>0</v>
      </c>
    </row>
    <row r="21" spans="2:21" ht="15.75" customHeight="1" x14ac:dyDescent="0.2">
      <c r="B21" s="129">
        <f t="shared" si="6"/>
        <v>9</v>
      </c>
      <c r="C21" s="60"/>
      <c r="D21" s="58"/>
      <c r="E21" s="59"/>
      <c r="F21" s="171">
        <f t="shared" si="0"/>
        <v>0</v>
      </c>
      <c r="G21" s="58"/>
      <c r="H21" s="59"/>
      <c r="I21" s="171">
        <f t="shared" si="1"/>
        <v>0</v>
      </c>
      <c r="J21" s="58"/>
      <c r="K21" s="59"/>
      <c r="L21" s="171">
        <f t="shared" si="2"/>
        <v>0</v>
      </c>
      <c r="M21" s="58"/>
      <c r="N21" s="59"/>
      <c r="O21" s="171">
        <f t="shared" si="3"/>
        <v>0</v>
      </c>
      <c r="P21" s="58"/>
      <c r="Q21" s="59"/>
      <c r="R21" s="171">
        <f t="shared" si="4"/>
        <v>0</v>
      </c>
      <c r="S21" s="58"/>
      <c r="T21" s="59"/>
      <c r="U21" s="171">
        <f t="shared" si="5"/>
        <v>0</v>
      </c>
    </row>
    <row r="22" spans="2:21" ht="15.75" customHeight="1" x14ac:dyDescent="0.2">
      <c r="B22" s="129">
        <f t="shared" si="6"/>
        <v>10</v>
      </c>
      <c r="C22" s="60"/>
      <c r="D22" s="58"/>
      <c r="E22" s="59"/>
      <c r="F22" s="171">
        <f t="shared" si="0"/>
        <v>0</v>
      </c>
      <c r="G22" s="58"/>
      <c r="H22" s="59"/>
      <c r="I22" s="171">
        <f t="shared" si="1"/>
        <v>0</v>
      </c>
      <c r="J22" s="58"/>
      <c r="K22" s="59"/>
      <c r="L22" s="171">
        <f t="shared" si="2"/>
        <v>0</v>
      </c>
      <c r="M22" s="58"/>
      <c r="N22" s="59"/>
      <c r="O22" s="171">
        <f t="shared" si="3"/>
        <v>0</v>
      </c>
      <c r="P22" s="58"/>
      <c r="Q22" s="59"/>
      <c r="R22" s="171">
        <f t="shared" si="4"/>
        <v>0</v>
      </c>
      <c r="S22" s="58"/>
      <c r="T22" s="59"/>
      <c r="U22" s="171">
        <f t="shared" si="5"/>
        <v>0</v>
      </c>
    </row>
    <row r="23" spans="2:21" ht="15.75" customHeight="1" x14ac:dyDescent="0.2">
      <c r="B23" s="129">
        <f t="shared" si="6"/>
        <v>11</v>
      </c>
      <c r="C23" s="60"/>
      <c r="D23" s="58"/>
      <c r="E23" s="59"/>
      <c r="F23" s="171">
        <f t="shared" si="0"/>
        <v>0</v>
      </c>
      <c r="G23" s="58"/>
      <c r="H23" s="59"/>
      <c r="I23" s="171">
        <f t="shared" si="1"/>
        <v>0</v>
      </c>
      <c r="J23" s="58"/>
      <c r="K23" s="59"/>
      <c r="L23" s="171">
        <f t="shared" si="2"/>
        <v>0</v>
      </c>
      <c r="M23" s="58"/>
      <c r="N23" s="59"/>
      <c r="O23" s="171">
        <f t="shared" si="3"/>
        <v>0</v>
      </c>
      <c r="P23" s="58"/>
      <c r="Q23" s="59"/>
      <c r="R23" s="171">
        <f t="shared" si="4"/>
        <v>0</v>
      </c>
      <c r="S23" s="58"/>
      <c r="T23" s="59"/>
      <c r="U23" s="171">
        <f t="shared" si="5"/>
        <v>0</v>
      </c>
    </row>
    <row r="24" spans="2:21" ht="15.75" customHeight="1" x14ac:dyDescent="0.2">
      <c r="B24" s="129">
        <f t="shared" si="6"/>
        <v>12</v>
      </c>
      <c r="C24" s="60"/>
      <c r="D24" s="58"/>
      <c r="E24" s="59"/>
      <c r="F24" s="171">
        <f t="shared" si="0"/>
        <v>0</v>
      </c>
      <c r="G24" s="58"/>
      <c r="H24" s="59"/>
      <c r="I24" s="171">
        <f t="shared" si="1"/>
        <v>0</v>
      </c>
      <c r="J24" s="58"/>
      <c r="K24" s="59"/>
      <c r="L24" s="171">
        <f t="shared" si="2"/>
        <v>0</v>
      </c>
      <c r="M24" s="58"/>
      <c r="N24" s="59"/>
      <c r="O24" s="171">
        <f t="shared" si="3"/>
        <v>0</v>
      </c>
      <c r="P24" s="58"/>
      <c r="Q24" s="59"/>
      <c r="R24" s="171">
        <f t="shared" si="4"/>
        <v>0</v>
      </c>
      <c r="S24" s="58"/>
      <c r="T24" s="59"/>
      <c r="U24" s="171">
        <f t="shared" si="5"/>
        <v>0</v>
      </c>
    </row>
    <row r="25" spans="2:21" ht="15.75" customHeight="1" x14ac:dyDescent="0.2">
      <c r="B25" s="129">
        <f t="shared" si="6"/>
        <v>13</v>
      </c>
      <c r="C25" s="60"/>
      <c r="D25" s="58"/>
      <c r="E25" s="59"/>
      <c r="F25" s="171">
        <f t="shared" si="0"/>
        <v>0</v>
      </c>
      <c r="G25" s="58"/>
      <c r="H25" s="59"/>
      <c r="I25" s="171">
        <f t="shared" si="1"/>
        <v>0</v>
      </c>
      <c r="J25" s="58"/>
      <c r="K25" s="59"/>
      <c r="L25" s="171">
        <f t="shared" si="2"/>
        <v>0</v>
      </c>
      <c r="M25" s="58"/>
      <c r="N25" s="59"/>
      <c r="O25" s="171">
        <f t="shared" si="3"/>
        <v>0</v>
      </c>
      <c r="P25" s="58"/>
      <c r="Q25" s="59"/>
      <c r="R25" s="171">
        <f t="shared" si="4"/>
        <v>0</v>
      </c>
      <c r="S25" s="58"/>
      <c r="T25" s="59"/>
      <c r="U25" s="171">
        <f t="shared" si="5"/>
        <v>0</v>
      </c>
    </row>
    <row r="26" spans="2:21" ht="15.75" customHeight="1" x14ac:dyDescent="0.2">
      <c r="B26" s="129">
        <f t="shared" si="6"/>
        <v>14</v>
      </c>
      <c r="C26" s="60"/>
      <c r="D26" s="58"/>
      <c r="E26" s="59"/>
      <c r="F26" s="171">
        <f t="shared" si="0"/>
        <v>0</v>
      </c>
      <c r="G26" s="58"/>
      <c r="H26" s="59"/>
      <c r="I26" s="171">
        <f t="shared" si="1"/>
        <v>0</v>
      </c>
      <c r="J26" s="58"/>
      <c r="K26" s="59"/>
      <c r="L26" s="171">
        <f t="shared" si="2"/>
        <v>0</v>
      </c>
      <c r="M26" s="58"/>
      <c r="N26" s="59"/>
      <c r="O26" s="171">
        <f t="shared" si="3"/>
        <v>0</v>
      </c>
      <c r="P26" s="58"/>
      <c r="Q26" s="59"/>
      <c r="R26" s="171">
        <f t="shared" si="4"/>
        <v>0</v>
      </c>
      <c r="S26" s="58"/>
      <c r="T26" s="59"/>
      <c r="U26" s="171">
        <f t="shared" si="5"/>
        <v>0</v>
      </c>
    </row>
    <row r="27" spans="2:21" ht="15.75" customHeight="1" x14ac:dyDescent="0.2">
      <c r="B27" s="129">
        <f t="shared" si="6"/>
        <v>15</v>
      </c>
      <c r="C27" s="60"/>
      <c r="D27" s="58"/>
      <c r="E27" s="59"/>
      <c r="F27" s="171">
        <f t="shared" si="0"/>
        <v>0</v>
      </c>
      <c r="G27" s="58"/>
      <c r="H27" s="59"/>
      <c r="I27" s="171">
        <f t="shared" si="1"/>
        <v>0</v>
      </c>
      <c r="J27" s="58"/>
      <c r="K27" s="59"/>
      <c r="L27" s="171">
        <f t="shared" si="2"/>
        <v>0</v>
      </c>
      <c r="M27" s="58"/>
      <c r="N27" s="59"/>
      <c r="O27" s="171">
        <f t="shared" si="3"/>
        <v>0</v>
      </c>
      <c r="P27" s="58"/>
      <c r="Q27" s="59"/>
      <c r="R27" s="171">
        <f t="shared" si="4"/>
        <v>0</v>
      </c>
      <c r="S27" s="58"/>
      <c r="T27" s="59"/>
      <c r="U27" s="171">
        <f t="shared" si="5"/>
        <v>0</v>
      </c>
    </row>
    <row r="28" spans="2:21" ht="15.75" customHeight="1" x14ac:dyDescent="0.2">
      <c r="B28" s="129">
        <f t="shared" si="6"/>
        <v>16</v>
      </c>
      <c r="C28" s="60"/>
      <c r="D28" s="58"/>
      <c r="E28" s="59"/>
      <c r="F28" s="171">
        <f t="shared" si="0"/>
        <v>0</v>
      </c>
      <c r="G28" s="58"/>
      <c r="H28" s="59"/>
      <c r="I28" s="171">
        <f t="shared" si="1"/>
        <v>0</v>
      </c>
      <c r="J28" s="58"/>
      <c r="K28" s="59"/>
      <c r="L28" s="171">
        <f t="shared" si="2"/>
        <v>0</v>
      </c>
      <c r="M28" s="58"/>
      <c r="N28" s="59"/>
      <c r="O28" s="171">
        <f t="shared" si="3"/>
        <v>0</v>
      </c>
      <c r="P28" s="58"/>
      <c r="Q28" s="59"/>
      <c r="R28" s="171">
        <f t="shared" si="4"/>
        <v>0</v>
      </c>
      <c r="S28" s="58"/>
      <c r="T28" s="59"/>
      <c r="U28" s="171">
        <f t="shared" si="5"/>
        <v>0</v>
      </c>
    </row>
    <row r="29" spans="2:21" ht="15.75" customHeight="1" x14ac:dyDescent="0.2">
      <c r="B29" s="129">
        <f t="shared" si="6"/>
        <v>17</v>
      </c>
      <c r="C29" s="60"/>
      <c r="D29" s="58"/>
      <c r="E29" s="59"/>
      <c r="F29" s="171">
        <f t="shared" si="0"/>
        <v>0</v>
      </c>
      <c r="G29" s="58"/>
      <c r="H29" s="59"/>
      <c r="I29" s="171">
        <f t="shared" si="1"/>
        <v>0</v>
      </c>
      <c r="J29" s="58"/>
      <c r="K29" s="59"/>
      <c r="L29" s="171">
        <f t="shared" si="2"/>
        <v>0</v>
      </c>
      <c r="M29" s="58"/>
      <c r="N29" s="59"/>
      <c r="O29" s="171">
        <f t="shared" si="3"/>
        <v>0</v>
      </c>
      <c r="P29" s="58"/>
      <c r="Q29" s="59"/>
      <c r="R29" s="171">
        <f t="shared" si="4"/>
        <v>0</v>
      </c>
      <c r="S29" s="58"/>
      <c r="T29" s="59"/>
      <c r="U29" s="171">
        <f t="shared" si="5"/>
        <v>0</v>
      </c>
    </row>
    <row r="30" spans="2:21" ht="15.75" customHeight="1" x14ac:dyDescent="0.2">
      <c r="B30" s="135">
        <f t="shared" si="6"/>
        <v>18</v>
      </c>
      <c r="C30" s="60"/>
      <c r="D30" s="58"/>
      <c r="E30" s="59"/>
      <c r="F30" s="171">
        <f t="shared" si="0"/>
        <v>0</v>
      </c>
      <c r="G30" s="58"/>
      <c r="H30" s="59"/>
      <c r="I30" s="171">
        <f t="shared" si="1"/>
        <v>0</v>
      </c>
      <c r="J30" s="58"/>
      <c r="K30" s="59"/>
      <c r="L30" s="171">
        <f t="shared" si="2"/>
        <v>0</v>
      </c>
      <c r="M30" s="58"/>
      <c r="N30" s="59"/>
      <c r="O30" s="171">
        <f t="shared" si="3"/>
        <v>0</v>
      </c>
      <c r="P30" s="58"/>
      <c r="Q30" s="59"/>
      <c r="R30" s="171">
        <f t="shared" si="4"/>
        <v>0</v>
      </c>
      <c r="S30" s="58"/>
      <c r="T30" s="59"/>
      <c r="U30" s="171">
        <f t="shared" si="5"/>
        <v>0</v>
      </c>
    </row>
    <row r="31" spans="2:21" ht="15" customHeight="1" x14ac:dyDescent="0.2">
      <c r="B31" s="135">
        <f t="shared" si="6"/>
        <v>19</v>
      </c>
      <c r="C31" s="60"/>
      <c r="D31" s="58"/>
      <c r="E31" s="59"/>
      <c r="F31" s="171">
        <f t="shared" si="0"/>
        <v>0</v>
      </c>
      <c r="G31" s="58"/>
      <c r="H31" s="59"/>
      <c r="I31" s="171">
        <f t="shared" si="1"/>
        <v>0</v>
      </c>
      <c r="J31" s="58"/>
      <c r="K31" s="59"/>
      <c r="L31" s="171">
        <f t="shared" si="2"/>
        <v>0</v>
      </c>
      <c r="M31" s="58"/>
      <c r="N31" s="59"/>
      <c r="O31" s="171">
        <f t="shared" si="3"/>
        <v>0</v>
      </c>
      <c r="P31" s="58"/>
      <c r="Q31" s="59"/>
      <c r="R31" s="171">
        <f t="shared" si="4"/>
        <v>0</v>
      </c>
      <c r="S31" s="58"/>
      <c r="T31" s="59"/>
      <c r="U31" s="171">
        <f t="shared" si="5"/>
        <v>0</v>
      </c>
    </row>
    <row r="32" spans="2:21" ht="15.75" thickBot="1" x14ac:dyDescent="0.25">
      <c r="B32" s="136">
        <f>B31+1</f>
        <v>20</v>
      </c>
      <c r="C32" s="60"/>
      <c r="D32" s="58"/>
      <c r="E32" s="59"/>
      <c r="F32" s="171">
        <f t="shared" si="0"/>
        <v>0</v>
      </c>
      <c r="G32" s="58"/>
      <c r="H32" s="59"/>
      <c r="I32" s="171">
        <f t="shared" si="1"/>
        <v>0</v>
      </c>
      <c r="J32" s="58"/>
      <c r="K32" s="59"/>
      <c r="L32" s="171">
        <f t="shared" si="2"/>
        <v>0</v>
      </c>
      <c r="M32" s="58"/>
      <c r="N32" s="59"/>
      <c r="O32" s="171">
        <f t="shared" si="3"/>
        <v>0</v>
      </c>
      <c r="P32" s="58"/>
      <c r="Q32" s="59"/>
      <c r="R32" s="171">
        <f t="shared" si="4"/>
        <v>0</v>
      </c>
      <c r="S32" s="58"/>
      <c r="T32" s="59"/>
      <c r="U32" s="171">
        <f t="shared" si="5"/>
        <v>0</v>
      </c>
    </row>
    <row r="33" spans="1:21" ht="31.5" customHeight="1" thickBot="1" x14ac:dyDescent="0.25">
      <c r="C33" s="165" t="s">
        <v>2</v>
      </c>
      <c r="D33" s="53">
        <f>SUM(D13:D32)</f>
        <v>0</v>
      </c>
      <c r="E33" s="54">
        <f>SUM(E13:E32)</f>
        <v>0</v>
      </c>
      <c r="F33" s="55">
        <f>D33+E33</f>
        <v>0</v>
      </c>
      <c r="G33" s="53">
        <f>SUM(G13:G32)</f>
        <v>0</v>
      </c>
      <c r="H33" s="54">
        <f>SUM(H13:H32)</f>
        <v>0</v>
      </c>
      <c r="I33" s="55">
        <f>G33+H33</f>
        <v>0</v>
      </c>
      <c r="J33" s="53">
        <f>SUM(J13:J32)</f>
        <v>0</v>
      </c>
      <c r="K33" s="54">
        <f>SUM(K13:K32)</f>
        <v>0</v>
      </c>
      <c r="L33" s="55">
        <f>J33+K33</f>
        <v>0</v>
      </c>
      <c r="M33" s="53">
        <f>SUM(M13:M32)</f>
        <v>0</v>
      </c>
      <c r="N33" s="54">
        <f>SUM(N13:N32)</f>
        <v>0</v>
      </c>
      <c r="O33" s="55">
        <f>M33+N33</f>
        <v>0</v>
      </c>
      <c r="P33" s="53">
        <f>SUM(P13:P32)</f>
        <v>0</v>
      </c>
      <c r="Q33" s="54">
        <f>SUM(Q13:Q32)</f>
        <v>0</v>
      </c>
      <c r="R33" s="55">
        <f>P33+Q33</f>
        <v>0</v>
      </c>
      <c r="S33" s="53">
        <f>SUM(S13:S32)</f>
        <v>0</v>
      </c>
      <c r="T33" s="54">
        <f>SUM(T13:T32)</f>
        <v>0</v>
      </c>
      <c r="U33" s="55">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19" width="13.5703125" style="16" customWidth="1"/>
    <col min="20" max="20" width="14.28515625" style="16" customWidth="1"/>
    <col min="21" max="21" width="13.5703125" style="16" customWidth="1"/>
    <col min="22" max="16384" width="11.42578125" style="16"/>
  </cols>
  <sheetData>
    <row r="1" spans="2:21" ht="64.5" customHeight="1" x14ac:dyDescent="0.2">
      <c r="D1" s="221"/>
      <c r="E1" s="221"/>
      <c r="F1" s="221"/>
      <c r="G1" s="221"/>
      <c r="H1" s="221"/>
      <c r="I1" s="221"/>
      <c r="J1" s="12"/>
      <c r="K1" s="12"/>
      <c r="L1" s="12"/>
    </row>
    <row r="2" spans="2:21" x14ac:dyDescent="0.2">
      <c r="B2" s="115"/>
    </row>
    <row r="4" spans="2:21" ht="15" x14ac:dyDescent="0.2">
      <c r="B4" s="92" t="s">
        <v>135</v>
      </c>
    </row>
    <row r="5" spans="2:21" ht="15" x14ac:dyDescent="0.2">
      <c r="B5" s="92"/>
    </row>
    <row r="6" spans="2:21" ht="43.15" customHeight="1" x14ac:dyDescent="0.2">
      <c r="B6" s="217" t="s">
        <v>151</v>
      </c>
      <c r="C6" s="217"/>
    </row>
    <row r="8" spans="2:21" ht="26.45" customHeight="1" x14ac:dyDescent="0.2">
      <c r="B8" s="217" t="s">
        <v>131</v>
      </c>
      <c r="C8" s="217"/>
      <c r="D8" s="87"/>
    </row>
    <row r="9" spans="2:21" ht="15" x14ac:dyDescent="0.2">
      <c r="C9" s="166"/>
      <c r="D9" s="87"/>
    </row>
    <row r="10" spans="2:21" ht="6" customHeight="1" thickBot="1" x14ac:dyDescent="0.25"/>
    <row r="11" spans="2:21" ht="15.75" customHeight="1" thickBot="1" x14ac:dyDescent="0.25">
      <c r="B11" s="213" t="s">
        <v>80</v>
      </c>
      <c r="C11" s="230" t="s">
        <v>144</v>
      </c>
      <c r="D11" s="218">
        <f>Personal!F13</f>
        <v>2021</v>
      </c>
      <c r="E11" s="219"/>
      <c r="F11" s="220"/>
      <c r="G11" s="218">
        <f>D11+1</f>
        <v>2022</v>
      </c>
      <c r="H11" s="219"/>
      <c r="I11" s="220"/>
      <c r="J11" s="218">
        <f>G11+1</f>
        <v>2023</v>
      </c>
      <c r="K11" s="219"/>
      <c r="L11" s="220"/>
      <c r="M11" s="218">
        <f>J11+1</f>
        <v>2024</v>
      </c>
      <c r="N11" s="219"/>
      <c r="O11" s="220"/>
      <c r="P11" s="218">
        <f>M11+1</f>
        <v>2025</v>
      </c>
      <c r="Q11" s="219"/>
      <c r="R11" s="220"/>
      <c r="S11" s="218">
        <f>P11+1</f>
        <v>2026</v>
      </c>
      <c r="T11" s="219"/>
      <c r="U11" s="220"/>
    </row>
    <row r="12" spans="2:21" s="56" customFormat="1" ht="63" customHeight="1" thickBot="1" x14ac:dyDescent="0.25">
      <c r="B12" s="214" t="s">
        <v>1</v>
      </c>
      <c r="C12" s="231"/>
      <c r="D12" s="137" t="s">
        <v>6</v>
      </c>
      <c r="E12" s="138" t="s">
        <v>139</v>
      </c>
      <c r="F12" s="139" t="s">
        <v>4</v>
      </c>
      <c r="G12" s="137" t="s">
        <v>6</v>
      </c>
      <c r="H12" s="138" t="s">
        <v>139</v>
      </c>
      <c r="I12" s="139" t="s">
        <v>4</v>
      </c>
      <c r="J12" s="137" t="s">
        <v>6</v>
      </c>
      <c r="K12" s="138" t="s">
        <v>139</v>
      </c>
      <c r="L12" s="139" t="s">
        <v>4</v>
      </c>
      <c r="M12" s="137" t="s">
        <v>6</v>
      </c>
      <c r="N12" s="138" t="s">
        <v>139</v>
      </c>
      <c r="O12" s="139" t="s">
        <v>4</v>
      </c>
      <c r="P12" s="137" t="s">
        <v>6</v>
      </c>
      <c r="Q12" s="138" t="s">
        <v>139</v>
      </c>
      <c r="R12" s="139" t="s">
        <v>4</v>
      </c>
      <c r="S12" s="137" t="s">
        <v>6</v>
      </c>
      <c r="T12" s="138" t="s">
        <v>139</v>
      </c>
      <c r="U12" s="139" t="s">
        <v>4</v>
      </c>
    </row>
    <row r="13" spans="2:21" ht="15.75" customHeight="1" x14ac:dyDescent="0.2">
      <c r="B13" s="128">
        <v>1</v>
      </c>
      <c r="C13" s="57"/>
      <c r="D13" s="58"/>
      <c r="E13" s="173"/>
      <c r="F13" s="171">
        <f>SUM(D13:E13)</f>
        <v>0</v>
      </c>
      <c r="G13" s="58"/>
      <c r="H13" s="173"/>
      <c r="I13" s="171">
        <f>SUM(G13:H13)</f>
        <v>0</v>
      </c>
      <c r="J13" s="58"/>
      <c r="K13" s="173"/>
      <c r="L13" s="171">
        <f>SUM(J13:K13)</f>
        <v>0</v>
      </c>
      <c r="M13" s="58"/>
      <c r="N13" s="173"/>
      <c r="O13" s="171">
        <f>SUM(M13:N13)</f>
        <v>0</v>
      </c>
      <c r="P13" s="58"/>
      <c r="Q13" s="173"/>
      <c r="R13" s="171">
        <f>SUM(P13:Q13)</f>
        <v>0</v>
      </c>
      <c r="S13" s="58"/>
      <c r="T13" s="173"/>
      <c r="U13" s="171">
        <f>SUM(S13:T13)</f>
        <v>0</v>
      </c>
    </row>
    <row r="14" spans="2:21" ht="15.75" customHeight="1" x14ac:dyDescent="0.2">
      <c r="B14" s="129">
        <f>B13+1</f>
        <v>2</v>
      </c>
      <c r="C14" s="60"/>
      <c r="D14" s="58"/>
      <c r="E14" s="173"/>
      <c r="F14" s="171">
        <f t="shared" ref="F14:F32" si="0">SUM(D14:E14)</f>
        <v>0</v>
      </c>
      <c r="G14" s="58"/>
      <c r="H14" s="173"/>
      <c r="I14" s="171">
        <f t="shared" ref="I14:I32" si="1">SUM(G14:H14)</f>
        <v>0</v>
      </c>
      <c r="J14" s="58"/>
      <c r="K14" s="173"/>
      <c r="L14" s="171">
        <f t="shared" ref="L14:L32" si="2">SUM(J14:K14)</f>
        <v>0</v>
      </c>
      <c r="M14" s="58"/>
      <c r="N14" s="173"/>
      <c r="O14" s="171">
        <f t="shared" ref="O14:O32" si="3">SUM(M14:N14)</f>
        <v>0</v>
      </c>
      <c r="P14" s="58"/>
      <c r="Q14" s="173"/>
      <c r="R14" s="171">
        <f t="shared" ref="R14:R32" si="4">SUM(P14:Q14)</f>
        <v>0</v>
      </c>
      <c r="S14" s="58"/>
      <c r="T14" s="173"/>
      <c r="U14" s="171">
        <f t="shared" ref="U14:U32" si="5">SUM(S14:T14)</f>
        <v>0</v>
      </c>
    </row>
    <row r="15" spans="2:21" ht="15.75" customHeight="1" x14ac:dyDescent="0.2">
      <c r="B15" s="129">
        <f t="shared" ref="B15:B31" si="6">B14+1</f>
        <v>3</v>
      </c>
      <c r="C15" s="60"/>
      <c r="D15" s="58"/>
      <c r="E15" s="173"/>
      <c r="F15" s="171">
        <f t="shared" si="0"/>
        <v>0</v>
      </c>
      <c r="G15" s="58"/>
      <c r="H15" s="173"/>
      <c r="I15" s="171">
        <f t="shared" si="1"/>
        <v>0</v>
      </c>
      <c r="J15" s="58"/>
      <c r="K15" s="173"/>
      <c r="L15" s="171">
        <f t="shared" si="2"/>
        <v>0</v>
      </c>
      <c r="M15" s="58"/>
      <c r="N15" s="173"/>
      <c r="O15" s="171">
        <f t="shared" si="3"/>
        <v>0</v>
      </c>
      <c r="P15" s="58"/>
      <c r="Q15" s="173"/>
      <c r="R15" s="171">
        <f t="shared" si="4"/>
        <v>0</v>
      </c>
      <c r="S15" s="58"/>
      <c r="T15" s="173"/>
      <c r="U15" s="171">
        <f t="shared" si="5"/>
        <v>0</v>
      </c>
    </row>
    <row r="16" spans="2:21" ht="15.75" customHeight="1" x14ac:dyDescent="0.2">
      <c r="B16" s="129">
        <f t="shared" si="6"/>
        <v>4</v>
      </c>
      <c r="C16" s="60"/>
      <c r="D16" s="58"/>
      <c r="E16" s="173"/>
      <c r="F16" s="171">
        <f t="shared" si="0"/>
        <v>0</v>
      </c>
      <c r="G16" s="58"/>
      <c r="H16" s="173"/>
      <c r="I16" s="171">
        <f t="shared" si="1"/>
        <v>0</v>
      </c>
      <c r="J16" s="58"/>
      <c r="K16" s="173"/>
      <c r="L16" s="171">
        <f t="shared" si="2"/>
        <v>0</v>
      </c>
      <c r="M16" s="58"/>
      <c r="N16" s="173"/>
      <c r="O16" s="171">
        <f t="shared" si="3"/>
        <v>0</v>
      </c>
      <c r="P16" s="58"/>
      <c r="Q16" s="173"/>
      <c r="R16" s="171">
        <f t="shared" si="4"/>
        <v>0</v>
      </c>
      <c r="S16" s="58"/>
      <c r="T16" s="173"/>
      <c r="U16" s="171">
        <f t="shared" si="5"/>
        <v>0</v>
      </c>
    </row>
    <row r="17" spans="2:21" ht="15.75" customHeight="1" x14ac:dyDescent="0.2">
      <c r="B17" s="129">
        <f t="shared" si="6"/>
        <v>5</v>
      </c>
      <c r="C17" s="60"/>
      <c r="D17" s="58"/>
      <c r="E17" s="173"/>
      <c r="F17" s="171">
        <f t="shared" si="0"/>
        <v>0</v>
      </c>
      <c r="G17" s="58"/>
      <c r="H17" s="173"/>
      <c r="I17" s="171">
        <f t="shared" si="1"/>
        <v>0</v>
      </c>
      <c r="J17" s="58"/>
      <c r="K17" s="173"/>
      <c r="L17" s="171">
        <f t="shared" si="2"/>
        <v>0</v>
      </c>
      <c r="M17" s="58"/>
      <c r="N17" s="173"/>
      <c r="O17" s="171">
        <f t="shared" si="3"/>
        <v>0</v>
      </c>
      <c r="P17" s="58"/>
      <c r="Q17" s="173"/>
      <c r="R17" s="171">
        <f t="shared" si="4"/>
        <v>0</v>
      </c>
      <c r="S17" s="58"/>
      <c r="T17" s="173"/>
      <c r="U17" s="171">
        <f t="shared" si="5"/>
        <v>0</v>
      </c>
    </row>
    <row r="18" spans="2:21" ht="15.75" customHeight="1" x14ac:dyDescent="0.2">
      <c r="B18" s="129">
        <f t="shared" si="6"/>
        <v>6</v>
      </c>
      <c r="C18" s="60"/>
      <c r="D18" s="58"/>
      <c r="E18" s="173"/>
      <c r="F18" s="171">
        <f t="shared" si="0"/>
        <v>0</v>
      </c>
      <c r="G18" s="58"/>
      <c r="H18" s="173"/>
      <c r="I18" s="171">
        <f t="shared" si="1"/>
        <v>0</v>
      </c>
      <c r="J18" s="58"/>
      <c r="K18" s="173"/>
      <c r="L18" s="171">
        <f t="shared" si="2"/>
        <v>0</v>
      </c>
      <c r="M18" s="58"/>
      <c r="N18" s="173"/>
      <c r="O18" s="171">
        <f t="shared" si="3"/>
        <v>0</v>
      </c>
      <c r="P18" s="58"/>
      <c r="Q18" s="173"/>
      <c r="R18" s="171">
        <f t="shared" si="4"/>
        <v>0</v>
      </c>
      <c r="S18" s="58"/>
      <c r="T18" s="173"/>
      <c r="U18" s="171">
        <f t="shared" si="5"/>
        <v>0</v>
      </c>
    </row>
    <row r="19" spans="2:21" ht="15.75" customHeight="1" x14ac:dyDescent="0.2">
      <c r="B19" s="129">
        <f t="shared" si="6"/>
        <v>7</v>
      </c>
      <c r="C19" s="60"/>
      <c r="D19" s="58"/>
      <c r="E19" s="173"/>
      <c r="F19" s="171">
        <f t="shared" si="0"/>
        <v>0</v>
      </c>
      <c r="G19" s="58"/>
      <c r="H19" s="173"/>
      <c r="I19" s="171">
        <f t="shared" si="1"/>
        <v>0</v>
      </c>
      <c r="J19" s="58"/>
      <c r="K19" s="173"/>
      <c r="L19" s="171">
        <f t="shared" si="2"/>
        <v>0</v>
      </c>
      <c r="M19" s="58"/>
      <c r="N19" s="173"/>
      <c r="O19" s="171">
        <f t="shared" si="3"/>
        <v>0</v>
      </c>
      <c r="P19" s="58"/>
      <c r="Q19" s="173"/>
      <c r="R19" s="171">
        <f t="shared" si="4"/>
        <v>0</v>
      </c>
      <c r="S19" s="58"/>
      <c r="T19" s="173"/>
      <c r="U19" s="171">
        <f t="shared" si="5"/>
        <v>0</v>
      </c>
    </row>
    <row r="20" spans="2:21" ht="15.75" customHeight="1" x14ac:dyDescent="0.2">
      <c r="B20" s="129">
        <f t="shared" si="6"/>
        <v>8</v>
      </c>
      <c r="C20" s="60"/>
      <c r="D20" s="58"/>
      <c r="E20" s="173"/>
      <c r="F20" s="171">
        <f t="shared" si="0"/>
        <v>0</v>
      </c>
      <c r="G20" s="58"/>
      <c r="H20" s="173"/>
      <c r="I20" s="171">
        <f t="shared" si="1"/>
        <v>0</v>
      </c>
      <c r="J20" s="58"/>
      <c r="K20" s="173"/>
      <c r="L20" s="171">
        <f t="shared" si="2"/>
        <v>0</v>
      </c>
      <c r="M20" s="58"/>
      <c r="N20" s="173"/>
      <c r="O20" s="171">
        <f t="shared" si="3"/>
        <v>0</v>
      </c>
      <c r="P20" s="58"/>
      <c r="Q20" s="173"/>
      <c r="R20" s="171">
        <f t="shared" si="4"/>
        <v>0</v>
      </c>
      <c r="S20" s="58"/>
      <c r="T20" s="173"/>
      <c r="U20" s="171">
        <f t="shared" si="5"/>
        <v>0</v>
      </c>
    </row>
    <row r="21" spans="2:21" ht="15.75" customHeight="1" x14ac:dyDescent="0.2">
      <c r="B21" s="129">
        <f t="shared" si="6"/>
        <v>9</v>
      </c>
      <c r="C21" s="60"/>
      <c r="D21" s="58"/>
      <c r="E21" s="173"/>
      <c r="F21" s="171">
        <f t="shared" si="0"/>
        <v>0</v>
      </c>
      <c r="G21" s="58"/>
      <c r="H21" s="173"/>
      <c r="I21" s="171">
        <f t="shared" si="1"/>
        <v>0</v>
      </c>
      <c r="J21" s="58"/>
      <c r="K21" s="173"/>
      <c r="L21" s="171">
        <f t="shared" si="2"/>
        <v>0</v>
      </c>
      <c r="M21" s="58"/>
      <c r="N21" s="173"/>
      <c r="O21" s="171">
        <f t="shared" si="3"/>
        <v>0</v>
      </c>
      <c r="P21" s="58"/>
      <c r="Q21" s="173"/>
      <c r="R21" s="171">
        <f t="shared" si="4"/>
        <v>0</v>
      </c>
      <c r="S21" s="58"/>
      <c r="T21" s="173"/>
      <c r="U21" s="171">
        <f t="shared" si="5"/>
        <v>0</v>
      </c>
    </row>
    <row r="22" spans="2:21" ht="15.75" customHeight="1" x14ac:dyDescent="0.2">
      <c r="B22" s="129">
        <f t="shared" si="6"/>
        <v>10</v>
      </c>
      <c r="C22" s="60"/>
      <c r="D22" s="58"/>
      <c r="E22" s="173"/>
      <c r="F22" s="171">
        <f t="shared" si="0"/>
        <v>0</v>
      </c>
      <c r="G22" s="58"/>
      <c r="H22" s="173"/>
      <c r="I22" s="171">
        <f t="shared" si="1"/>
        <v>0</v>
      </c>
      <c r="J22" s="58"/>
      <c r="K22" s="173"/>
      <c r="L22" s="171">
        <f t="shared" si="2"/>
        <v>0</v>
      </c>
      <c r="M22" s="58"/>
      <c r="N22" s="173"/>
      <c r="O22" s="171">
        <f t="shared" si="3"/>
        <v>0</v>
      </c>
      <c r="P22" s="58"/>
      <c r="Q22" s="173"/>
      <c r="R22" s="171">
        <f t="shared" si="4"/>
        <v>0</v>
      </c>
      <c r="S22" s="58"/>
      <c r="T22" s="173"/>
      <c r="U22" s="171">
        <f t="shared" si="5"/>
        <v>0</v>
      </c>
    </row>
    <row r="23" spans="2:21" ht="15.75" customHeight="1" x14ac:dyDescent="0.2">
      <c r="B23" s="129">
        <f t="shared" si="6"/>
        <v>11</v>
      </c>
      <c r="C23" s="60"/>
      <c r="D23" s="58"/>
      <c r="E23" s="173"/>
      <c r="F23" s="171">
        <f t="shared" si="0"/>
        <v>0</v>
      </c>
      <c r="G23" s="58"/>
      <c r="H23" s="173"/>
      <c r="I23" s="171">
        <f t="shared" si="1"/>
        <v>0</v>
      </c>
      <c r="J23" s="58"/>
      <c r="K23" s="173"/>
      <c r="L23" s="171">
        <f t="shared" si="2"/>
        <v>0</v>
      </c>
      <c r="M23" s="58"/>
      <c r="N23" s="173"/>
      <c r="O23" s="171">
        <f t="shared" si="3"/>
        <v>0</v>
      </c>
      <c r="P23" s="58"/>
      <c r="Q23" s="173"/>
      <c r="R23" s="171">
        <f t="shared" si="4"/>
        <v>0</v>
      </c>
      <c r="S23" s="58"/>
      <c r="T23" s="173"/>
      <c r="U23" s="171">
        <f t="shared" si="5"/>
        <v>0</v>
      </c>
    </row>
    <row r="24" spans="2:21" ht="15.75" customHeight="1" x14ac:dyDescent="0.2">
      <c r="B24" s="129">
        <f t="shared" si="6"/>
        <v>12</v>
      </c>
      <c r="C24" s="60"/>
      <c r="D24" s="58"/>
      <c r="E24" s="173"/>
      <c r="F24" s="171">
        <f t="shared" si="0"/>
        <v>0</v>
      </c>
      <c r="G24" s="58"/>
      <c r="H24" s="173"/>
      <c r="I24" s="171">
        <f t="shared" si="1"/>
        <v>0</v>
      </c>
      <c r="J24" s="58"/>
      <c r="K24" s="173"/>
      <c r="L24" s="171">
        <f t="shared" si="2"/>
        <v>0</v>
      </c>
      <c r="M24" s="58"/>
      <c r="N24" s="173"/>
      <c r="O24" s="171">
        <f t="shared" si="3"/>
        <v>0</v>
      </c>
      <c r="P24" s="58"/>
      <c r="Q24" s="173"/>
      <c r="R24" s="171">
        <f t="shared" si="4"/>
        <v>0</v>
      </c>
      <c r="S24" s="58"/>
      <c r="T24" s="173"/>
      <c r="U24" s="171">
        <f t="shared" si="5"/>
        <v>0</v>
      </c>
    </row>
    <row r="25" spans="2:21" ht="15.75" customHeight="1" x14ac:dyDescent="0.2">
      <c r="B25" s="129">
        <f t="shared" si="6"/>
        <v>13</v>
      </c>
      <c r="C25" s="60"/>
      <c r="D25" s="58"/>
      <c r="E25" s="173"/>
      <c r="F25" s="171">
        <f t="shared" si="0"/>
        <v>0</v>
      </c>
      <c r="G25" s="58"/>
      <c r="H25" s="173"/>
      <c r="I25" s="171">
        <f t="shared" si="1"/>
        <v>0</v>
      </c>
      <c r="J25" s="58"/>
      <c r="K25" s="173"/>
      <c r="L25" s="171">
        <f t="shared" si="2"/>
        <v>0</v>
      </c>
      <c r="M25" s="58"/>
      <c r="N25" s="173"/>
      <c r="O25" s="171">
        <f t="shared" si="3"/>
        <v>0</v>
      </c>
      <c r="P25" s="58"/>
      <c r="Q25" s="173"/>
      <c r="R25" s="171">
        <f t="shared" si="4"/>
        <v>0</v>
      </c>
      <c r="S25" s="58"/>
      <c r="T25" s="173"/>
      <c r="U25" s="171">
        <f t="shared" si="5"/>
        <v>0</v>
      </c>
    </row>
    <row r="26" spans="2:21" ht="15.75" customHeight="1" x14ac:dyDescent="0.2">
      <c r="B26" s="129">
        <f t="shared" si="6"/>
        <v>14</v>
      </c>
      <c r="C26" s="60"/>
      <c r="D26" s="58"/>
      <c r="E26" s="173"/>
      <c r="F26" s="171">
        <f t="shared" si="0"/>
        <v>0</v>
      </c>
      <c r="G26" s="58"/>
      <c r="H26" s="173"/>
      <c r="I26" s="171">
        <f t="shared" si="1"/>
        <v>0</v>
      </c>
      <c r="J26" s="58"/>
      <c r="K26" s="173"/>
      <c r="L26" s="171">
        <f t="shared" si="2"/>
        <v>0</v>
      </c>
      <c r="M26" s="58"/>
      <c r="N26" s="173"/>
      <c r="O26" s="171">
        <f t="shared" si="3"/>
        <v>0</v>
      </c>
      <c r="P26" s="58"/>
      <c r="Q26" s="173"/>
      <c r="R26" s="171">
        <f t="shared" si="4"/>
        <v>0</v>
      </c>
      <c r="S26" s="58"/>
      <c r="T26" s="173"/>
      <c r="U26" s="171">
        <f t="shared" si="5"/>
        <v>0</v>
      </c>
    </row>
    <row r="27" spans="2:21" ht="15.75" customHeight="1" x14ac:dyDescent="0.2">
      <c r="B27" s="129">
        <f t="shared" si="6"/>
        <v>15</v>
      </c>
      <c r="C27" s="60"/>
      <c r="D27" s="58"/>
      <c r="E27" s="173"/>
      <c r="F27" s="171">
        <f t="shared" si="0"/>
        <v>0</v>
      </c>
      <c r="G27" s="58"/>
      <c r="H27" s="173"/>
      <c r="I27" s="171">
        <f t="shared" si="1"/>
        <v>0</v>
      </c>
      <c r="J27" s="58"/>
      <c r="K27" s="173"/>
      <c r="L27" s="171">
        <f t="shared" si="2"/>
        <v>0</v>
      </c>
      <c r="M27" s="58"/>
      <c r="N27" s="173"/>
      <c r="O27" s="171">
        <f t="shared" si="3"/>
        <v>0</v>
      </c>
      <c r="P27" s="58"/>
      <c r="Q27" s="173"/>
      <c r="R27" s="171">
        <f t="shared" si="4"/>
        <v>0</v>
      </c>
      <c r="S27" s="58"/>
      <c r="T27" s="173"/>
      <c r="U27" s="171">
        <f t="shared" si="5"/>
        <v>0</v>
      </c>
    </row>
    <row r="28" spans="2:21" ht="15.75" customHeight="1" x14ac:dyDescent="0.2">
      <c r="B28" s="129">
        <f t="shared" si="6"/>
        <v>16</v>
      </c>
      <c r="C28" s="60"/>
      <c r="D28" s="58"/>
      <c r="E28" s="173"/>
      <c r="F28" s="171">
        <f t="shared" si="0"/>
        <v>0</v>
      </c>
      <c r="G28" s="58"/>
      <c r="H28" s="173"/>
      <c r="I28" s="171">
        <f t="shared" si="1"/>
        <v>0</v>
      </c>
      <c r="J28" s="58"/>
      <c r="K28" s="173"/>
      <c r="L28" s="171">
        <f t="shared" si="2"/>
        <v>0</v>
      </c>
      <c r="M28" s="58"/>
      <c r="N28" s="173"/>
      <c r="O28" s="171">
        <f t="shared" si="3"/>
        <v>0</v>
      </c>
      <c r="P28" s="58"/>
      <c r="Q28" s="173"/>
      <c r="R28" s="171">
        <f t="shared" si="4"/>
        <v>0</v>
      </c>
      <c r="S28" s="58"/>
      <c r="T28" s="173"/>
      <c r="U28" s="171">
        <f t="shared" si="5"/>
        <v>0</v>
      </c>
    </row>
    <row r="29" spans="2:21" ht="15.75" customHeight="1" x14ac:dyDescent="0.2">
      <c r="B29" s="129">
        <f t="shared" si="6"/>
        <v>17</v>
      </c>
      <c r="C29" s="60"/>
      <c r="D29" s="58"/>
      <c r="E29" s="173"/>
      <c r="F29" s="171">
        <f t="shared" si="0"/>
        <v>0</v>
      </c>
      <c r="G29" s="58"/>
      <c r="H29" s="173"/>
      <c r="I29" s="171">
        <f t="shared" si="1"/>
        <v>0</v>
      </c>
      <c r="J29" s="58"/>
      <c r="K29" s="173"/>
      <c r="L29" s="171">
        <f t="shared" si="2"/>
        <v>0</v>
      </c>
      <c r="M29" s="58"/>
      <c r="N29" s="173"/>
      <c r="O29" s="171">
        <f t="shared" si="3"/>
        <v>0</v>
      </c>
      <c r="P29" s="58"/>
      <c r="Q29" s="173"/>
      <c r="R29" s="171">
        <f t="shared" si="4"/>
        <v>0</v>
      </c>
      <c r="S29" s="58"/>
      <c r="T29" s="173"/>
      <c r="U29" s="171">
        <f t="shared" si="5"/>
        <v>0</v>
      </c>
    </row>
    <row r="30" spans="2:21" ht="15.75" customHeight="1" x14ac:dyDescent="0.2">
      <c r="B30" s="135">
        <f t="shared" si="6"/>
        <v>18</v>
      </c>
      <c r="C30" s="60"/>
      <c r="D30" s="58"/>
      <c r="E30" s="173"/>
      <c r="F30" s="171">
        <f t="shared" si="0"/>
        <v>0</v>
      </c>
      <c r="G30" s="58"/>
      <c r="H30" s="173"/>
      <c r="I30" s="171">
        <f t="shared" si="1"/>
        <v>0</v>
      </c>
      <c r="J30" s="58"/>
      <c r="K30" s="173"/>
      <c r="L30" s="171">
        <f t="shared" si="2"/>
        <v>0</v>
      </c>
      <c r="M30" s="58"/>
      <c r="N30" s="173"/>
      <c r="O30" s="171">
        <f t="shared" si="3"/>
        <v>0</v>
      </c>
      <c r="P30" s="58"/>
      <c r="Q30" s="173"/>
      <c r="R30" s="171">
        <f t="shared" si="4"/>
        <v>0</v>
      </c>
      <c r="S30" s="58"/>
      <c r="T30" s="173"/>
      <c r="U30" s="171">
        <f t="shared" si="5"/>
        <v>0</v>
      </c>
    </row>
    <row r="31" spans="2:21" ht="15" customHeight="1" x14ac:dyDescent="0.2">
      <c r="B31" s="135">
        <f t="shared" si="6"/>
        <v>19</v>
      </c>
      <c r="C31" s="60"/>
      <c r="D31" s="58"/>
      <c r="E31" s="173"/>
      <c r="F31" s="171">
        <f t="shared" si="0"/>
        <v>0</v>
      </c>
      <c r="G31" s="58"/>
      <c r="H31" s="173"/>
      <c r="I31" s="171">
        <f t="shared" si="1"/>
        <v>0</v>
      </c>
      <c r="J31" s="58"/>
      <c r="K31" s="173"/>
      <c r="L31" s="171">
        <f t="shared" si="2"/>
        <v>0</v>
      </c>
      <c r="M31" s="58"/>
      <c r="N31" s="173"/>
      <c r="O31" s="171">
        <f t="shared" si="3"/>
        <v>0</v>
      </c>
      <c r="P31" s="58"/>
      <c r="Q31" s="173"/>
      <c r="R31" s="171">
        <f t="shared" si="4"/>
        <v>0</v>
      </c>
      <c r="S31" s="58"/>
      <c r="T31" s="173"/>
      <c r="U31" s="171">
        <f t="shared" si="5"/>
        <v>0</v>
      </c>
    </row>
    <row r="32" spans="2:21" ht="15.75" thickBot="1" x14ac:dyDescent="0.25">
      <c r="B32" s="136">
        <f>B31+1</f>
        <v>20</v>
      </c>
      <c r="C32" s="60"/>
      <c r="D32" s="58"/>
      <c r="E32" s="173"/>
      <c r="F32" s="171">
        <f t="shared" si="0"/>
        <v>0</v>
      </c>
      <c r="G32" s="58"/>
      <c r="H32" s="173"/>
      <c r="I32" s="171">
        <f t="shared" si="1"/>
        <v>0</v>
      </c>
      <c r="J32" s="58"/>
      <c r="K32" s="173"/>
      <c r="L32" s="171">
        <f t="shared" si="2"/>
        <v>0</v>
      </c>
      <c r="M32" s="58"/>
      <c r="N32" s="173"/>
      <c r="O32" s="171">
        <f t="shared" si="3"/>
        <v>0</v>
      </c>
      <c r="P32" s="58"/>
      <c r="Q32" s="173"/>
      <c r="R32" s="171">
        <f t="shared" si="4"/>
        <v>0</v>
      </c>
      <c r="S32" s="58"/>
      <c r="T32" s="173"/>
      <c r="U32" s="171">
        <f t="shared" si="5"/>
        <v>0</v>
      </c>
    </row>
    <row r="33" spans="1:21" ht="31.5" customHeight="1" thickBot="1" x14ac:dyDescent="0.25">
      <c r="C33" s="165" t="s">
        <v>2</v>
      </c>
      <c r="D33" s="53">
        <f>SUM(D13:D32)</f>
        <v>0</v>
      </c>
      <c r="E33" s="96"/>
      <c r="F33" s="55">
        <f>D33+E33</f>
        <v>0</v>
      </c>
      <c r="G33" s="53">
        <f>SUM(G13:G32)</f>
        <v>0</v>
      </c>
      <c r="H33" s="96"/>
      <c r="I33" s="55">
        <f>G33+H33</f>
        <v>0</v>
      </c>
      <c r="J33" s="53">
        <f>SUM(J13:J32)</f>
        <v>0</v>
      </c>
      <c r="K33" s="96"/>
      <c r="L33" s="55">
        <f>J33+K33</f>
        <v>0</v>
      </c>
      <c r="M33" s="53">
        <f>SUM(M13:M32)</f>
        <v>0</v>
      </c>
      <c r="N33" s="96"/>
      <c r="O33" s="55">
        <f>M33+N33</f>
        <v>0</v>
      </c>
      <c r="P33" s="53">
        <f>SUM(P13:P32)</f>
        <v>0</v>
      </c>
      <c r="Q33" s="96"/>
      <c r="R33" s="55">
        <f>P33+Q33</f>
        <v>0</v>
      </c>
      <c r="S33" s="53">
        <f>SUM(S13:S32)</f>
        <v>0</v>
      </c>
      <c r="T33" s="96"/>
      <c r="U33" s="55">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9" style="16" customWidth="1"/>
    <col min="4" max="4" width="15.28515625" style="16" customWidth="1"/>
    <col min="5" max="5" width="14" style="16" customWidth="1"/>
    <col min="6" max="12" width="15.28515625" style="16" customWidth="1"/>
    <col min="13" max="13" width="14.85546875" style="16" customWidth="1"/>
    <col min="14" max="14" width="14.140625" style="16" customWidth="1"/>
    <col min="15" max="15" width="14.28515625" style="16" customWidth="1"/>
    <col min="16" max="16" width="14.42578125" style="16" customWidth="1"/>
    <col min="17" max="17" width="15.5703125" style="16" customWidth="1"/>
    <col min="18" max="18" width="14.140625" style="16" customWidth="1"/>
    <col min="19" max="19" width="13.5703125" style="16" customWidth="1"/>
    <col min="20" max="20" width="13.28515625" style="16" customWidth="1"/>
    <col min="21" max="21" width="14" style="16" customWidth="1"/>
    <col min="22" max="16384" width="11.42578125" style="16"/>
  </cols>
  <sheetData>
    <row r="1" spans="2:21" ht="70.5" customHeight="1" x14ac:dyDescent="0.2">
      <c r="D1" s="221"/>
      <c r="E1" s="221"/>
      <c r="F1" s="221"/>
      <c r="G1" s="221"/>
      <c r="H1" s="221"/>
      <c r="I1" s="221"/>
      <c r="J1" s="12"/>
      <c r="K1" s="12"/>
      <c r="L1" s="12"/>
    </row>
    <row r="2" spans="2:21" x14ac:dyDescent="0.2">
      <c r="B2" s="115"/>
    </row>
    <row r="4" spans="2:21" ht="15" x14ac:dyDescent="0.2">
      <c r="B4" s="92" t="s">
        <v>81</v>
      </c>
    </row>
    <row r="5" spans="2:21" ht="15" x14ac:dyDescent="0.2">
      <c r="B5" s="92"/>
    </row>
    <row r="6" spans="2:21" ht="44.45" customHeight="1" x14ac:dyDescent="0.2">
      <c r="B6" s="217" t="s">
        <v>152</v>
      </c>
      <c r="C6" s="217"/>
    </row>
    <row r="8" spans="2:21" ht="27.6" customHeight="1" x14ac:dyDescent="0.2">
      <c r="B8" s="217" t="s">
        <v>153</v>
      </c>
      <c r="C8" s="217"/>
      <c r="D8" s="87"/>
    </row>
    <row r="9" spans="2:21" ht="15" x14ac:dyDescent="0.2">
      <c r="C9" s="166"/>
      <c r="D9" s="87"/>
    </row>
    <row r="10" spans="2:21" ht="6" customHeight="1" thickBot="1" x14ac:dyDescent="0.25"/>
    <row r="11" spans="2:21" ht="15.75" customHeight="1" thickBot="1" x14ac:dyDescent="0.25">
      <c r="B11" s="213" t="s">
        <v>10</v>
      </c>
      <c r="C11" s="213" t="s">
        <v>147</v>
      </c>
      <c r="D11" s="218">
        <f>Personal!F13</f>
        <v>2021</v>
      </c>
      <c r="E11" s="219"/>
      <c r="F11" s="220"/>
      <c r="G11" s="218">
        <f>D11+1</f>
        <v>2022</v>
      </c>
      <c r="H11" s="219"/>
      <c r="I11" s="220"/>
      <c r="J11" s="218">
        <f>G11+1</f>
        <v>2023</v>
      </c>
      <c r="K11" s="219"/>
      <c r="L11" s="220"/>
      <c r="M11" s="218">
        <f>J11+1</f>
        <v>2024</v>
      </c>
      <c r="N11" s="219"/>
      <c r="O11" s="220"/>
      <c r="P11" s="218">
        <f>M11+1</f>
        <v>2025</v>
      </c>
      <c r="Q11" s="219"/>
      <c r="R11" s="220"/>
      <c r="S11" s="218">
        <f>P11+1</f>
        <v>2026</v>
      </c>
      <c r="T11" s="219"/>
      <c r="U11" s="220"/>
    </row>
    <row r="12" spans="2:21" s="56" customFormat="1" ht="67.900000000000006" customHeight="1" thickBot="1" x14ac:dyDescent="0.25">
      <c r="B12" s="214"/>
      <c r="C12" s="214"/>
      <c r="D12" s="137" t="s">
        <v>6</v>
      </c>
      <c r="E12" s="138" t="s">
        <v>139</v>
      </c>
      <c r="F12" s="139" t="s">
        <v>4</v>
      </c>
      <c r="G12" s="137" t="s">
        <v>6</v>
      </c>
      <c r="H12" s="138" t="s">
        <v>139</v>
      </c>
      <c r="I12" s="139" t="s">
        <v>4</v>
      </c>
      <c r="J12" s="137" t="s">
        <v>6</v>
      </c>
      <c r="K12" s="138" t="s">
        <v>139</v>
      </c>
      <c r="L12" s="139" t="s">
        <v>4</v>
      </c>
      <c r="M12" s="137" t="s">
        <v>6</v>
      </c>
      <c r="N12" s="138" t="s">
        <v>139</v>
      </c>
      <c r="O12" s="139" t="s">
        <v>4</v>
      </c>
      <c r="P12" s="137" t="s">
        <v>6</v>
      </c>
      <c r="Q12" s="138" t="s">
        <v>139</v>
      </c>
      <c r="R12" s="139" t="s">
        <v>4</v>
      </c>
      <c r="S12" s="137" t="s">
        <v>6</v>
      </c>
      <c r="T12" s="138" t="s">
        <v>139</v>
      </c>
      <c r="U12" s="139" t="s">
        <v>4</v>
      </c>
    </row>
    <row r="13" spans="2:21" ht="15.75" customHeight="1" x14ac:dyDescent="0.2">
      <c r="B13" s="128">
        <v>1</v>
      </c>
      <c r="C13" s="57"/>
      <c r="D13" s="58"/>
      <c r="E13" s="59"/>
      <c r="F13" s="171">
        <f>SUM(D13:E13)</f>
        <v>0</v>
      </c>
      <c r="G13" s="58"/>
      <c r="H13" s="59"/>
      <c r="I13" s="171">
        <f>SUM(G13:H13)</f>
        <v>0</v>
      </c>
      <c r="J13" s="58"/>
      <c r="K13" s="59"/>
      <c r="L13" s="171">
        <f>SUM(J13:K13)</f>
        <v>0</v>
      </c>
      <c r="M13" s="58"/>
      <c r="N13" s="59"/>
      <c r="O13" s="171">
        <f>SUM(M13:N13)</f>
        <v>0</v>
      </c>
      <c r="P13" s="58"/>
      <c r="Q13" s="59"/>
      <c r="R13" s="171">
        <f>SUM(P13:Q13)</f>
        <v>0</v>
      </c>
      <c r="S13" s="58"/>
      <c r="T13" s="59"/>
      <c r="U13" s="171">
        <f>SUM(S13:T13)</f>
        <v>0</v>
      </c>
    </row>
    <row r="14" spans="2:21" ht="15.75" customHeight="1" x14ac:dyDescent="0.2">
      <c r="B14" s="129">
        <f>B13+1</f>
        <v>2</v>
      </c>
      <c r="C14" s="60"/>
      <c r="D14" s="58"/>
      <c r="E14" s="59"/>
      <c r="F14" s="171">
        <f t="shared" ref="F14:F32" si="0">SUM(D14:E14)</f>
        <v>0</v>
      </c>
      <c r="G14" s="58"/>
      <c r="H14" s="59"/>
      <c r="I14" s="171">
        <f t="shared" ref="I14:I32" si="1">SUM(G14:H14)</f>
        <v>0</v>
      </c>
      <c r="J14" s="58"/>
      <c r="K14" s="59"/>
      <c r="L14" s="171">
        <f t="shared" ref="L14:L32" si="2">SUM(J14:K14)</f>
        <v>0</v>
      </c>
      <c r="M14" s="58"/>
      <c r="N14" s="59"/>
      <c r="O14" s="171">
        <f t="shared" ref="O14:O32" si="3">SUM(M14:N14)</f>
        <v>0</v>
      </c>
      <c r="P14" s="58"/>
      <c r="Q14" s="59"/>
      <c r="R14" s="171">
        <f t="shared" ref="R14:R32" si="4">SUM(P14:Q14)</f>
        <v>0</v>
      </c>
      <c r="S14" s="58"/>
      <c r="T14" s="59"/>
      <c r="U14" s="171">
        <f t="shared" ref="U14:U32" si="5">SUM(S14:T14)</f>
        <v>0</v>
      </c>
    </row>
    <row r="15" spans="2:21" ht="15.75" customHeight="1" x14ac:dyDescent="0.2">
      <c r="B15" s="129">
        <f t="shared" ref="B15:B31" si="6">B14+1</f>
        <v>3</v>
      </c>
      <c r="C15" s="60"/>
      <c r="D15" s="58"/>
      <c r="E15" s="59"/>
      <c r="F15" s="171">
        <f t="shared" si="0"/>
        <v>0</v>
      </c>
      <c r="G15" s="58"/>
      <c r="H15" s="59"/>
      <c r="I15" s="171">
        <f t="shared" si="1"/>
        <v>0</v>
      </c>
      <c r="J15" s="58"/>
      <c r="K15" s="59"/>
      <c r="L15" s="171">
        <f t="shared" si="2"/>
        <v>0</v>
      </c>
      <c r="M15" s="58"/>
      <c r="N15" s="59"/>
      <c r="O15" s="171">
        <f t="shared" si="3"/>
        <v>0</v>
      </c>
      <c r="P15" s="58"/>
      <c r="Q15" s="59"/>
      <c r="R15" s="171">
        <f t="shared" si="4"/>
        <v>0</v>
      </c>
      <c r="S15" s="58"/>
      <c r="T15" s="59"/>
      <c r="U15" s="171">
        <f t="shared" si="5"/>
        <v>0</v>
      </c>
    </row>
    <row r="16" spans="2:21" ht="15.75" customHeight="1" x14ac:dyDescent="0.2">
      <c r="B16" s="129">
        <f t="shared" si="6"/>
        <v>4</v>
      </c>
      <c r="C16" s="60"/>
      <c r="D16" s="58"/>
      <c r="E16" s="59"/>
      <c r="F16" s="171">
        <f t="shared" si="0"/>
        <v>0</v>
      </c>
      <c r="G16" s="58"/>
      <c r="H16" s="59"/>
      <c r="I16" s="171">
        <f t="shared" si="1"/>
        <v>0</v>
      </c>
      <c r="J16" s="58"/>
      <c r="K16" s="59"/>
      <c r="L16" s="171">
        <f t="shared" si="2"/>
        <v>0</v>
      </c>
      <c r="M16" s="58"/>
      <c r="N16" s="59"/>
      <c r="O16" s="171">
        <f t="shared" si="3"/>
        <v>0</v>
      </c>
      <c r="P16" s="58"/>
      <c r="Q16" s="59"/>
      <c r="R16" s="171">
        <f t="shared" si="4"/>
        <v>0</v>
      </c>
      <c r="S16" s="58"/>
      <c r="T16" s="59"/>
      <c r="U16" s="171">
        <f t="shared" si="5"/>
        <v>0</v>
      </c>
    </row>
    <row r="17" spans="2:21" ht="15.75" customHeight="1" x14ac:dyDescent="0.2">
      <c r="B17" s="129">
        <f t="shared" si="6"/>
        <v>5</v>
      </c>
      <c r="C17" s="60"/>
      <c r="D17" s="58"/>
      <c r="E17" s="59"/>
      <c r="F17" s="171">
        <f t="shared" si="0"/>
        <v>0</v>
      </c>
      <c r="G17" s="58"/>
      <c r="H17" s="59"/>
      <c r="I17" s="171">
        <f t="shared" si="1"/>
        <v>0</v>
      </c>
      <c r="J17" s="58"/>
      <c r="K17" s="59"/>
      <c r="L17" s="171">
        <f t="shared" si="2"/>
        <v>0</v>
      </c>
      <c r="M17" s="58"/>
      <c r="N17" s="59"/>
      <c r="O17" s="171">
        <f t="shared" si="3"/>
        <v>0</v>
      </c>
      <c r="P17" s="58"/>
      <c r="Q17" s="59"/>
      <c r="R17" s="171">
        <f t="shared" si="4"/>
        <v>0</v>
      </c>
      <c r="S17" s="58"/>
      <c r="T17" s="59"/>
      <c r="U17" s="171">
        <f t="shared" si="5"/>
        <v>0</v>
      </c>
    </row>
    <row r="18" spans="2:21" ht="15.75" customHeight="1" x14ac:dyDescent="0.2">
      <c r="B18" s="129">
        <f t="shared" si="6"/>
        <v>6</v>
      </c>
      <c r="C18" s="60"/>
      <c r="D18" s="58"/>
      <c r="E18" s="59"/>
      <c r="F18" s="171">
        <f t="shared" si="0"/>
        <v>0</v>
      </c>
      <c r="G18" s="58"/>
      <c r="H18" s="59"/>
      <c r="I18" s="171">
        <f t="shared" si="1"/>
        <v>0</v>
      </c>
      <c r="J18" s="58"/>
      <c r="K18" s="59"/>
      <c r="L18" s="171">
        <f t="shared" si="2"/>
        <v>0</v>
      </c>
      <c r="M18" s="58"/>
      <c r="N18" s="59"/>
      <c r="O18" s="171">
        <f t="shared" si="3"/>
        <v>0</v>
      </c>
      <c r="P18" s="58"/>
      <c r="Q18" s="59"/>
      <c r="R18" s="171">
        <f t="shared" si="4"/>
        <v>0</v>
      </c>
      <c r="S18" s="58"/>
      <c r="T18" s="59"/>
      <c r="U18" s="171">
        <f t="shared" si="5"/>
        <v>0</v>
      </c>
    </row>
    <row r="19" spans="2:21" ht="15.75" customHeight="1" x14ac:dyDescent="0.2">
      <c r="B19" s="129">
        <f t="shared" si="6"/>
        <v>7</v>
      </c>
      <c r="C19" s="60"/>
      <c r="D19" s="58"/>
      <c r="E19" s="59"/>
      <c r="F19" s="171">
        <f t="shared" si="0"/>
        <v>0</v>
      </c>
      <c r="G19" s="58"/>
      <c r="H19" s="59"/>
      <c r="I19" s="171">
        <f t="shared" si="1"/>
        <v>0</v>
      </c>
      <c r="J19" s="58"/>
      <c r="K19" s="59"/>
      <c r="L19" s="171">
        <f t="shared" si="2"/>
        <v>0</v>
      </c>
      <c r="M19" s="58"/>
      <c r="N19" s="59"/>
      <c r="O19" s="171">
        <f t="shared" si="3"/>
        <v>0</v>
      </c>
      <c r="P19" s="58"/>
      <c r="Q19" s="59"/>
      <c r="R19" s="171">
        <f t="shared" si="4"/>
        <v>0</v>
      </c>
      <c r="S19" s="58"/>
      <c r="T19" s="59"/>
      <c r="U19" s="171">
        <f t="shared" si="5"/>
        <v>0</v>
      </c>
    </row>
    <row r="20" spans="2:21" ht="15.75" customHeight="1" x14ac:dyDescent="0.2">
      <c r="B20" s="129">
        <f t="shared" si="6"/>
        <v>8</v>
      </c>
      <c r="C20" s="60"/>
      <c r="D20" s="58"/>
      <c r="E20" s="59"/>
      <c r="F20" s="171">
        <f t="shared" si="0"/>
        <v>0</v>
      </c>
      <c r="G20" s="58"/>
      <c r="H20" s="59"/>
      <c r="I20" s="171">
        <f t="shared" si="1"/>
        <v>0</v>
      </c>
      <c r="J20" s="58"/>
      <c r="K20" s="59"/>
      <c r="L20" s="171">
        <f t="shared" si="2"/>
        <v>0</v>
      </c>
      <c r="M20" s="58"/>
      <c r="N20" s="59"/>
      <c r="O20" s="171">
        <f t="shared" si="3"/>
        <v>0</v>
      </c>
      <c r="P20" s="58"/>
      <c r="Q20" s="59"/>
      <c r="R20" s="171">
        <f t="shared" si="4"/>
        <v>0</v>
      </c>
      <c r="S20" s="58"/>
      <c r="T20" s="59"/>
      <c r="U20" s="171">
        <f t="shared" si="5"/>
        <v>0</v>
      </c>
    </row>
    <row r="21" spans="2:21" ht="15.75" customHeight="1" x14ac:dyDescent="0.2">
      <c r="B21" s="129">
        <f t="shared" si="6"/>
        <v>9</v>
      </c>
      <c r="C21" s="60"/>
      <c r="D21" s="58"/>
      <c r="E21" s="59"/>
      <c r="F21" s="171">
        <f t="shared" si="0"/>
        <v>0</v>
      </c>
      <c r="G21" s="58"/>
      <c r="H21" s="59"/>
      <c r="I21" s="171">
        <f t="shared" si="1"/>
        <v>0</v>
      </c>
      <c r="J21" s="58"/>
      <c r="K21" s="59"/>
      <c r="L21" s="171">
        <f t="shared" si="2"/>
        <v>0</v>
      </c>
      <c r="M21" s="58"/>
      <c r="N21" s="59"/>
      <c r="O21" s="171">
        <f t="shared" si="3"/>
        <v>0</v>
      </c>
      <c r="P21" s="58"/>
      <c r="Q21" s="59"/>
      <c r="R21" s="171">
        <f t="shared" si="4"/>
        <v>0</v>
      </c>
      <c r="S21" s="58"/>
      <c r="T21" s="59"/>
      <c r="U21" s="171">
        <f t="shared" si="5"/>
        <v>0</v>
      </c>
    </row>
    <row r="22" spans="2:21" ht="15.75" customHeight="1" x14ac:dyDescent="0.2">
      <c r="B22" s="129">
        <f t="shared" si="6"/>
        <v>10</v>
      </c>
      <c r="C22" s="60"/>
      <c r="D22" s="58"/>
      <c r="E22" s="59"/>
      <c r="F22" s="171">
        <f t="shared" si="0"/>
        <v>0</v>
      </c>
      <c r="G22" s="58"/>
      <c r="H22" s="59"/>
      <c r="I22" s="171">
        <f t="shared" si="1"/>
        <v>0</v>
      </c>
      <c r="J22" s="58"/>
      <c r="K22" s="59"/>
      <c r="L22" s="171">
        <f t="shared" si="2"/>
        <v>0</v>
      </c>
      <c r="M22" s="58"/>
      <c r="N22" s="59"/>
      <c r="O22" s="171">
        <f t="shared" si="3"/>
        <v>0</v>
      </c>
      <c r="P22" s="58"/>
      <c r="Q22" s="59"/>
      <c r="R22" s="171">
        <f t="shared" si="4"/>
        <v>0</v>
      </c>
      <c r="S22" s="58"/>
      <c r="T22" s="59"/>
      <c r="U22" s="171">
        <f t="shared" si="5"/>
        <v>0</v>
      </c>
    </row>
    <row r="23" spans="2:21" ht="15.75" customHeight="1" x14ac:dyDescent="0.2">
      <c r="B23" s="129">
        <f t="shared" si="6"/>
        <v>11</v>
      </c>
      <c r="C23" s="60"/>
      <c r="D23" s="58"/>
      <c r="E23" s="59"/>
      <c r="F23" s="171">
        <f t="shared" si="0"/>
        <v>0</v>
      </c>
      <c r="G23" s="58"/>
      <c r="H23" s="59"/>
      <c r="I23" s="171">
        <f t="shared" si="1"/>
        <v>0</v>
      </c>
      <c r="J23" s="58"/>
      <c r="K23" s="59"/>
      <c r="L23" s="171">
        <f t="shared" si="2"/>
        <v>0</v>
      </c>
      <c r="M23" s="58"/>
      <c r="N23" s="59"/>
      <c r="O23" s="171">
        <f t="shared" si="3"/>
        <v>0</v>
      </c>
      <c r="P23" s="58"/>
      <c r="Q23" s="59"/>
      <c r="R23" s="171">
        <f t="shared" si="4"/>
        <v>0</v>
      </c>
      <c r="S23" s="58"/>
      <c r="T23" s="59"/>
      <c r="U23" s="171">
        <f t="shared" si="5"/>
        <v>0</v>
      </c>
    </row>
    <row r="24" spans="2:21" ht="15.75" customHeight="1" x14ac:dyDescent="0.2">
      <c r="B24" s="129">
        <f t="shared" si="6"/>
        <v>12</v>
      </c>
      <c r="C24" s="60"/>
      <c r="D24" s="58"/>
      <c r="E24" s="59"/>
      <c r="F24" s="171">
        <f t="shared" si="0"/>
        <v>0</v>
      </c>
      <c r="G24" s="58"/>
      <c r="H24" s="59"/>
      <c r="I24" s="171">
        <f t="shared" si="1"/>
        <v>0</v>
      </c>
      <c r="J24" s="58"/>
      <c r="K24" s="59"/>
      <c r="L24" s="171">
        <f t="shared" si="2"/>
        <v>0</v>
      </c>
      <c r="M24" s="58"/>
      <c r="N24" s="59"/>
      <c r="O24" s="171">
        <f t="shared" si="3"/>
        <v>0</v>
      </c>
      <c r="P24" s="58"/>
      <c r="Q24" s="59"/>
      <c r="R24" s="171">
        <f t="shared" si="4"/>
        <v>0</v>
      </c>
      <c r="S24" s="58"/>
      <c r="T24" s="59"/>
      <c r="U24" s="171">
        <f t="shared" si="5"/>
        <v>0</v>
      </c>
    </row>
    <row r="25" spans="2:21" ht="15.75" customHeight="1" x14ac:dyDescent="0.2">
      <c r="B25" s="129">
        <f t="shared" si="6"/>
        <v>13</v>
      </c>
      <c r="C25" s="60"/>
      <c r="D25" s="58"/>
      <c r="E25" s="59"/>
      <c r="F25" s="171">
        <f t="shared" si="0"/>
        <v>0</v>
      </c>
      <c r="G25" s="58"/>
      <c r="H25" s="59"/>
      <c r="I25" s="171">
        <f t="shared" si="1"/>
        <v>0</v>
      </c>
      <c r="J25" s="58"/>
      <c r="K25" s="59"/>
      <c r="L25" s="171">
        <f t="shared" si="2"/>
        <v>0</v>
      </c>
      <c r="M25" s="58"/>
      <c r="N25" s="59"/>
      <c r="O25" s="171">
        <f t="shared" si="3"/>
        <v>0</v>
      </c>
      <c r="P25" s="58"/>
      <c r="Q25" s="59"/>
      <c r="R25" s="171">
        <f t="shared" si="4"/>
        <v>0</v>
      </c>
      <c r="S25" s="58"/>
      <c r="T25" s="59"/>
      <c r="U25" s="171">
        <f t="shared" si="5"/>
        <v>0</v>
      </c>
    </row>
    <row r="26" spans="2:21" ht="15.75" customHeight="1" x14ac:dyDescent="0.2">
      <c r="B26" s="129">
        <f t="shared" si="6"/>
        <v>14</v>
      </c>
      <c r="C26" s="60"/>
      <c r="D26" s="58"/>
      <c r="E26" s="59"/>
      <c r="F26" s="171">
        <f t="shared" si="0"/>
        <v>0</v>
      </c>
      <c r="G26" s="58"/>
      <c r="H26" s="59"/>
      <c r="I26" s="171">
        <f t="shared" si="1"/>
        <v>0</v>
      </c>
      <c r="J26" s="58"/>
      <c r="K26" s="59"/>
      <c r="L26" s="171">
        <f t="shared" si="2"/>
        <v>0</v>
      </c>
      <c r="M26" s="58"/>
      <c r="N26" s="59"/>
      <c r="O26" s="171">
        <f t="shared" si="3"/>
        <v>0</v>
      </c>
      <c r="P26" s="58"/>
      <c r="Q26" s="59"/>
      <c r="R26" s="171">
        <f t="shared" si="4"/>
        <v>0</v>
      </c>
      <c r="S26" s="58"/>
      <c r="T26" s="59"/>
      <c r="U26" s="171">
        <f t="shared" si="5"/>
        <v>0</v>
      </c>
    </row>
    <row r="27" spans="2:21" ht="15.75" customHeight="1" x14ac:dyDescent="0.2">
      <c r="B27" s="129">
        <f t="shared" si="6"/>
        <v>15</v>
      </c>
      <c r="C27" s="60"/>
      <c r="D27" s="58"/>
      <c r="E27" s="59"/>
      <c r="F27" s="171">
        <f t="shared" si="0"/>
        <v>0</v>
      </c>
      <c r="G27" s="58"/>
      <c r="H27" s="59"/>
      <c r="I27" s="171">
        <f t="shared" si="1"/>
        <v>0</v>
      </c>
      <c r="J27" s="58"/>
      <c r="K27" s="59"/>
      <c r="L27" s="171">
        <f t="shared" si="2"/>
        <v>0</v>
      </c>
      <c r="M27" s="58"/>
      <c r="N27" s="59"/>
      <c r="O27" s="171">
        <f t="shared" si="3"/>
        <v>0</v>
      </c>
      <c r="P27" s="58"/>
      <c r="Q27" s="59"/>
      <c r="R27" s="171">
        <f t="shared" si="4"/>
        <v>0</v>
      </c>
      <c r="S27" s="58"/>
      <c r="T27" s="59"/>
      <c r="U27" s="171">
        <f t="shared" si="5"/>
        <v>0</v>
      </c>
    </row>
    <row r="28" spans="2:21" ht="15.75" customHeight="1" x14ac:dyDescent="0.2">
      <c r="B28" s="129">
        <f t="shared" si="6"/>
        <v>16</v>
      </c>
      <c r="C28" s="60"/>
      <c r="D28" s="58"/>
      <c r="E28" s="59"/>
      <c r="F28" s="171">
        <f t="shared" si="0"/>
        <v>0</v>
      </c>
      <c r="G28" s="58"/>
      <c r="H28" s="59"/>
      <c r="I28" s="171">
        <f t="shared" si="1"/>
        <v>0</v>
      </c>
      <c r="J28" s="58"/>
      <c r="K28" s="59"/>
      <c r="L28" s="171">
        <f t="shared" si="2"/>
        <v>0</v>
      </c>
      <c r="M28" s="58"/>
      <c r="N28" s="59"/>
      <c r="O28" s="171">
        <f t="shared" si="3"/>
        <v>0</v>
      </c>
      <c r="P28" s="58"/>
      <c r="Q28" s="59"/>
      <c r="R28" s="171">
        <f t="shared" si="4"/>
        <v>0</v>
      </c>
      <c r="S28" s="58"/>
      <c r="T28" s="59"/>
      <c r="U28" s="171">
        <f t="shared" si="5"/>
        <v>0</v>
      </c>
    </row>
    <row r="29" spans="2:21" ht="15.75" customHeight="1" x14ac:dyDescent="0.2">
      <c r="B29" s="129">
        <f t="shared" si="6"/>
        <v>17</v>
      </c>
      <c r="C29" s="60"/>
      <c r="D29" s="58"/>
      <c r="E29" s="59"/>
      <c r="F29" s="171">
        <f t="shared" si="0"/>
        <v>0</v>
      </c>
      <c r="G29" s="58"/>
      <c r="H29" s="59"/>
      <c r="I29" s="171">
        <f t="shared" si="1"/>
        <v>0</v>
      </c>
      <c r="J29" s="58"/>
      <c r="K29" s="59"/>
      <c r="L29" s="171">
        <f t="shared" si="2"/>
        <v>0</v>
      </c>
      <c r="M29" s="58"/>
      <c r="N29" s="59"/>
      <c r="O29" s="171">
        <f t="shared" si="3"/>
        <v>0</v>
      </c>
      <c r="P29" s="58"/>
      <c r="Q29" s="59"/>
      <c r="R29" s="171">
        <f t="shared" si="4"/>
        <v>0</v>
      </c>
      <c r="S29" s="58"/>
      <c r="T29" s="59"/>
      <c r="U29" s="171">
        <f t="shared" si="5"/>
        <v>0</v>
      </c>
    </row>
    <row r="30" spans="2:21" ht="15.75" customHeight="1" x14ac:dyDescent="0.2">
      <c r="B30" s="135">
        <f t="shared" si="6"/>
        <v>18</v>
      </c>
      <c r="C30" s="60"/>
      <c r="D30" s="58"/>
      <c r="E30" s="59"/>
      <c r="F30" s="171">
        <f t="shared" si="0"/>
        <v>0</v>
      </c>
      <c r="G30" s="58"/>
      <c r="H30" s="59"/>
      <c r="I30" s="171">
        <f t="shared" si="1"/>
        <v>0</v>
      </c>
      <c r="J30" s="58"/>
      <c r="K30" s="59"/>
      <c r="L30" s="171">
        <f t="shared" si="2"/>
        <v>0</v>
      </c>
      <c r="M30" s="58"/>
      <c r="N30" s="59"/>
      <c r="O30" s="171">
        <f t="shared" si="3"/>
        <v>0</v>
      </c>
      <c r="P30" s="58"/>
      <c r="Q30" s="59"/>
      <c r="R30" s="171">
        <f t="shared" si="4"/>
        <v>0</v>
      </c>
      <c r="S30" s="58"/>
      <c r="T30" s="59"/>
      <c r="U30" s="171">
        <f t="shared" si="5"/>
        <v>0</v>
      </c>
    </row>
    <row r="31" spans="2:21" ht="15" customHeight="1" x14ac:dyDescent="0.2">
      <c r="B31" s="135">
        <f t="shared" si="6"/>
        <v>19</v>
      </c>
      <c r="C31" s="60"/>
      <c r="D31" s="58"/>
      <c r="E31" s="59"/>
      <c r="F31" s="171">
        <f t="shared" si="0"/>
        <v>0</v>
      </c>
      <c r="G31" s="58"/>
      <c r="H31" s="59"/>
      <c r="I31" s="171">
        <f t="shared" si="1"/>
        <v>0</v>
      </c>
      <c r="J31" s="58"/>
      <c r="K31" s="59"/>
      <c r="L31" s="171">
        <f t="shared" si="2"/>
        <v>0</v>
      </c>
      <c r="M31" s="58"/>
      <c r="N31" s="59"/>
      <c r="O31" s="171">
        <f t="shared" si="3"/>
        <v>0</v>
      </c>
      <c r="P31" s="58"/>
      <c r="Q31" s="59"/>
      <c r="R31" s="171">
        <f t="shared" si="4"/>
        <v>0</v>
      </c>
      <c r="S31" s="58"/>
      <c r="T31" s="59"/>
      <c r="U31" s="171">
        <f t="shared" si="5"/>
        <v>0</v>
      </c>
    </row>
    <row r="32" spans="2:21" ht="15.75" thickBot="1" x14ac:dyDescent="0.25">
      <c r="B32" s="136">
        <f>B31+1</f>
        <v>20</v>
      </c>
      <c r="C32" s="60"/>
      <c r="D32" s="58"/>
      <c r="E32" s="59"/>
      <c r="F32" s="171">
        <f t="shared" si="0"/>
        <v>0</v>
      </c>
      <c r="G32" s="58"/>
      <c r="H32" s="59"/>
      <c r="I32" s="171">
        <f t="shared" si="1"/>
        <v>0</v>
      </c>
      <c r="J32" s="58"/>
      <c r="K32" s="59"/>
      <c r="L32" s="171">
        <f t="shared" si="2"/>
        <v>0</v>
      </c>
      <c r="M32" s="58"/>
      <c r="N32" s="59"/>
      <c r="O32" s="171">
        <f t="shared" si="3"/>
        <v>0</v>
      </c>
      <c r="P32" s="58"/>
      <c r="Q32" s="59"/>
      <c r="R32" s="171">
        <f t="shared" si="4"/>
        <v>0</v>
      </c>
      <c r="S32" s="58"/>
      <c r="T32" s="59"/>
      <c r="U32" s="171">
        <f t="shared" si="5"/>
        <v>0</v>
      </c>
    </row>
    <row r="33" spans="1:21" ht="31.5" customHeight="1" thickBot="1" x14ac:dyDescent="0.25">
      <c r="C33" s="165" t="s">
        <v>2</v>
      </c>
      <c r="D33" s="53">
        <f>SUM(D13:D32)</f>
        <v>0</v>
      </c>
      <c r="E33" s="54">
        <f>SUM(E13:E32)</f>
        <v>0</v>
      </c>
      <c r="F33" s="55">
        <f>D33+E33</f>
        <v>0</v>
      </c>
      <c r="G33" s="53">
        <f>SUM(G13:G32)</f>
        <v>0</v>
      </c>
      <c r="H33" s="54">
        <f>SUM(H13:H32)</f>
        <v>0</v>
      </c>
      <c r="I33" s="55">
        <f>G33+H33</f>
        <v>0</v>
      </c>
      <c r="J33" s="53">
        <f>SUM(J13:J32)</f>
        <v>0</v>
      </c>
      <c r="K33" s="54">
        <f>SUM(K13:K32)</f>
        <v>0</v>
      </c>
      <c r="L33" s="55">
        <f>J33+K33</f>
        <v>0</v>
      </c>
      <c r="M33" s="53">
        <f>SUM(M13:M32)</f>
        <v>0</v>
      </c>
      <c r="N33" s="54">
        <f>SUM(N13:N32)</f>
        <v>0</v>
      </c>
      <c r="O33" s="55">
        <f>M33+N33</f>
        <v>0</v>
      </c>
      <c r="P33" s="53">
        <f>SUM(P13:P32)</f>
        <v>0</v>
      </c>
      <c r="Q33" s="54">
        <f>SUM(Q13:Q32)</f>
        <v>0</v>
      </c>
      <c r="R33" s="55">
        <f>P33+Q33</f>
        <v>0</v>
      </c>
      <c r="S33" s="53">
        <f>SUM(S13:S32)</f>
        <v>0</v>
      </c>
      <c r="T33" s="54">
        <f>SUM(T13:T32)</f>
        <v>0</v>
      </c>
      <c r="U33" s="55">
        <f>S33+T33</f>
        <v>0</v>
      </c>
    </row>
    <row r="34" spans="1:21" ht="15.75" customHeight="1" x14ac:dyDescent="0.2">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6"/>
  <sheetViews>
    <sheetView showGridLines="0" zoomScale="70" zoomScaleNormal="70" workbookViewId="0">
      <pane xSplit="3" ySplit="14" topLeftCell="D15"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3.7109375" style="16" customWidth="1"/>
    <col min="14" max="14" width="13.85546875" style="16" customWidth="1"/>
    <col min="15" max="15" width="13.42578125" style="16" customWidth="1"/>
    <col min="16" max="16" width="14.28515625" style="16" customWidth="1"/>
    <col min="17" max="17" width="14.85546875" style="16" customWidth="1"/>
    <col min="18" max="18" width="13.5703125" style="16" customWidth="1"/>
    <col min="19" max="19" width="13.28515625" style="16" customWidth="1"/>
    <col min="20" max="20" width="14.140625" style="16" customWidth="1"/>
    <col min="21" max="21" width="13.42578125" style="16" customWidth="1"/>
    <col min="22" max="16384" width="11.42578125" style="16"/>
  </cols>
  <sheetData>
    <row r="1" spans="2:21" ht="64.5" customHeight="1" x14ac:dyDescent="0.2">
      <c r="D1" s="221"/>
      <c r="E1" s="221"/>
      <c r="F1" s="221"/>
      <c r="G1" s="221"/>
      <c r="H1" s="221"/>
      <c r="I1" s="221"/>
      <c r="J1" s="12"/>
      <c r="K1" s="12"/>
      <c r="L1" s="12"/>
    </row>
    <row r="2" spans="2:21" x14ac:dyDescent="0.2">
      <c r="B2" s="115"/>
    </row>
    <row r="4" spans="2:21" ht="15" x14ac:dyDescent="0.2">
      <c r="B4" s="92" t="s">
        <v>9</v>
      </c>
    </row>
    <row r="5" spans="2:21" ht="15" x14ac:dyDescent="0.2">
      <c r="B5" s="92"/>
    </row>
    <row r="6" spans="2:21" ht="42" customHeight="1" x14ac:dyDescent="0.2">
      <c r="B6" s="217" t="s">
        <v>155</v>
      </c>
      <c r="C6" s="217"/>
    </row>
    <row r="8" spans="2:21" ht="40.15" customHeight="1" x14ac:dyDescent="0.2">
      <c r="B8" s="217" t="s">
        <v>156</v>
      </c>
      <c r="C8" s="217"/>
    </row>
    <row r="10" spans="2:21" ht="43.9" customHeight="1" x14ac:dyDescent="0.2">
      <c r="B10" s="217" t="s">
        <v>132</v>
      </c>
      <c r="C10" s="217"/>
    </row>
    <row r="11" spans="2:21" x14ac:dyDescent="0.2">
      <c r="B11" s="232"/>
      <c r="C11" s="232"/>
    </row>
    <row r="12" spans="2:21" ht="6" customHeight="1" thickBot="1" x14ac:dyDescent="0.25"/>
    <row r="13" spans="2:21" ht="15.75" customHeight="1" thickBot="1" x14ac:dyDescent="0.25">
      <c r="B13" s="213" t="s">
        <v>115</v>
      </c>
      <c r="C13" s="213" t="s">
        <v>154</v>
      </c>
      <c r="D13" s="218">
        <f>Personal!F13</f>
        <v>2021</v>
      </c>
      <c r="E13" s="219"/>
      <c r="F13" s="220"/>
      <c r="G13" s="218">
        <f>D13+1</f>
        <v>2022</v>
      </c>
      <c r="H13" s="219"/>
      <c r="I13" s="220"/>
      <c r="J13" s="218">
        <f>G13+1</f>
        <v>2023</v>
      </c>
      <c r="K13" s="219"/>
      <c r="L13" s="220"/>
      <c r="M13" s="218">
        <f>J13+1</f>
        <v>2024</v>
      </c>
      <c r="N13" s="219"/>
      <c r="O13" s="220"/>
      <c r="P13" s="218">
        <f>M13+1</f>
        <v>2025</v>
      </c>
      <c r="Q13" s="219"/>
      <c r="R13" s="220"/>
      <c r="S13" s="218">
        <f>P13+1</f>
        <v>2026</v>
      </c>
      <c r="T13" s="219"/>
      <c r="U13" s="220"/>
    </row>
    <row r="14" spans="2:21" s="56" customFormat="1" ht="67.150000000000006" customHeight="1" thickBot="1" x14ac:dyDescent="0.25">
      <c r="B14" s="214" t="s">
        <v>1</v>
      </c>
      <c r="C14" s="214"/>
      <c r="D14" s="137" t="s">
        <v>7</v>
      </c>
      <c r="E14" s="138" t="s">
        <v>139</v>
      </c>
      <c r="F14" s="139" t="s">
        <v>8</v>
      </c>
      <c r="G14" s="137" t="s">
        <v>7</v>
      </c>
      <c r="H14" s="138" t="s">
        <v>139</v>
      </c>
      <c r="I14" s="139" t="s">
        <v>8</v>
      </c>
      <c r="J14" s="137" t="s">
        <v>7</v>
      </c>
      <c r="K14" s="138" t="s">
        <v>139</v>
      </c>
      <c r="L14" s="139" t="s">
        <v>8</v>
      </c>
      <c r="M14" s="137" t="s">
        <v>7</v>
      </c>
      <c r="N14" s="138" t="s">
        <v>139</v>
      </c>
      <c r="O14" s="139" t="s">
        <v>8</v>
      </c>
      <c r="P14" s="137" t="s">
        <v>7</v>
      </c>
      <c r="Q14" s="138" t="s">
        <v>139</v>
      </c>
      <c r="R14" s="139" t="s">
        <v>8</v>
      </c>
      <c r="S14" s="137" t="s">
        <v>7</v>
      </c>
      <c r="T14" s="138" t="s">
        <v>139</v>
      </c>
      <c r="U14" s="139" t="s">
        <v>8</v>
      </c>
    </row>
    <row r="15" spans="2:21" ht="15.75" customHeight="1" x14ac:dyDescent="0.2">
      <c r="B15" s="128">
        <v>1</v>
      </c>
      <c r="C15" s="57"/>
      <c r="D15" s="58"/>
      <c r="E15" s="59"/>
      <c r="F15" s="171">
        <f>SUM(D15:E15)</f>
        <v>0</v>
      </c>
      <c r="G15" s="58"/>
      <c r="H15" s="59"/>
      <c r="I15" s="171">
        <f>SUM(G15:H15)</f>
        <v>0</v>
      </c>
      <c r="J15" s="58"/>
      <c r="K15" s="59"/>
      <c r="L15" s="171">
        <f>SUM(J15:K15)</f>
        <v>0</v>
      </c>
      <c r="M15" s="58"/>
      <c r="N15" s="59"/>
      <c r="O15" s="171">
        <f>SUM(M15:N15)</f>
        <v>0</v>
      </c>
      <c r="P15" s="58"/>
      <c r="Q15" s="59"/>
      <c r="R15" s="171">
        <f>SUM(P15:Q15)</f>
        <v>0</v>
      </c>
      <c r="S15" s="58"/>
      <c r="T15" s="59"/>
      <c r="U15" s="171">
        <f>SUM(S15:T15)</f>
        <v>0</v>
      </c>
    </row>
    <row r="16" spans="2:21" ht="15.75" customHeight="1" x14ac:dyDescent="0.2">
      <c r="B16" s="129">
        <f>B15+1</f>
        <v>2</v>
      </c>
      <c r="C16" s="60"/>
      <c r="D16" s="58"/>
      <c r="E16" s="59"/>
      <c r="F16" s="171">
        <f t="shared" ref="F16:F34" si="0">SUM(D16:E16)</f>
        <v>0</v>
      </c>
      <c r="G16" s="58"/>
      <c r="H16" s="59"/>
      <c r="I16" s="171">
        <f t="shared" ref="I16:I34" si="1">SUM(G16:H16)</f>
        <v>0</v>
      </c>
      <c r="J16" s="58"/>
      <c r="K16" s="59"/>
      <c r="L16" s="171">
        <f t="shared" ref="L16:L34" si="2">SUM(J16:K16)</f>
        <v>0</v>
      </c>
      <c r="M16" s="58"/>
      <c r="N16" s="59"/>
      <c r="O16" s="171">
        <f t="shared" ref="O16:O34" si="3">SUM(M16:N16)</f>
        <v>0</v>
      </c>
      <c r="P16" s="58"/>
      <c r="Q16" s="59"/>
      <c r="R16" s="171">
        <f t="shared" ref="R16:R34" si="4">SUM(P16:Q16)</f>
        <v>0</v>
      </c>
      <c r="S16" s="58"/>
      <c r="T16" s="59"/>
      <c r="U16" s="171">
        <f t="shared" ref="U16:U34" si="5">SUM(S16:T16)</f>
        <v>0</v>
      </c>
    </row>
    <row r="17" spans="2:21" ht="15.75" customHeight="1" x14ac:dyDescent="0.2">
      <c r="B17" s="129">
        <f t="shared" ref="B17:B33" si="6">B16+1</f>
        <v>3</v>
      </c>
      <c r="C17" s="60"/>
      <c r="D17" s="58"/>
      <c r="E17" s="59"/>
      <c r="F17" s="171">
        <f t="shared" si="0"/>
        <v>0</v>
      </c>
      <c r="G17" s="58"/>
      <c r="H17" s="59"/>
      <c r="I17" s="171">
        <f t="shared" si="1"/>
        <v>0</v>
      </c>
      <c r="J17" s="58"/>
      <c r="K17" s="59"/>
      <c r="L17" s="171">
        <f t="shared" si="2"/>
        <v>0</v>
      </c>
      <c r="M17" s="58"/>
      <c r="N17" s="59"/>
      <c r="O17" s="171">
        <f t="shared" si="3"/>
        <v>0</v>
      </c>
      <c r="P17" s="58"/>
      <c r="Q17" s="59"/>
      <c r="R17" s="171">
        <f t="shared" si="4"/>
        <v>0</v>
      </c>
      <c r="S17" s="58"/>
      <c r="T17" s="59"/>
      <c r="U17" s="171">
        <f t="shared" si="5"/>
        <v>0</v>
      </c>
    </row>
    <row r="18" spans="2:21" ht="15.75" customHeight="1" x14ac:dyDescent="0.2">
      <c r="B18" s="129">
        <f t="shared" si="6"/>
        <v>4</v>
      </c>
      <c r="C18" s="60"/>
      <c r="D18" s="58"/>
      <c r="E18" s="59"/>
      <c r="F18" s="171">
        <f t="shared" si="0"/>
        <v>0</v>
      </c>
      <c r="G18" s="58"/>
      <c r="H18" s="59"/>
      <c r="I18" s="171">
        <f t="shared" si="1"/>
        <v>0</v>
      </c>
      <c r="J18" s="58"/>
      <c r="K18" s="59"/>
      <c r="L18" s="171">
        <f t="shared" si="2"/>
        <v>0</v>
      </c>
      <c r="M18" s="58"/>
      <c r="N18" s="59"/>
      <c r="O18" s="171">
        <f t="shared" si="3"/>
        <v>0</v>
      </c>
      <c r="P18" s="58"/>
      <c r="Q18" s="59"/>
      <c r="R18" s="171">
        <f t="shared" si="4"/>
        <v>0</v>
      </c>
      <c r="S18" s="58"/>
      <c r="T18" s="59"/>
      <c r="U18" s="171">
        <f t="shared" si="5"/>
        <v>0</v>
      </c>
    </row>
    <row r="19" spans="2:21" ht="15.75" customHeight="1" x14ac:dyDescent="0.2">
      <c r="B19" s="129">
        <f t="shared" si="6"/>
        <v>5</v>
      </c>
      <c r="C19" s="60"/>
      <c r="D19" s="58"/>
      <c r="E19" s="59"/>
      <c r="F19" s="171">
        <f t="shared" si="0"/>
        <v>0</v>
      </c>
      <c r="G19" s="58"/>
      <c r="H19" s="59"/>
      <c r="I19" s="171">
        <f t="shared" si="1"/>
        <v>0</v>
      </c>
      <c r="J19" s="58"/>
      <c r="K19" s="59"/>
      <c r="L19" s="171">
        <f t="shared" si="2"/>
        <v>0</v>
      </c>
      <c r="M19" s="58"/>
      <c r="N19" s="59"/>
      <c r="O19" s="171">
        <f t="shared" si="3"/>
        <v>0</v>
      </c>
      <c r="P19" s="58"/>
      <c r="Q19" s="59"/>
      <c r="R19" s="171">
        <f t="shared" si="4"/>
        <v>0</v>
      </c>
      <c r="S19" s="58"/>
      <c r="T19" s="59"/>
      <c r="U19" s="171">
        <f t="shared" si="5"/>
        <v>0</v>
      </c>
    </row>
    <row r="20" spans="2:21" ht="15.75" customHeight="1" x14ac:dyDescent="0.2">
      <c r="B20" s="129">
        <f t="shared" si="6"/>
        <v>6</v>
      </c>
      <c r="C20" s="60"/>
      <c r="D20" s="58"/>
      <c r="E20" s="59"/>
      <c r="F20" s="171">
        <f t="shared" si="0"/>
        <v>0</v>
      </c>
      <c r="G20" s="58"/>
      <c r="H20" s="59"/>
      <c r="I20" s="171">
        <f t="shared" si="1"/>
        <v>0</v>
      </c>
      <c r="J20" s="58"/>
      <c r="K20" s="59"/>
      <c r="L20" s="171">
        <f t="shared" si="2"/>
        <v>0</v>
      </c>
      <c r="M20" s="58"/>
      <c r="N20" s="59"/>
      <c r="O20" s="171">
        <f t="shared" si="3"/>
        <v>0</v>
      </c>
      <c r="P20" s="58"/>
      <c r="Q20" s="59"/>
      <c r="R20" s="171">
        <f t="shared" si="4"/>
        <v>0</v>
      </c>
      <c r="S20" s="58"/>
      <c r="T20" s="59"/>
      <c r="U20" s="171">
        <f t="shared" si="5"/>
        <v>0</v>
      </c>
    </row>
    <row r="21" spans="2:21" ht="15.75" customHeight="1" x14ac:dyDescent="0.2">
      <c r="B21" s="129">
        <f t="shared" si="6"/>
        <v>7</v>
      </c>
      <c r="C21" s="60"/>
      <c r="D21" s="58"/>
      <c r="E21" s="59"/>
      <c r="F21" s="171">
        <f t="shared" si="0"/>
        <v>0</v>
      </c>
      <c r="G21" s="58"/>
      <c r="H21" s="59"/>
      <c r="I21" s="171">
        <f t="shared" si="1"/>
        <v>0</v>
      </c>
      <c r="J21" s="58"/>
      <c r="K21" s="59"/>
      <c r="L21" s="171">
        <f t="shared" si="2"/>
        <v>0</v>
      </c>
      <c r="M21" s="58"/>
      <c r="N21" s="59"/>
      <c r="O21" s="171">
        <f t="shared" si="3"/>
        <v>0</v>
      </c>
      <c r="P21" s="58"/>
      <c r="Q21" s="59"/>
      <c r="R21" s="171">
        <f t="shared" si="4"/>
        <v>0</v>
      </c>
      <c r="S21" s="58"/>
      <c r="T21" s="59"/>
      <c r="U21" s="171">
        <f t="shared" si="5"/>
        <v>0</v>
      </c>
    </row>
    <row r="22" spans="2:21" ht="15.75" customHeight="1" x14ac:dyDescent="0.2">
      <c r="B22" s="129">
        <f t="shared" si="6"/>
        <v>8</v>
      </c>
      <c r="C22" s="60"/>
      <c r="D22" s="58"/>
      <c r="E22" s="59"/>
      <c r="F22" s="171">
        <f t="shared" si="0"/>
        <v>0</v>
      </c>
      <c r="G22" s="58"/>
      <c r="H22" s="59"/>
      <c r="I22" s="171">
        <f t="shared" si="1"/>
        <v>0</v>
      </c>
      <c r="J22" s="58"/>
      <c r="K22" s="59"/>
      <c r="L22" s="171">
        <f t="shared" si="2"/>
        <v>0</v>
      </c>
      <c r="M22" s="58"/>
      <c r="N22" s="59"/>
      <c r="O22" s="171">
        <f t="shared" si="3"/>
        <v>0</v>
      </c>
      <c r="P22" s="58"/>
      <c r="Q22" s="59"/>
      <c r="R22" s="171">
        <f t="shared" si="4"/>
        <v>0</v>
      </c>
      <c r="S22" s="58"/>
      <c r="T22" s="59"/>
      <c r="U22" s="171">
        <f t="shared" si="5"/>
        <v>0</v>
      </c>
    </row>
    <row r="23" spans="2:21" ht="15.75" customHeight="1" x14ac:dyDescent="0.2">
      <c r="B23" s="129">
        <f t="shared" si="6"/>
        <v>9</v>
      </c>
      <c r="C23" s="60"/>
      <c r="D23" s="58"/>
      <c r="E23" s="59"/>
      <c r="F23" s="171">
        <f t="shared" si="0"/>
        <v>0</v>
      </c>
      <c r="G23" s="58"/>
      <c r="H23" s="59"/>
      <c r="I23" s="171">
        <f t="shared" si="1"/>
        <v>0</v>
      </c>
      <c r="J23" s="58"/>
      <c r="K23" s="59"/>
      <c r="L23" s="171">
        <f t="shared" si="2"/>
        <v>0</v>
      </c>
      <c r="M23" s="58"/>
      <c r="N23" s="59"/>
      <c r="O23" s="171">
        <f t="shared" si="3"/>
        <v>0</v>
      </c>
      <c r="P23" s="58"/>
      <c r="Q23" s="59"/>
      <c r="R23" s="171">
        <f t="shared" si="4"/>
        <v>0</v>
      </c>
      <c r="S23" s="58"/>
      <c r="T23" s="59"/>
      <c r="U23" s="171">
        <f t="shared" si="5"/>
        <v>0</v>
      </c>
    </row>
    <row r="24" spans="2:21" ht="15.75" customHeight="1" x14ac:dyDescent="0.2">
      <c r="B24" s="129">
        <f t="shared" si="6"/>
        <v>10</v>
      </c>
      <c r="C24" s="60"/>
      <c r="D24" s="58"/>
      <c r="E24" s="59"/>
      <c r="F24" s="171">
        <f t="shared" si="0"/>
        <v>0</v>
      </c>
      <c r="G24" s="58"/>
      <c r="H24" s="59"/>
      <c r="I24" s="171">
        <f t="shared" si="1"/>
        <v>0</v>
      </c>
      <c r="J24" s="58"/>
      <c r="K24" s="59"/>
      <c r="L24" s="171">
        <f t="shared" si="2"/>
        <v>0</v>
      </c>
      <c r="M24" s="58"/>
      <c r="N24" s="59"/>
      <c r="O24" s="171">
        <f t="shared" si="3"/>
        <v>0</v>
      </c>
      <c r="P24" s="58"/>
      <c r="Q24" s="59"/>
      <c r="R24" s="171">
        <f t="shared" si="4"/>
        <v>0</v>
      </c>
      <c r="S24" s="58"/>
      <c r="T24" s="59"/>
      <c r="U24" s="171">
        <f t="shared" si="5"/>
        <v>0</v>
      </c>
    </row>
    <row r="25" spans="2:21" ht="15.75" customHeight="1" x14ac:dyDescent="0.2">
      <c r="B25" s="129">
        <f t="shared" si="6"/>
        <v>11</v>
      </c>
      <c r="C25" s="60"/>
      <c r="D25" s="58"/>
      <c r="E25" s="59"/>
      <c r="F25" s="171">
        <f t="shared" si="0"/>
        <v>0</v>
      </c>
      <c r="G25" s="58"/>
      <c r="H25" s="59"/>
      <c r="I25" s="171">
        <f t="shared" si="1"/>
        <v>0</v>
      </c>
      <c r="J25" s="58"/>
      <c r="K25" s="59"/>
      <c r="L25" s="171">
        <f t="shared" si="2"/>
        <v>0</v>
      </c>
      <c r="M25" s="58"/>
      <c r="N25" s="59"/>
      <c r="O25" s="171">
        <f t="shared" si="3"/>
        <v>0</v>
      </c>
      <c r="P25" s="58"/>
      <c r="Q25" s="59"/>
      <c r="R25" s="171">
        <f t="shared" si="4"/>
        <v>0</v>
      </c>
      <c r="S25" s="58"/>
      <c r="T25" s="59"/>
      <c r="U25" s="171">
        <f t="shared" si="5"/>
        <v>0</v>
      </c>
    </row>
    <row r="26" spans="2:21" ht="15.75" customHeight="1" x14ac:dyDescent="0.2">
      <c r="B26" s="129">
        <f t="shared" si="6"/>
        <v>12</v>
      </c>
      <c r="C26" s="60"/>
      <c r="D26" s="58"/>
      <c r="E26" s="59"/>
      <c r="F26" s="171">
        <f t="shared" si="0"/>
        <v>0</v>
      </c>
      <c r="G26" s="58"/>
      <c r="H26" s="59"/>
      <c r="I26" s="171">
        <f t="shared" si="1"/>
        <v>0</v>
      </c>
      <c r="J26" s="58"/>
      <c r="K26" s="59"/>
      <c r="L26" s="171">
        <f t="shared" si="2"/>
        <v>0</v>
      </c>
      <c r="M26" s="58"/>
      <c r="N26" s="59"/>
      <c r="O26" s="171">
        <f t="shared" si="3"/>
        <v>0</v>
      </c>
      <c r="P26" s="58"/>
      <c r="Q26" s="59"/>
      <c r="R26" s="171">
        <f t="shared" si="4"/>
        <v>0</v>
      </c>
      <c r="S26" s="58"/>
      <c r="T26" s="59"/>
      <c r="U26" s="171">
        <f t="shared" si="5"/>
        <v>0</v>
      </c>
    </row>
    <row r="27" spans="2:21" ht="15.75" customHeight="1" x14ac:dyDescent="0.2">
      <c r="B27" s="129">
        <f t="shared" si="6"/>
        <v>13</v>
      </c>
      <c r="C27" s="60"/>
      <c r="D27" s="58"/>
      <c r="E27" s="59"/>
      <c r="F27" s="171">
        <f t="shared" si="0"/>
        <v>0</v>
      </c>
      <c r="G27" s="58"/>
      <c r="H27" s="59"/>
      <c r="I27" s="171">
        <f t="shared" si="1"/>
        <v>0</v>
      </c>
      <c r="J27" s="58"/>
      <c r="K27" s="59"/>
      <c r="L27" s="171">
        <f t="shared" si="2"/>
        <v>0</v>
      </c>
      <c r="M27" s="58"/>
      <c r="N27" s="59"/>
      <c r="O27" s="171">
        <f t="shared" si="3"/>
        <v>0</v>
      </c>
      <c r="P27" s="58"/>
      <c r="Q27" s="59"/>
      <c r="R27" s="171">
        <f t="shared" si="4"/>
        <v>0</v>
      </c>
      <c r="S27" s="58"/>
      <c r="T27" s="59"/>
      <c r="U27" s="171">
        <f t="shared" si="5"/>
        <v>0</v>
      </c>
    </row>
    <row r="28" spans="2:21" ht="15.75" customHeight="1" x14ac:dyDescent="0.2">
      <c r="B28" s="129">
        <f t="shared" si="6"/>
        <v>14</v>
      </c>
      <c r="C28" s="60"/>
      <c r="D28" s="58"/>
      <c r="E28" s="59"/>
      <c r="F28" s="171">
        <f t="shared" si="0"/>
        <v>0</v>
      </c>
      <c r="G28" s="58"/>
      <c r="H28" s="59"/>
      <c r="I28" s="171">
        <f t="shared" si="1"/>
        <v>0</v>
      </c>
      <c r="J28" s="58"/>
      <c r="K28" s="59"/>
      <c r="L28" s="171">
        <f t="shared" si="2"/>
        <v>0</v>
      </c>
      <c r="M28" s="58"/>
      <c r="N28" s="59"/>
      <c r="O28" s="171">
        <f t="shared" si="3"/>
        <v>0</v>
      </c>
      <c r="P28" s="58"/>
      <c r="Q28" s="59"/>
      <c r="R28" s="171">
        <f t="shared" si="4"/>
        <v>0</v>
      </c>
      <c r="S28" s="58"/>
      <c r="T28" s="59"/>
      <c r="U28" s="171">
        <f t="shared" si="5"/>
        <v>0</v>
      </c>
    </row>
    <row r="29" spans="2:21" ht="15.75" customHeight="1" x14ac:dyDescent="0.2">
      <c r="B29" s="129">
        <f t="shared" si="6"/>
        <v>15</v>
      </c>
      <c r="C29" s="60"/>
      <c r="D29" s="58"/>
      <c r="E29" s="59"/>
      <c r="F29" s="171">
        <f t="shared" si="0"/>
        <v>0</v>
      </c>
      <c r="G29" s="58"/>
      <c r="H29" s="59"/>
      <c r="I29" s="171">
        <f t="shared" si="1"/>
        <v>0</v>
      </c>
      <c r="J29" s="58"/>
      <c r="K29" s="59"/>
      <c r="L29" s="171">
        <f t="shared" si="2"/>
        <v>0</v>
      </c>
      <c r="M29" s="58"/>
      <c r="N29" s="59"/>
      <c r="O29" s="171">
        <f t="shared" si="3"/>
        <v>0</v>
      </c>
      <c r="P29" s="58"/>
      <c r="Q29" s="59"/>
      <c r="R29" s="171">
        <f t="shared" si="4"/>
        <v>0</v>
      </c>
      <c r="S29" s="58"/>
      <c r="T29" s="59"/>
      <c r="U29" s="171">
        <f t="shared" si="5"/>
        <v>0</v>
      </c>
    </row>
    <row r="30" spans="2:21" ht="15.75" customHeight="1" x14ac:dyDescent="0.2">
      <c r="B30" s="129">
        <f t="shared" si="6"/>
        <v>16</v>
      </c>
      <c r="C30" s="60"/>
      <c r="D30" s="58"/>
      <c r="E30" s="59"/>
      <c r="F30" s="171">
        <f t="shared" si="0"/>
        <v>0</v>
      </c>
      <c r="G30" s="58"/>
      <c r="H30" s="59"/>
      <c r="I30" s="171">
        <f t="shared" si="1"/>
        <v>0</v>
      </c>
      <c r="J30" s="58"/>
      <c r="K30" s="59"/>
      <c r="L30" s="171">
        <f t="shared" si="2"/>
        <v>0</v>
      </c>
      <c r="M30" s="58"/>
      <c r="N30" s="59"/>
      <c r="O30" s="171">
        <f t="shared" si="3"/>
        <v>0</v>
      </c>
      <c r="P30" s="58"/>
      <c r="Q30" s="59"/>
      <c r="R30" s="171">
        <f t="shared" si="4"/>
        <v>0</v>
      </c>
      <c r="S30" s="58"/>
      <c r="T30" s="59"/>
      <c r="U30" s="171">
        <f t="shared" si="5"/>
        <v>0</v>
      </c>
    </row>
    <row r="31" spans="2:21" ht="15.75" customHeight="1" x14ac:dyDescent="0.2">
      <c r="B31" s="129">
        <f t="shared" si="6"/>
        <v>17</v>
      </c>
      <c r="C31" s="60"/>
      <c r="D31" s="58"/>
      <c r="E31" s="59"/>
      <c r="F31" s="171">
        <f t="shared" si="0"/>
        <v>0</v>
      </c>
      <c r="G31" s="58"/>
      <c r="H31" s="59"/>
      <c r="I31" s="171">
        <f t="shared" si="1"/>
        <v>0</v>
      </c>
      <c r="J31" s="58"/>
      <c r="K31" s="59"/>
      <c r="L31" s="171">
        <f t="shared" si="2"/>
        <v>0</v>
      </c>
      <c r="M31" s="58"/>
      <c r="N31" s="59"/>
      <c r="O31" s="171">
        <f t="shared" si="3"/>
        <v>0</v>
      </c>
      <c r="P31" s="58"/>
      <c r="Q31" s="59"/>
      <c r="R31" s="171">
        <f t="shared" si="4"/>
        <v>0</v>
      </c>
      <c r="S31" s="58"/>
      <c r="T31" s="59"/>
      <c r="U31" s="171">
        <f t="shared" si="5"/>
        <v>0</v>
      </c>
    </row>
    <row r="32" spans="2:21" ht="15.75" customHeight="1" x14ac:dyDescent="0.2">
      <c r="B32" s="135">
        <f t="shared" si="6"/>
        <v>18</v>
      </c>
      <c r="C32" s="60"/>
      <c r="D32" s="58"/>
      <c r="E32" s="59"/>
      <c r="F32" s="171">
        <f t="shared" si="0"/>
        <v>0</v>
      </c>
      <c r="G32" s="58"/>
      <c r="H32" s="59"/>
      <c r="I32" s="171">
        <f t="shared" si="1"/>
        <v>0</v>
      </c>
      <c r="J32" s="58"/>
      <c r="K32" s="59"/>
      <c r="L32" s="171">
        <f t="shared" si="2"/>
        <v>0</v>
      </c>
      <c r="M32" s="58"/>
      <c r="N32" s="59"/>
      <c r="O32" s="171">
        <f t="shared" si="3"/>
        <v>0</v>
      </c>
      <c r="P32" s="58"/>
      <c r="Q32" s="59"/>
      <c r="R32" s="171">
        <f t="shared" si="4"/>
        <v>0</v>
      </c>
      <c r="S32" s="58"/>
      <c r="T32" s="59"/>
      <c r="U32" s="171">
        <f t="shared" si="5"/>
        <v>0</v>
      </c>
    </row>
    <row r="33" spans="1:21" ht="15" customHeight="1" x14ac:dyDescent="0.2">
      <c r="B33" s="135">
        <f t="shared" si="6"/>
        <v>19</v>
      </c>
      <c r="C33" s="60"/>
      <c r="D33" s="58"/>
      <c r="E33" s="59"/>
      <c r="F33" s="171">
        <f t="shared" si="0"/>
        <v>0</v>
      </c>
      <c r="G33" s="58"/>
      <c r="H33" s="59"/>
      <c r="I33" s="171">
        <f t="shared" si="1"/>
        <v>0</v>
      </c>
      <c r="J33" s="58"/>
      <c r="K33" s="59"/>
      <c r="L33" s="171">
        <f t="shared" si="2"/>
        <v>0</v>
      </c>
      <c r="M33" s="58"/>
      <c r="N33" s="59"/>
      <c r="O33" s="171">
        <f t="shared" si="3"/>
        <v>0</v>
      </c>
      <c r="P33" s="58"/>
      <c r="Q33" s="59"/>
      <c r="R33" s="171">
        <f t="shared" si="4"/>
        <v>0</v>
      </c>
      <c r="S33" s="58"/>
      <c r="T33" s="59"/>
      <c r="U33" s="171">
        <f t="shared" si="5"/>
        <v>0</v>
      </c>
    </row>
    <row r="34" spans="1:21" ht="15.75" thickBot="1" x14ac:dyDescent="0.25">
      <c r="B34" s="136">
        <f>B33+1</f>
        <v>20</v>
      </c>
      <c r="C34" s="60"/>
      <c r="D34" s="58"/>
      <c r="E34" s="59"/>
      <c r="F34" s="171">
        <f t="shared" si="0"/>
        <v>0</v>
      </c>
      <c r="G34" s="58"/>
      <c r="H34" s="59"/>
      <c r="I34" s="171">
        <f t="shared" si="1"/>
        <v>0</v>
      </c>
      <c r="J34" s="58"/>
      <c r="K34" s="59"/>
      <c r="L34" s="171">
        <f t="shared" si="2"/>
        <v>0</v>
      </c>
      <c r="M34" s="58"/>
      <c r="N34" s="59"/>
      <c r="O34" s="171">
        <f t="shared" si="3"/>
        <v>0</v>
      </c>
      <c r="P34" s="58"/>
      <c r="Q34" s="59"/>
      <c r="R34" s="171">
        <f t="shared" si="4"/>
        <v>0</v>
      </c>
      <c r="S34" s="58"/>
      <c r="T34" s="59"/>
      <c r="U34" s="171">
        <f t="shared" si="5"/>
        <v>0</v>
      </c>
    </row>
    <row r="35" spans="1:21" ht="31.5" customHeight="1" thickBot="1" x14ac:dyDescent="0.25">
      <c r="C35" s="165" t="s">
        <v>2</v>
      </c>
      <c r="D35" s="53">
        <f>SUM(D15:D34)</f>
        <v>0</v>
      </c>
      <c r="E35" s="54">
        <f>SUM(E15:E34)</f>
        <v>0</v>
      </c>
      <c r="F35" s="55">
        <f>D35+E35</f>
        <v>0</v>
      </c>
      <c r="G35" s="53">
        <f>SUM(G15:G34)</f>
        <v>0</v>
      </c>
      <c r="H35" s="54">
        <f>SUM(H15:H34)</f>
        <v>0</v>
      </c>
      <c r="I35" s="55">
        <f>G35+H35</f>
        <v>0</v>
      </c>
      <c r="J35" s="53">
        <f>SUM(J15:J34)</f>
        <v>0</v>
      </c>
      <c r="K35" s="54">
        <f>SUM(K15:K34)</f>
        <v>0</v>
      </c>
      <c r="L35" s="55">
        <f>J35+K35</f>
        <v>0</v>
      </c>
      <c r="M35" s="53">
        <f>SUM(M15:M34)</f>
        <v>0</v>
      </c>
      <c r="N35" s="54">
        <f>SUM(N15:N34)</f>
        <v>0</v>
      </c>
      <c r="O35" s="55">
        <f>M35+N35</f>
        <v>0</v>
      </c>
      <c r="P35" s="53">
        <f>SUM(P15:P34)</f>
        <v>0</v>
      </c>
      <c r="Q35" s="54">
        <f>SUM(Q15:Q34)</f>
        <v>0</v>
      </c>
      <c r="R35" s="55">
        <f>P35+Q35</f>
        <v>0</v>
      </c>
      <c r="S35" s="53">
        <f>SUM(S15:S34)</f>
        <v>0</v>
      </c>
      <c r="T35" s="54">
        <f>SUM(T15:T34)</f>
        <v>0</v>
      </c>
      <c r="U35" s="55">
        <f>S35+T35</f>
        <v>0</v>
      </c>
    </row>
    <row r="36" spans="1:21" ht="6" customHeight="1" x14ac:dyDescent="0.2">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8"/>
  <sheetViews>
    <sheetView showGridLines="0" zoomScale="90" zoomScaleNormal="90" workbookViewId="0">
      <selection activeCell="E44" sqref="E44"/>
    </sheetView>
  </sheetViews>
  <sheetFormatPr baseColWidth="10" defaultColWidth="11.42578125" defaultRowHeight="12.75" x14ac:dyDescent="0.2"/>
  <cols>
    <col min="1" max="1" width="1.42578125" style="1" customWidth="1"/>
    <col min="2" max="2" width="14.7109375" style="1" customWidth="1"/>
    <col min="3" max="3" width="38.42578125" style="1" customWidth="1"/>
    <col min="4" max="4" width="19.85546875" style="1" customWidth="1"/>
    <col min="5" max="5" width="20.140625" style="1" customWidth="1"/>
    <col min="6" max="6" width="19.7109375" style="1" customWidth="1"/>
    <col min="7" max="7" width="20.7109375" style="1" customWidth="1"/>
    <col min="8" max="8" width="20.42578125" style="1" customWidth="1"/>
    <col min="9" max="9" width="22" style="1" customWidth="1"/>
    <col min="10" max="16384" width="11.42578125" style="1"/>
  </cols>
  <sheetData>
    <row r="1" spans="1:9" ht="49.5" customHeight="1" x14ac:dyDescent="0.25">
      <c r="A1" s="13"/>
      <c r="D1" s="91"/>
      <c r="E1" s="91"/>
      <c r="F1" s="14"/>
    </row>
    <row r="2" spans="1:9" ht="18" customHeight="1" x14ac:dyDescent="0.25">
      <c r="A2" s="13"/>
      <c r="B2" s="116"/>
      <c r="D2" s="91"/>
      <c r="E2" s="91"/>
      <c r="F2" s="14"/>
    </row>
    <row r="3" spans="1:9" ht="18" customHeight="1" x14ac:dyDescent="0.25">
      <c r="A3" s="13"/>
      <c r="D3" s="91"/>
      <c r="E3" s="91"/>
      <c r="F3" s="14"/>
    </row>
    <row r="4" spans="1:9" ht="18" customHeight="1" x14ac:dyDescent="0.25">
      <c r="A4" s="13"/>
      <c r="B4" s="234" t="s">
        <v>85</v>
      </c>
      <c r="C4" s="234"/>
      <c r="D4" s="234"/>
      <c r="E4" s="234"/>
      <c r="F4" s="234"/>
      <c r="G4" s="234"/>
      <c r="H4" s="234"/>
      <c r="I4" s="234"/>
    </row>
    <row r="5" spans="1:9" ht="15.75" customHeight="1" x14ac:dyDescent="0.2">
      <c r="B5" s="2"/>
      <c r="C5" s="119"/>
      <c r="D5" s="91"/>
      <c r="E5" s="91"/>
    </row>
    <row r="6" spans="1:9" ht="4.5" customHeight="1" x14ac:dyDescent="0.2"/>
    <row r="7" spans="1:9" s="2" customFormat="1" ht="24" customHeight="1" x14ac:dyDescent="0.2">
      <c r="B7" s="236" t="s">
        <v>25</v>
      </c>
      <c r="C7" s="237"/>
      <c r="D7" s="237"/>
      <c r="E7" s="237"/>
      <c r="F7" s="237"/>
      <c r="G7" s="238"/>
      <c r="H7" s="238"/>
      <c r="I7" s="239"/>
    </row>
    <row r="8" spans="1:9" s="2" customFormat="1" ht="27.75" customHeight="1" x14ac:dyDescent="0.2">
      <c r="B8" s="233" t="s">
        <v>20</v>
      </c>
      <c r="C8" s="233"/>
      <c r="D8" s="142">
        <f>Personal!F13</f>
        <v>2021</v>
      </c>
      <c r="E8" s="142">
        <f>D8+1</f>
        <v>2022</v>
      </c>
      <c r="F8" s="142">
        <f>E8+1</f>
        <v>2023</v>
      </c>
      <c r="G8" s="142">
        <f>F8+1</f>
        <v>2024</v>
      </c>
      <c r="H8" s="142">
        <f>G8+1</f>
        <v>2025</v>
      </c>
      <c r="I8" s="142">
        <f>H8+1</f>
        <v>2026</v>
      </c>
    </row>
    <row r="9" spans="1:9" s="2" customFormat="1" ht="28.5" customHeight="1" x14ac:dyDescent="0.2">
      <c r="B9" s="235" t="s">
        <v>88</v>
      </c>
      <c r="C9" s="235"/>
      <c r="D9" s="3">
        <f>Personal!G58</f>
        <v>0</v>
      </c>
      <c r="E9" s="3">
        <f>Personal!L58</f>
        <v>0</v>
      </c>
      <c r="F9" s="3">
        <f>Personal!Q58</f>
        <v>0</v>
      </c>
      <c r="G9" s="3">
        <f>Personal!V58</f>
        <v>0</v>
      </c>
      <c r="H9" s="3">
        <f>Personal!AA58</f>
        <v>0</v>
      </c>
      <c r="I9" s="3">
        <f>Personal!AF58</f>
        <v>0</v>
      </c>
    </row>
    <row r="10" spans="1:9" s="2" customFormat="1" ht="28.5" customHeight="1" x14ac:dyDescent="0.2">
      <c r="B10" s="235" t="s">
        <v>21</v>
      </c>
      <c r="C10" s="235"/>
      <c r="D10" s="3">
        <f>Personal!G59</f>
        <v>0</v>
      </c>
      <c r="E10" s="3">
        <f>Personal!L59</f>
        <v>0</v>
      </c>
      <c r="F10" s="3">
        <f>Personal!Q59</f>
        <v>0</v>
      </c>
      <c r="G10" s="3">
        <f>Personal!V59</f>
        <v>0</v>
      </c>
      <c r="H10" s="3">
        <f>Personal!AA59</f>
        <v>0</v>
      </c>
      <c r="I10" s="3">
        <f>Personal!AF59</f>
        <v>0</v>
      </c>
    </row>
    <row r="11" spans="1:9" s="2" customFormat="1" ht="28.5" customHeight="1" x14ac:dyDescent="0.2">
      <c r="B11" s="235" t="s">
        <v>90</v>
      </c>
      <c r="C11" s="235"/>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
      <c r="B12" s="235" t="s">
        <v>22</v>
      </c>
      <c r="C12" s="235"/>
      <c r="D12" s="3">
        <f>Fungibles!D33</f>
        <v>0</v>
      </c>
      <c r="E12" s="3">
        <f>Fungibles!G33</f>
        <v>0</v>
      </c>
      <c r="F12" s="3">
        <f>Fungibles!J33</f>
        <v>0</v>
      </c>
      <c r="G12" s="3">
        <f>Fungibles!M33</f>
        <v>0</v>
      </c>
      <c r="H12" s="3">
        <f>Fungibles!P33</f>
        <v>0</v>
      </c>
      <c r="I12" s="3">
        <f>Fungibles!S33</f>
        <v>0</v>
      </c>
    </row>
    <row r="13" spans="1:9" s="2" customFormat="1" ht="28.5" customHeight="1" x14ac:dyDescent="0.2">
      <c r="B13" s="235" t="s">
        <v>126</v>
      </c>
      <c r="C13" s="235"/>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
      <c r="B14" s="235" t="s">
        <v>23</v>
      </c>
      <c r="C14" s="235"/>
      <c r="D14" s="3">
        <f>'C.Externas (Otros)'!E41</f>
        <v>0</v>
      </c>
      <c r="E14" s="3">
        <f>'C.Externas (Otros)'!H41</f>
        <v>0</v>
      </c>
      <c r="F14" s="3">
        <f>'C.Externas (Otros)'!K41</f>
        <v>0</v>
      </c>
      <c r="G14" s="3">
        <f>'C.Externas (Otros)'!N41</f>
        <v>0</v>
      </c>
      <c r="H14" s="3">
        <f>'C.Externas (Otros)'!Q41</f>
        <v>0</v>
      </c>
      <c r="I14" s="3">
        <f>'C.Externas (Otros)'!T41</f>
        <v>0</v>
      </c>
    </row>
    <row r="15" spans="1:9" s="2" customFormat="1" ht="42" customHeight="1" x14ac:dyDescent="0.2">
      <c r="B15" s="235" t="s">
        <v>28</v>
      </c>
      <c r="C15" s="235"/>
      <c r="D15" s="3">
        <f>'Otros Gastos'!D35</f>
        <v>0</v>
      </c>
      <c r="E15" s="3">
        <f>'Otros Gastos'!G35</f>
        <v>0</v>
      </c>
      <c r="F15" s="3">
        <f>'Otros Gastos'!J35</f>
        <v>0</v>
      </c>
      <c r="G15" s="3">
        <f>'Otros Gastos'!M35</f>
        <v>0</v>
      </c>
      <c r="H15" s="3">
        <f>'Otros Gastos'!P35</f>
        <v>0</v>
      </c>
      <c r="I15" s="3">
        <f>'Otros Gastos'!S35</f>
        <v>0</v>
      </c>
    </row>
    <row r="16" spans="1:9" s="2" customFormat="1" ht="30" customHeight="1" x14ac:dyDescent="0.2">
      <c r="B16" s="233" t="s">
        <v>24</v>
      </c>
      <c r="C16" s="233"/>
      <c r="D16" s="143">
        <f t="shared" ref="D16:I16" si="0">SUM(D9:D15)</f>
        <v>0</v>
      </c>
      <c r="E16" s="143">
        <f t="shared" si="0"/>
        <v>0</v>
      </c>
      <c r="F16" s="143">
        <f t="shared" si="0"/>
        <v>0</v>
      </c>
      <c r="G16" s="143">
        <f t="shared" si="0"/>
        <v>0</v>
      </c>
      <c r="H16" s="143">
        <f t="shared" si="0"/>
        <v>0</v>
      </c>
      <c r="I16" s="143">
        <f t="shared" si="0"/>
        <v>0</v>
      </c>
    </row>
    <row r="17" spans="2:9" ht="6" customHeight="1" x14ac:dyDescent="0.2"/>
    <row r="18" spans="2:9" s="2" customFormat="1" ht="30" customHeight="1" x14ac:dyDescent="0.2">
      <c r="B18" s="233" t="s">
        <v>84</v>
      </c>
      <c r="C18" s="233"/>
      <c r="D18" s="143">
        <f>'El._inmovilizado (INVERSIÓN)'!D33</f>
        <v>0</v>
      </c>
      <c r="E18" s="143">
        <f>'El._inmovilizado (INVERSIÓN)'!G33</f>
        <v>0</v>
      </c>
      <c r="F18" s="143">
        <f>'El._inmovilizado (INVERSIÓN)'!J33</f>
        <v>0</v>
      </c>
      <c r="G18" s="143">
        <f>'El._inmovilizado (INVERSIÓN)'!M33</f>
        <v>0</v>
      </c>
      <c r="H18" s="143">
        <f>'El._inmovilizado (INVERSIÓN)'!P33</f>
        <v>0</v>
      </c>
      <c r="I18" s="143">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7.140625" style="1" customWidth="1"/>
    <col min="4" max="4" width="21.140625" style="1" customWidth="1"/>
    <col min="5" max="5" width="23.140625" style="1" customWidth="1"/>
    <col min="6" max="6" width="22.5703125" style="1" customWidth="1"/>
    <col min="7" max="7" width="21.5703125" style="1" customWidth="1"/>
    <col min="8" max="8" width="21.140625" style="1" customWidth="1"/>
    <col min="9" max="9" width="23" style="1" customWidth="1"/>
    <col min="10" max="16384" width="11.42578125" style="1"/>
  </cols>
  <sheetData>
    <row r="1" spans="1:9" ht="49.5" customHeight="1" x14ac:dyDescent="0.25">
      <c r="A1" s="13"/>
      <c r="D1" s="240"/>
      <c r="E1" s="240"/>
      <c r="F1" s="14"/>
    </row>
    <row r="2" spans="1:9" ht="16.5" customHeight="1" x14ac:dyDescent="0.25">
      <c r="A2" s="13"/>
      <c r="B2" s="116"/>
      <c r="D2" s="88"/>
      <c r="E2" s="88"/>
      <c r="F2" s="14"/>
    </row>
    <row r="3" spans="1:9" ht="16.5" customHeight="1" x14ac:dyDescent="0.25">
      <c r="A3" s="13"/>
      <c r="D3" s="88"/>
      <c r="E3" s="88"/>
      <c r="F3" s="14"/>
    </row>
    <row r="4" spans="1:9" ht="16.5" customHeight="1" x14ac:dyDescent="0.25">
      <c r="A4" s="13"/>
      <c r="B4" s="234" t="s">
        <v>86</v>
      </c>
      <c r="C4" s="234"/>
      <c r="D4" s="234"/>
      <c r="E4" s="234"/>
      <c r="F4" s="234"/>
      <c r="G4" s="234"/>
      <c r="H4" s="234"/>
      <c r="I4" s="234"/>
    </row>
    <row r="5" spans="1:9" ht="15.75" customHeight="1" x14ac:dyDescent="0.2">
      <c r="B5" s="2"/>
      <c r="C5" s="120"/>
    </row>
    <row r="6" spans="1:9" ht="4.5" customHeight="1" x14ac:dyDescent="0.2"/>
    <row r="7" spans="1:9" s="2" customFormat="1" ht="24" customHeight="1" x14ac:dyDescent="0.2">
      <c r="B7" s="241" t="s">
        <v>26</v>
      </c>
      <c r="C7" s="241"/>
      <c r="D7" s="241"/>
      <c r="E7" s="241"/>
      <c r="F7" s="241"/>
      <c r="G7" s="242"/>
      <c r="H7" s="242"/>
      <c r="I7" s="242"/>
    </row>
    <row r="8" spans="1:9" s="2" customFormat="1" ht="27.75" customHeight="1" x14ac:dyDescent="0.2">
      <c r="B8" s="233" t="s">
        <v>20</v>
      </c>
      <c r="C8" s="233"/>
      <c r="D8" s="142">
        <f>Personal!F13</f>
        <v>2021</v>
      </c>
      <c r="E8" s="142">
        <f>D8+1</f>
        <v>2022</v>
      </c>
      <c r="F8" s="142">
        <f>E8+1</f>
        <v>2023</v>
      </c>
      <c r="G8" s="142">
        <f>F8+1</f>
        <v>2024</v>
      </c>
      <c r="H8" s="142">
        <f>G8+1</f>
        <v>2025</v>
      </c>
      <c r="I8" s="142">
        <f>H8+1</f>
        <v>2026</v>
      </c>
    </row>
    <row r="9" spans="1:9" s="2" customFormat="1" ht="28.5" customHeight="1" x14ac:dyDescent="0.2">
      <c r="B9" s="235" t="s">
        <v>88</v>
      </c>
      <c r="C9" s="235"/>
      <c r="D9" s="3">
        <f>Personal!I58</f>
        <v>341706.32</v>
      </c>
      <c r="E9" s="3">
        <f>Personal!N58</f>
        <v>2565691.7399999993</v>
      </c>
      <c r="F9" s="3">
        <f>Personal!S58</f>
        <v>0</v>
      </c>
      <c r="G9" s="3">
        <f>Personal!X58</f>
        <v>0</v>
      </c>
      <c r="H9" s="3">
        <f>Personal!AC58</f>
        <v>0</v>
      </c>
      <c r="I9" s="3">
        <f>Personal!AH58</f>
        <v>0</v>
      </c>
    </row>
    <row r="10" spans="1:9" s="2" customFormat="1" ht="28.5" customHeight="1" x14ac:dyDescent="0.2">
      <c r="B10" s="235" t="s">
        <v>21</v>
      </c>
      <c r="C10" s="235"/>
      <c r="D10" s="4"/>
      <c r="E10" s="4"/>
      <c r="F10" s="4"/>
      <c r="G10" s="4"/>
      <c r="H10" s="4"/>
      <c r="I10" s="4"/>
    </row>
    <row r="11" spans="1:9" s="2" customFormat="1" ht="28.5" customHeight="1" x14ac:dyDescent="0.2">
      <c r="B11" s="235" t="s">
        <v>90</v>
      </c>
      <c r="C11" s="235"/>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
      <c r="B12" s="235" t="s">
        <v>22</v>
      </c>
      <c r="C12" s="235"/>
      <c r="D12" s="3">
        <f>Fungibles!E33</f>
        <v>0</v>
      </c>
      <c r="E12" s="3">
        <f>Fungibles!H33</f>
        <v>0</v>
      </c>
      <c r="F12" s="3">
        <f>Fungibles!K33</f>
        <v>0</v>
      </c>
      <c r="G12" s="3">
        <f>Fungibles!N33</f>
        <v>0</v>
      </c>
      <c r="H12" s="3">
        <f>Fungibles!Q33</f>
        <v>0</v>
      </c>
      <c r="I12" s="3">
        <f>Fungibles!T33</f>
        <v>0</v>
      </c>
    </row>
    <row r="13" spans="1:9" s="2" customFormat="1" ht="28.5" customHeight="1" x14ac:dyDescent="0.2">
      <c r="B13" s="235" t="s">
        <v>126</v>
      </c>
      <c r="C13" s="235"/>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
      <c r="B14" s="235" t="s">
        <v>23</v>
      </c>
      <c r="C14" s="235"/>
      <c r="D14" s="3">
        <f>'C.Externas (Otros)'!F41</f>
        <v>902651.52</v>
      </c>
      <c r="E14" s="3">
        <f>'C.Externas (Otros)'!I41</f>
        <v>9422911.1899999995</v>
      </c>
      <c r="F14" s="3">
        <f>'C.Externas (Otros)'!L41</f>
        <v>0</v>
      </c>
      <c r="G14" s="3">
        <f>'C.Externas (Otros)'!O41</f>
        <v>0</v>
      </c>
      <c r="H14" s="3">
        <f>'C.Externas (Otros)'!R41</f>
        <v>0</v>
      </c>
      <c r="I14" s="3">
        <f>'C.Externas (Otros)'!U41</f>
        <v>0</v>
      </c>
    </row>
    <row r="15" spans="1:9" s="2" customFormat="1" ht="42" customHeight="1" x14ac:dyDescent="0.2">
      <c r="B15" s="235" t="s">
        <v>28</v>
      </c>
      <c r="C15" s="235"/>
      <c r="D15" s="3">
        <f>'Otros Gastos'!E35</f>
        <v>0</v>
      </c>
      <c r="E15" s="3">
        <f>'Otros Gastos'!H35</f>
        <v>0</v>
      </c>
      <c r="F15" s="3">
        <f>'Otros Gastos'!K35</f>
        <v>0</v>
      </c>
      <c r="G15" s="3">
        <f>'Otros Gastos'!N35</f>
        <v>0</v>
      </c>
      <c r="H15" s="3">
        <f>'Otros Gastos'!Q35</f>
        <v>0</v>
      </c>
      <c r="I15" s="3">
        <f>'Otros Gastos'!T35</f>
        <v>0</v>
      </c>
    </row>
    <row r="16" spans="1:9" s="2" customFormat="1" ht="30" customHeight="1" x14ac:dyDescent="0.2">
      <c r="B16" s="233" t="s">
        <v>24</v>
      </c>
      <c r="C16" s="233"/>
      <c r="D16" s="143">
        <f t="shared" ref="D16:I16" si="0">SUM(D9:D15)</f>
        <v>1244357.8400000001</v>
      </c>
      <c r="E16" s="143">
        <f t="shared" si="0"/>
        <v>11988602.93</v>
      </c>
      <c r="F16" s="143">
        <f t="shared" si="0"/>
        <v>0</v>
      </c>
      <c r="G16" s="143">
        <f t="shared" si="0"/>
        <v>0</v>
      </c>
      <c r="H16" s="143">
        <f t="shared" si="0"/>
        <v>0</v>
      </c>
      <c r="I16" s="143">
        <f t="shared" si="0"/>
        <v>0</v>
      </c>
    </row>
    <row r="17" ht="6" customHeight="1" x14ac:dyDescent="0.2"/>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xr:uid="{00000000-0002-0000-0A00-00000000000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9"/>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6" style="1" customWidth="1"/>
    <col min="4" max="4" width="21.5703125" style="1" customWidth="1"/>
    <col min="5" max="5" width="22.28515625" style="1" customWidth="1"/>
    <col min="6" max="6" width="21.5703125" style="1" customWidth="1"/>
    <col min="7" max="7" width="20.7109375" style="1" customWidth="1"/>
    <col min="8" max="8" width="21.28515625" style="1" customWidth="1"/>
    <col min="9" max="9" width="21.140625" style="1" customWidth="1"/>
    <col min="10" max="16384" width="11.42578125" style="1"/>
  </cols>
  <sheetData>
    <row r="1" spans="1:9" ht="49.5" customHeight="1" x14ac:dyDescent="0.25">
      <c r="A1" s="13"/>
      <c r="D1" s="91"/>
      <c r="E1" s="91"/>
      <c r="F1" s="14"/>
    </row>
    <row r="2" spans="1:9" ht="17.25" customHeight="1" x14ac:dyDescent="0.25">
      <c r="A2" s="13"/>
      <c r="B2" s="116"/>
      <c r="D2" s="91"/>
      <c r="E2" s="91"/>
      <c r="F2" s="14"/>
    </row>
    <row r="3" spans="1:9" ht="17.25" customHeight="1" x14ac:dyDescent="0.25">
      <c r="A3" s="13"/>
      <c r="D3" s="91"/>
      <c r="E3" s="91"/>
      <c r="F3" s="14"/>
    </row>
    <row r="4" spans="1:9" ht="17.25" customHeight="1" x14ac:dyDescent="0.25">
      <c r="A4" s="13"/>
      <c r="B4" s="93" t="s">
        <v>83</v>
      </c>
      <c r="D4" s="91"/>
      <c r="E4" s="91"/>
      <c r="F4" s="14"/>
    </row>
    <row r="5" spans="1:9" ht="15.75" customHeight="1" x14ac:dyDescent="0.2">
      <c r="B5" s="2"/>
      <c r="C5" s="119"/>
      <c r="D5" s="91"/>
      <c r="E5" s="91"/>
    </row>
    <row r="6" spans="1:9" ht="4.5" customHeight="1" x14ac:dyDescent="0.2"/>
    <row r="7" spans="1:9" s="2" customFormat="1" ht="24" customHeight="1" x14ac:dyDescent="0.2">
      <c r="B7" s="241" t="s">
        <v>19</v>
      </c>
      <c r="C7" s="241"/>
      <c r="D7" s="241"/>
      <c r="E7" s="241"/>
      <c r="F7" s="241"/>
      <c r="G7" s="242"/>
      <c r="H7" s="242"/>
      <c r="I7" s="242"/>
    </row>
    <row r="8" spans="1:9" s="2" customFormat="1" ht="11.25" customHeight="1" x14ac:dyDescent="0.2">
      <c r="B8" s="89"/>
      <c r="C8" s="89"/>
      <c r="D8" s="89"/>
      <c r="E8" s="89"/>
      <c r="F8" s="89"/>
      <c r="G8" s="90"/>
      <c r="H8" s="90"/>
      <c r="I8" s="90"/>
    </row>
    <row r="9" spans="1:9" s="2" customFormat="1" ht="27.75" customHeight="1" x14ac:dyDescent="0.2">
      <c r="B9" s="233" t="s">
        <v>20</v>
      </c>
      <c r="C9" s="233"/>
      <c r="D9" s="142">
        <f>Personal!F13</f>
        <v>2021</v>
      </c>
      <c r="E9" s="142">
        <f>D9+1</f>
        <v>2022</v>
      </c>
      <c r="F9" s="142">
        <f>E9+1</f>
        <v>2023</v>
      </c>
      <c r="G9" s="142">
        <f>F9+1</f>
        <v>2024</v>
      </c>
      <c r="H9" s="142">
        <f>G9+1</f>
        <v>2025</v>
      </c>
      <c r="I9" s="142">
        <f>H9+1</f>
        <v>2026</v>
      </c>
    </row>
    <row r="10" spans="1:9" s="2" customFormat="1" ht="28.5" customHeight="1" x14ac:dyDescent="0.2">
      <c r="B10" s="235" t="s">
        <v>88</v>
      </c>
      <c r="C10" s="235"/>
      <c r="D10" s="3">
        <f>'I+D'!D9+iT!D9</f>
        <v>341706.32</v>
      </c>
      <c r="E10" s="3">
        <f>'I+D'!E9+iT!E9</f>
        <v>2565691.7399999993</v>
      </c>
      <c r="F10" s="3">
        <f>'I+D'!F9+iT!F9</f>
        <v>0</v>
      </c>
      <c r="G10" s="3">
        <f>'I+D'!G9+iT!G9</f>
        <v>0</v>
      </c>
      <c r="H10" s="3">
        <f>'I+D'!H9+iT!H9</f>
        <v>0</v>
      </c>
      <c r="I10" s="3">
        <f>'I+D'!I9+iT!I9</f>
        <v>0</v>
      </c>
    </row>
    <row r="11" spans="1:9" s="2" customFormat="1" ht="28.5" customHeight="1" x14ac:dyDescent="0.2">
      <c r="B11" s="235" t="s">
        <v>21</v>
      </c>
      <c r="C11" s="235"/>
      <c r="D11" s="3">
        <f>'I+D'!D10+iT!D10</f>
        <v>0</v>
      </c>
      <c r="E11" s="3">
        <f>'I+D'!E10+iT!E10</f>
        <v>0</v>
      </c>
      <c r="F11" s="3">
        <f>'I+D'!F10+iT!F10</f>
        <v>0</v>
      </c>
      <c r="G11" s="3">
        <f>'I+D'!G10+iT!G10</f>
        <v>0</v>
      </c>
      <c r="H11" s="3">
        <f>'I+D'!H10+iT!H10</f>
        <v>0</v>
      </c>
      <c r="I11" s="3">
        <f>'I+D'!I10+iT!I10</f>
        <v>0</v>
      </c>
    </row>
    <row r="12" spans="1:9" s="2" customFormat="1" ht="28.5" customHeight="1" x14ac:dyDescent="0.2">
      <c r="B12" s="235" t="s">
        <v>90</v>
      </c>
      <c r="C12" s="235"/>
      <c r="D12" s="3">
        <f>'I+D'!D11+iT!D11</f>
        <v>0</v>
      </c>
      <c r="E12" s="3">
        <f>'I+D'!E11+iT!E11</f>
        <v>0</v>
      </c>
      <c r="F12" s="3">
        <f>'I+D'!F11+iT!F11</f>
        <v>0</v>
      </c>
      <c r="G12" s="3">
        <f>'I+D'!G11+iT!G11</f>
        <v>0</v>
      </c>
      <c r="H12" s="3">
        <f>'I+D'!H11+iT!H11</f>
        <v>0</v>
      </c>
      <c r="I12" s="3">
        <f>'I+D'!I11+iT!I11</f>
        <v>0</v>
      </c>
    </row>
    <row r="13" spans="1:9" s="2" customFormat="1" ht="28.5" customHeight="1" x14ac:dyDescent="0.2">
      <c r="B13" s="235" t="s">
        <v>22</v>
      </c>
      <c r="C13" s="235"/>
      <c r="D13" s="3">
        <f>'I+D'!D12+iT!D12</f>
        <v>0</v>
      </c>
      <c r="E13" s="3">
        <f>'I+D'!E12+iT!E12</f>
        <v>0</v>
      </c>
      <c r="F13" s="3">
        <f>'I+D'!F12+iT!F12</f>
        <v>0</v>
      </c>
      <c r="G13" s="3">
        <f>'I+D'!G12+iT!G12</f>
        <v>0</v>
      </c>
      <c r="H13" s="3">
        <f>'I+D'!H12+iT!H12</f>
        <v>0</v>
      </c>
      <c r="I13" s="3">
        <f>'I+D'!I12+iT!I12</f>
        <v>0</v>
      </c>
    </row>
    <row r="14" spans="1:9" s="2" customFormat="1" ht="28.5" customHeight="1" x14ac:dyDescent="0.2">
      <c r="B14" s="235" t="s">
        <v>126</v>
      </c>
      <c r="C14" s="235"/>
      <c r="D14" s="3">
        <f>'I+D'!D13+iT!D13</f>
        <v>0</v>
      </c>
      <c r="E14" s="3">
        <f>'I+D'!E13+iT!E13</f>
        <v>0</v>
      </c>
      <c r="F14" s="3">
        <f>'I+D'!F13+iT!F13</f>
        <v>0</v>
      </c>
      <c r="G14" s="3">
        <f>'I+D'!G13+iT!G13</f>
        <v>0</v>
      </c>
      <c r="H14" s="3">
        <f>'I+D'!H13+iT!H13</f>
        <v>0</v>
      </c>
      <c r="I14" s="3">
        <f>'I+D'!I13+iT!I13</f>
        <v>0</v>
      </c>
    </row>
    <row r="15" spans="1:9" s="2" customFormat="1" ht="28.5" customHeight="1" x14ac:dyDescent="0.2">
      <c r="B15" s="235" t="s">
        <v>23</v>
      </c>
      <c r="C15" s="235"/>
      <c r="D15" s="3">
        <f>'I+D'!D14+iT!D14</f>
        <v>902651.52</v>
      </c>
      <c r="E15" s="3">
        <f>'I+D'!E14+iT!E14</f>
        <v>9422911.1899999995</v>
      </c>
      <c r="F15" s="3">
        <f>'I+D'!F14+iT!F14</f>
        <v>0</v>
      </c>
      <c r="G15" s="3">
        <f>'I+D'!G14+iT!G14</f>
        <v>0</v>
      </c>
      <c r="H15" s="3">
        <f>'I+D'!H14+iT!H14</f>
        <v>0</v>
      </c>
      <c r="I15" s="3">
        <f>'I+D'!I14+iT!I14</f>
        <v>0</v>
      </c>
    </row>
    <row r="16" spans="1:9" s="2" customFormat="1" ht="42" customHeight="1" x14ac:dyDescent="0.2">
      <c r="B16" s="235" t="s">
        <v>28</v>
      </c>
      <c r="C16" s="235"/>
      <c r="D16" s="3">
        <f>'I+D'!D15+iT!D15</f>
        <v>0</v>
      </c>
      <c r="E16" s="3">
        <f>'I+D'!E15+iT!E15</f>
        <v>0</v>
      </c>
      <c r="F16" s="3">
        <f>'I+D'!F15+iT!F15</f>
        <v>0</v>
      </c>
      <c r="G16" s="3">
        <f>'I+D'!G15+iT!G15</f>
        <v>0</v>
      </c>
      <c r="H16" s="3">
        <f>'I+D'!H15+iT!H15</f>
        <v>0</v>
      </c>
      <c r="I16" s="3">
        <f>'I+D'!I15+iT!I15</f>
        <v>0</v>
      </c>
    </row>
    <row r="17" spans="2:9" s="2" customFormat="1" ht="30" customHeight="1" x14ac:dyDescent="0.2">
      <c r="B17" s="233" t="s">
        <v>24</v>
      </c>
      <c r="C17" s="233"/>
      <c r="D17" s="143">
        <f t="shared" ref="D17:I17" si="0">SUM(D10:D16)</f>
        <v>1244357.8400000001</v>
      </c>
      <c r="E17" s="143">
        <f t="shared" si="0"/>
        <v>11988602.93</v>
      </c>
      <c r="F17" s="143">
        <f t="shared" si="0"/>
        <v>0</v>
      </c>
      <c r="G17" s="143">
        <f t="shared" si="0"/>
        <v>0</v>
      </c>
      <c r="H17" s="143">
        <f t="shared" si="0"/>
        <v>0</v>
      </c>
      <c r="I17" s="143">
        <f t="shared" si="0"/>
        <v>0</v>
      </c>
    </row>
    <row r="18" spans="2:9" ht="6" customHeight="1" x14ac:dyDescent="0.2"/>
    <row r="19" spans="2:9" s="2" customFormat="1" ht="30" customHeight="1" x14ac:dyDescent="0.2">
      <c r="B19" s="233" t="s">
        <v>84</v>
      </c>
      <c r="C19" s="233"/>
      <c r="D19" s="143">
        <f>'El._inmovilizado (INVERSIÓN)'!D33</f>
        <v>0</v>
      </c>
      <c r="E19" s="143">
        <f>'El._inmovilizado (INVERSIÓN)'!G33</f>
        <v>0</v>
      </c>
      <c r="F19" s="143">
        <f>'El._inmovilizado (INVERSIÓN)'!J33</f>
        <v>0</v>
      </c>
      <c r="G19" s="143">
        <f>'El._inmovilizado (INVERSIÓN)'!M33</f>
        <v>0</v>
      </c>
      <c r="H19" s="143">
        <f>'El._inmovilizado (INVERSIÓN)'!P33</f>
        <v>0</v>
      </c>
      <c r="I19" s="143">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8"/>
  <sheetViews>
    <sheetView showGridLines="0" zoomScaleNormal="100" workbookViewId="0">
      <selection activeCell="B1" sqref="B1"/>
    </sheetView>
  </sheetViews>
  <sheetFormatPr baseColWidth="10" defaultColWidth="11.42578125" defaultRowHeight="15" x14ac:dyDescent="0.2"/>
  <cols>
    <col min="1" max="1" width="14.7109375" style="49" customWidth="1"/>
    <col min="2" max="2" width="43.5703125" style="49" customWidth="1"/>
    <col min="3" max="3" width="28.140625" style="49" customWidth="1"/>
    <col min="4" max="4" width="13.140625" style="49" customWidth="1"/>
    <col min="5" max="5" width="12.140625" style="49" customWidth="1"/>
    <col min="6" max="6" width="12.42578125" style="49" customWidth="1"/>
    <col min="7" max="7" width="12.28515625" style="49" customWidth="1"/>
    <col min="8" max="8" width="12.5703125" style="49" customWidth="1"/>
    <col min="9" max="9" width="12.7109375" style="49" customWidth="1"/>
    <col min="10" max="10" width="15.140625" style="49" customWidth="1"/>
    <col min="11" max="11" width="4.7109375" style="49" customWidth="1"/>
    <col min="12" max="16384" width="11.42578125" style="49"/>
  </cols>
  <sheetData>
    <row r="1" spans="1:10" ht="72" customHeight="1" x14ac:dyDescent="0.2">
      <c r="C1" s="243"/>
      <c r="D1" s="243"/>
      <c r="E1" s="243"/>
      <c r="F1" s="243"/>
      <c r="G1" s="243"/>
      <c r="H1" s="243"/>
      <c r="I1" s="12"/>
      <c r="J1" s="12"/>
    </row>
    <row r="2" spans="1:10" ht="15.75" customHeight="1" x14ac:dyDescent="0.2">
      <c r="C2" s="11"/>
      <c r="D2" s="11"/>
      <c r="E2" s="11"/>
      <c r="F2" s="11"/>
      <c r="G2" s="11"/>
      <c r="H2" s="11"/>
      <c r="I2" s="12"/>
      <c r="J2" s="12"/>
    </row>
    <row r="3" spans="1:10" ht="15.75" customHeight="1" x14ac:dyDescent="0.2">
      <c r="A3" s="92" t="s">
        <v>77</v>
      </c>
      <c r="C3" s="14"/>
      <c r="D3" s="14"/>
      <c r="E3" s="14"/>
      <c r="F3" s="14"/>
      <c r="G3" s="14"/>
      <c r="H3" s="14"/>
      <c r="I3" s="14"/>
      <c r="J3" s="14"/>
    </row>
    <row r="4" spans="1:10" s="94" customFormat="1" ht="15.75" customHeight="1" x14ac:dyDescent="0.2">
      <c r="C4" s="14"/>
      <c r="D4" s="14"/>
      <c r="E4" s="14"/>
      <c r="F4" s="14"/>
      <c r="G4" s="14"/>
      <c r="H4" s="14"/>
      <c r="I4" s="14"/>
      <c r="J4" s="14"/>
    </row>
    <row r="5" spans="1:10" x14ac:dyDescent="0.2">
      <c r="A5" s="50" t="s">
        <v>33</v>
      </c>
    </row>
    <row r="6" spans="1:10" ht="6" customHeight="1" thickBot="1" x14ac:dyDescent="0.25">
      <c r="B6" s="50"/>
      <c r="C6" s="51"/>
      <c r="D6" s="51"/>
      <c r="E6" s="51"/>
      <c r="F6" s="51"/>
      <c r="G6" s="51"/>
      <c r="H6" s="51"/>
    </row>
    <row r="7" spans="1:10" ht="15.75" customHeight="1" thickBot="1" x14ac:dyDescent="0.25">
      <c r="A7" s="244" t="s">
        <v>107</v>
      </c>
      <c r="B7" s="144" t="s">
        <v>30</v>
      </c>
      <c r="C7" s="145" t="s">
        <v>31</v>
      </c>
      <c r="D7" s="248" t="s">
        <v>34</v>
      </c>
      <c r="E7" s="249"/>
      <c r="F7" s="250"/>
      <c r="G7" s="251" t="s">
        <v>35</v>
      </c>
      <c r="H7" s="251"/>
      <c r="I7" s="251"/>
      <c r="J7" s="144" t="s">
        <v>118</v>
      </c>
    </row>
    <row r="8" spans="1:10" ht="39.75" customHeight="1" thickBot="1" x14ac:dyDescent="0.25">
      <c r="A8" s="245"/>
      <c r="B8" s="146" t="s">
        <v>116</v>
      </c>
      <c r="C8" s="167" t="s">
        <v>117</v>
      </c>
      <c r="D8" s="147" t="s">
        <v>7</v>
      </c>
      <c r="E8" s="148" t="s">
        <v>139</v>
      </c>
      <c r="F8" s="144" t="s">
        <v>32</v>
      </c>
      <c r="G8" s="147" t="s">
        <v>7</v>
      </c>
      <c r="H8" s="148" t="s">
        <v>139</v>
      </c>
      <c r="I8" s="149" t="s">
        <v>32</v>
      </c>
      <c r="J8" s="150" t="s">
        <v>119</v>
      </c>
    </row>
    <row r="9" spans="1:10" x14ac:dyDescent="0.2">
      <c r="A9" s="174">
        <v>1</v>
      </c>
      <c r="B9" s="175" t="s">
        <v>88</v>
      </c>
      <c r="C9" s="43"/>
      <c r="D9" s="45"/>
      <c r="E9" s="46"/>
      <c r="F9" s="176">
        <f>SUM(D9:E9)</f>
        <v>0</v>
      </c>
      <c r="G9" s="45"/>
      <c r="H9" s="46"/>
      <c r="I9" s="177">
        <f>SUM(G9:H9)</f>
        <v>0</v>
      </c>
      <c r="J9" s="178" t="str">
        <f>IF(F9=0,"",(I9-F9)/F9*100)</f>
        <v/>
      </c>
    </row>
    <row r="10" spans="1:10" ht="25.5" x14ac:dyDescent="0.2">
      <c r="A10" s="179">
        <v>2</v>
      </c>
      <c r="B10" s="180" t="s">
        <v>102</v>
      </c>
      <c r="C10" s="43"/>
      <c r="D10" s="45"/>
      <c r="E10" s="46"/>
      <c r="F10" s="176">
        <f t="shared" ref="F10:F15" si="0">SUM(D10:E10)</f>
        <v>0</v>
      </c>
      <c r="G10" s="124"/>
      <c r="H10" s="46"/>
      <c r="I10" s="177">
        <f t="shared" ref="I10:I15" si="1">SUM(G10:H10)</f>
        <v>0</v>
      </c>
      <c r="J10" s="181" t="str">
        <f t="shared" ref="J10:J16" si="2">IF(F10=0,"",(I10-F10)/F10*100)</f>
        <v/>
      </c>
    </row>
    <row r="11" spans="1:10" ht="25.5" x14ac:dyDescent="0.2">
      <c r="A11" s="182">
        <v>3</v>
      </c>
      <c r="B11" s="183" t="s">
        <v>87</v>
      </c>
      <c r="C11" s="44"/>
      <c r="D11" s="47"/>
      <c r="E11" s="48"/>
      <c r="F11" s="184">
        <f t="shared" si="0"/>
        <v>0</v>
      </c>
      <c r="G11" s="47"/>
      <c r="H11" s="48"/>
      <c r="I11" s="185">
        <f t="shared" si="1"/>
        <v>0</v>
      </c>
      <c r="J11" s="181" t="str">
        <f t="shared" si="2"/>
        <v/>
      </c>
    </row>
    <row r="12" spans="1:10" x14ac:dyDescent="0.2">
      <c r="A12" s="182">
        <v>4</v>
      </c>
      <c r="B12" s="183" t="s">
        <v>22</v>
      </c>
      <c r="C12" s="44"/>
      <c r="D12" s="47"/>
      <c r="E12" s="48"/>
      <c r="F12" s="184">
        <f t="shared" si="0"/>
        <v>0</v>
      </c>
      <c r="G12" s="47"/>
      <c r="H12" s="48"/>
      <c r="I12" s="185">
        <f t="shared" si="1"/>
        <v>0</v>
      </c>
      <c r="J12" s="181" t="str">
        <f t="shared" si="2"/>
        <v/>
      </c>
    </row>
    <row r="13" spans="1:10" ht="25.5" x14ac:dyDescent="0.2">
      <c r="A13" s="182">
        <v>5</v>
      </c>
      <c r="B13" s="183" t="s">
        <v>126</v>
      </c>
      <c r="C13" s="44"/>
      <c r="D13" s="47"/>
      <c r="E13" s="48"/>
      <c r="F13" s="184">
        <f t="shared" si="0"/>
        <v>0</v>
      </c>
      <c r="G13" s="47"/>
      <c r="H13" s="48"/>
      <c r="I13" s="185">
        <f t="shared" si="1"/>
        <v>0</v>
      </c>
      <c r="J13" s="181" t="str">
        <f t="shared" si="2"/>
        <v/>
      </c>
    </row>
    <row r="14" spans="1:10" x14ac:dyDescent="0.2">
      <c r="A14" s="182">
        <v>6</v>
      </c>
      <c r="B14" s="183" t="s">
        <v>66</v>
      </c>
      <c r="C14" s="44"/>
      <c r="D14" s="47"/>
      <c r="E14" s="48"/>
      <c r="F14" s="184">
        <f t="shared" si="0"/>
        <v>0</v>
      </c>
      <c r="G14" s="47"/>
      <c r="H14" s="48"/>
      <c r="I14" s="185">
        <f t="shared" si="1"/>
        <v>0</v>
      </c>
      <c r="J14" s="181" t="str">
        <f t="shared" si="2"/>
        <v/>
      </c>
    </row>
    <row r="15" spans="1:10" ht="15.75" thickBot="1" x14ac:dyDescent="0.25">
      <c r="A15" s="182">
        <v>7</v>
      </c>
      <c r="B15" s="183" t="s">
        <v>28</v>
      </c>
      <c r="C15" s="44"/>
      <c r="D15" s="47"/>
      <c r="E15" s="48"/>
      <c r="F15" s="184">
        <f t="shared" si="0"/>
        <v>0</v>
      </c>
      <c r="G15" s="47"/>
      <c r="H15" s="48"/>
      <c r="I15" s="185">
        <f t="shared" si="1"/>
        <v>0</v>
      </c>
      <c r="J15" s="186" t="str">
        <f t="shared" si="2"/>
        <v/>
      </c>
    </row>
    <row r="16" spans="1:10" ht="15.75" thickBot="1" x14ac:dyDescent="0.25">
      <c r="A16" s="246" t="s">
        <v>2</v>
      </c>
      <c r="B16" s="247"/>
      <c r="C16" s="247"/>
      <c r="D16" s="151">
        <f t="shared" ref="D16:I16" si="3">SUM(D9:D15)</f>
        <v>0</v>
      </c>
      <c r="E16" s="152">
        <f t="shared" si="3"/>
        <v>0</v>
      </c>
      <c r="F16" s="153">
        <f t="shared" si="3"/>
        <v>0</v>
      </c>
      <c r="G16" s="151">
        <f t="shared" si="3"/>
        <v>0</v>
      </c>
      <c r="H16" s="152">
        <f t="shared" si="3"/>
        <v>0</v>
      </c>
      <c r="I16" s="154">
        <f t="shared" si="3"/>
        <v>0</v>
      </c>
      <c r="J16" s="187" t="str">
        <f t="shared" si="2"/>
        <v/>
      </c>
    </row>
    <row r="17" spans="1:8" x14ac:dyDescent="0.2">
      <c r="A17" s="52"/>
      <c r="C17" s="51"/>
      <c r="D17" s="51"/>
      <c r="E17" s="51"/>
      <c r="F17" s="51"/>
      <c r="G17" s="51"/>
      <c r="H17" s="51"/>
    </row>
    <row r="18" spans="1:8" x14ac:dyDescent="0.2">
      <c r="B18" s="50"/>
      <c r="C18" s="51"/>
      <c r="D18" s="51"/>
      <c r="E18" s="51"/>
      <c r="F18" s="51"/>
      <c r="G18" s="51"/>
      <c r="H18" s="51"/>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J701"/>
  <sheetViews>
    <sheetView showGridLines="0" tabSelected="1" zoomScale="75" workbookViewId="0">
      <pane ySplit="6" topLeftCell="A43" activePane="bottomLeft" state="frozen"/>
      <selection pane="bottomLeft" activeCell="H393" sqref="H393"/>
    </sheetView>
  </sheetViews>
  <sheetFormatPr baseColWidth="10" defaultColWidth="11.42578125" defaultRowHeight="14.25" x14ac:dyDescent="0.2"/>
  <cols>
    <col min="1" max="1" width="0.85546875" style="16" customWidth="1"/>
    <col min="2" max="2" width="1.140625" style="16" customWidth="1"/>
    <col min="3" max="4" width="7.7109375" style="6" customWidth="1"/>
    <col min="5" max="5" width="76.28515625" style="6" bestFit="1" customWidth="1"/>
    <col min="6" max="6" width="28" style="6" bestFit="1" customWidth="1"/>
    <col min="7" max="7" width="14.85546875" style="7" bestFit="1" customWidth="1"/>
    <col min="8" max="8" width="132.140625" style="6" bestFit="1" customWidth="1"/>
    <col min="9" max="9" width="18.85546875" style="6" hidden="1" customWidth="1"/>
    <col min="10" max="11" width="18.85546875" style="6" customWidth="1"/>
    <col min="12" max="12" width="17.140625" style="16" customWidth="1"/>
    <col min="13" max="36" width="11.42578125" style="16"/>
    <col min="37" max="16384" width="11.42578125" style="6"/>
  </cols>
  <sheetData>
    <row r="1" spans="3:15" s="15" customFormat="1" ht="64.5" customHeight="1" x14ac:dyDescent="0.2">
      <c r="F1" s="243"/>
      <c r="G1" s="243"/>
      <c r="H1" s="243"/>
      <c r="I1" s="28"/>
      <c r="J1" s="28"/>
      <c r="K1" s="28"/>
      <c r="L1" s="11"/>
      <c r="M1" s="11"/>
      <c r="N1" s="11"/>
      <c r="O1" s="11"/>
    </row>
    <row r="2" spans="3:15" s="15" customFormat="1" ht="20.25" customHeight="1" x14ac:dyDescent="0.2">
      <c r="F2" s="28"/>
      <c r="G2" s="28"/>
      <c r="H2" s="28"/>
      <c r="I2" s="28"/>
      <c r="J2" s="28"/>
      <c r="K2" s="28"/>
      <c r="L2" s="11"/>
      <c r="M2" s="11"/>
      <c r="N2" s="11"/>
      <c r="O2" s="11"/>
    </row>
    <row r="3" spans="3:15" s="15" customFormat="1" ht="20.25" customHeight="1" x14ac:dyDescent="0.2">
      <c r="C3" s="95" t="s">
        <v>134</v>
      </c>
      <c r="F3" s="28"/>
      <c r="G3" s="28"/>
      <c r="H3" s="28"/>
      <c r="I3" s="28"/>
      <c r="J3" s="28"/>
      <c r="K3" s="28"/>
      <c r="L3" s="11"/>
      <c r="M3" s="11"/>
      <c r="N3" s="11"/>
      <c r="O3" s="11"/>
    </row>
    <row r="4" spans="3:15" ht="15" thickBot="1" x14ac:dyDescent="0.25">
      <c r="C4" s="17"/>
      <c r="D4" s="17"/>
      <c r="E4" s="17"/>
      <c r="F4" s="17"/>
      <c r="G4" s="17"/>
      <c r="H4" s="17"/>
      <c r="I4" s="18"/>
      <c r="J4" s="18"/>
      <c r="K4" s="18"/>
    </row>
    <row r="5" spans="3:15" s="20" customFormat="1" ht="30" customHeight="1" thickBot="1" x14ac:dyDescent="0.25">
      <c r="C5" s="257" t="s">
        <v>107</v>
      </c>
      <c r="D5" s="257"/>
      <c r="E5" s="257" t="s">
        <v>37</v>
      </c>
      <c r="F5" s="257" t="s">
        <v>38</v>
      </c>
      <c r="G5" s="257" t="s">
        <v>39</v>
      </c>
      <c r="H5" s="257" t="s">
        <v>40</v>
      </c>
      <c r="I5" s="257" t="s">
        <v>41</v>
      </c>
      <c r="J5" s="258"/>
      <c r="K5" s="258"/>
    </row>
    <row r="6" spans="3:15" s="20" customFormat="1" ht="30" customHeight="1" thickBot="1" x14ac:dyDescent="0.25">
      <c r="C6" s="258"/>
      <c r="D6" s="258"/>
      <c r="E6" s="258"/>
      <c r="F6" s="258"/>
      <c r="G6" s="258"/>
      <c r="H6" s="258"/>
      <c r="I6" s="155" t="s">
        <v>12</v>
      </c>
      <c r="J6" s="155" t="s">
        <v>42</v>
      </c>
      <c r="K6" s="155" t="s">
        <v>2</v>
      </c>
    </row>
    <row r="7" spans="3:15" s="20" customFormat="1" ht="17.25" customHeight="1" thickBot="1" x14ac:dyDescent="0.25">
      <c r="C7" s="259"/>
      <c r="D7" s="260"/>
      <c r="E7" s="260"/>
      <c r="F7" s="260"/>
      <c r="G7" s="260"/>
      <c r="H7" s="260"/>
      <c r="I7" s="260"/>
      <c r="J7" s="260"/>
      <c r="K7" s="261"/>
    </row>
    <row r="8" spans="3:15" s="20" customFormat="1" ht="17.25" customHeight="1" thickBot="1" x14ac:dyDescent="0.25">
      <c r="C8" s="254" t="s">
        <v>88</v>
      </c>
      <c r="D8" s="255"/>
      <c r="E8" s="255"/>
      <c r="F8" s="255"/>
      <c r="G8" s="255"/>
      <c r="H8" s="255"/>
      <c r="I8" s="255"/>
      <c r="J8" s="255"/>
      <c r="K8" s="256"/>
    </row>
    <row r="9" spans="3:15" ht="19.5" customHeight="1" x14ac:dyDescent="0.2">
      <c r="C9" s="264">
        <v>1</v>
      </c>
      <c r="D9" s="265"/>
      <c r="E9" s="79" t="s">
        <v>356</v>
      </c>
      <c r="F9" s="29" t="s">
        <v>278</v>
      </c>
      <c r="G9" s="8">
        <v>44926</v>
      </c>
      <c r="H9" s="29" t="s">
        <v>277</v>
      </c>
      <c r="I9" s="31"/>
      <c r="J9" s="32">
        <v>58471.98</v>
      </c>
      <c r="K9" s="32">
        <f t="shared" ref="K9:K36" si="0">I9+J9</f>
        <v>58471.98</v>
      </c>
    </row>
    <row r="10" spans="3:15" ht="19.5" customHeight="1" x14ac:dyDescent="0.2">
      <c r="C10" s="264">
        <v>2</v>
      </c>
      <c r="D10" s="265"/>
      <c r="E10" s="80" t="s">
        <v>357</v>
      </c>
      <c r="F10" s="29" t="s">
        <v>278</v>
      </c>
      <c r="G10" s="8">
        <v>44926</v>
      </c>
      <c r="H10" s="29" t="s">
        <v>276</v>
      </c>
      <c r="I10" s="31"/>
      <c r="J10" s="32">
        <v>74547.92</v>
      </c>
      <c r="K10" s="32">
        <f t="shared" si="0"/>
        <v>74547.92</v>
      </c>
    </row>
    <row r="11" spans="3:15" ht="19.5" customHeight="1" x14ac:dyDescent="0.2">
      <c r="C11" s="264">
        <v>3</v>
      </c>
      <c r="D11" s="265"/>
      <c r="E11" s="80" t="s">
        <v>303</v>
      </c>
      <c r="F11" s="29" t="s">
        <v>278</v>
      </c>
      <c r="G11" s="8">
        <v>44926</v>
      </c>
      <c r="H11" s="29" t="s">
        <v>325</v>
      </c>
      <c r="I11" s="31"/>
      <c r="J11" s="32">
        <v>68951.37</v>
      </c>
      <c r="K11" s="32">
        <f t="shared" si="0"/>
        <v>68951.37</v>
      </c>
    </row>
    <row r="12" spans="3:15" ht="19.5" customHeight="1" x14ac:dyDescent="0.2">
      <c r="C12" s="264">
        <v>4</v>
      </c>
      <c r="D12" s="265"/>
      <c r="E12" s="80" t="s">
        <v>304</v>
      </c>
      <c r="F12" s="29" t="s">
        <v>278</v>
      </c>
      <c r="G12" s="8">
        <v>44926</v>
      </c>
      <c r="H12" s="29" t="s">
        <v>326</v>
      </c>
      <c r="I12" s="31"/>
      <c r="J12" s="32">
        <v>46231.35</v>
      </c>
      <c r="K12" s="32">
        <f t="shared" si="0"/>
        <v>46231.35</v>
      </c>
    </row>
    <row r="13" spans="3:15" ht="19.5" customHeight="1" x14ac:dyDescent="0.2">
      <c r="C13" s="264">
        <v>5</v>
      </c>
      <c r="D13" s="265"/>
      <c r="E13" s="80" t="s">
        <v>358</v>
      </c>
      <c r="F13" s="29" t="s">
        <v>278</v>
      </c>
      <c r="G13" s="8">
        <v>44926</v>
      </c>
      <c r="H13" s="29" t="s">
        <v>277</v>
      </c>
      <c r="I13" s="31"/>
      <c r="J13" s="32">
        <v>30511.87</v>
      </c>
      <c r="K13" s="32">
        <f t="shared" si="0"/>
        <v>30511.87</v>
      </c>
    </row>
    <row r="14" spans="3:15" ht="19.5" customHeight="1" x14ac:dyDescent="0.2">
      <c r="C14" s="264">
        <v>6</v>
      </c>
      <c r="D14" s="265"/>
      <c r="E14" s="80" t="s">
        <v>305</v>
      </c>
      <c r="F14" s="29" t="s">
        <v>278</v>
      </c>
      <c r="G14" s="8">
        <v>44926</v>
      </c>
      <c r="H14" s="29" t="s">
        <v>277</v>
      </c>
      <c r="I14" s="31"/>
      <c r="J14" s="32">
        <v>71044.929999999993</v>
      </c>
      <c r="K14" s="32">
        <f t="shared" si="0"/>
        <v>71044.929999999993</v>
      </c>
    </row>
    <row r="15" spans="3:15" ht="19.5" customHeight="1" x14ac:dyDescent="0.2">
      <c r="C15" s="264">
        <v>7</v>
      </c>
      <c r="D15" s="265"/>
      <c r="E15" s="80" t="s">
        <v>306</v>
      </c>
      <c r="F15" s="29" t="s">
        <v>278</v>
      </c>
      <c r="G15" s="8">
        <v>44926</v>
      </c>
      <c r="H15" s="29" t="s">
        <v>327</v>
      </c>
      <c r="I15" s="31"/>
      <c r="J15" s="32">
        <v>38099.58</v>
      </c>
      <c r="K15" s="32">
        <f t="shared" si="0"/>
        <v>38099.58</v>
      </c>
    </row>
    <row r="16" spans="3:15" ht="19.5" customHeight="1" x14ac:dyDescent="0.2">
      <c r="C16" s="264">
        <v>8</v>
      </c>
      <c r="D16" s="265"/>
      <c r="E16" s="80" t="s">
        <v>359</v>
      </c>
      <c r="F16" s="29" t="s">
        <v>278</v>
      </c>
      <c r="G16" s="8">
        <v>44926</v>
      </c>
      <c r="H16" s="29" t="s">
        <v>277</v>
      </c>
      <c r="I16" s="31"/>
      <c r="J16" s="32">
        <v>150556.23000000001</v>
      </c>
      <c r="K16" s="32">
        <f t="shared" si="0"/>
        <v>150556.23000000001</v>
      </c>
    </row>
    <row r="17" spans="3:11" ht="19.5" customHeight="1" x14ac:dyDescent="0.2">
      <c r="C17" s="264">
        <v>9</v>
      </c>
      <c r="D17" s="265"/>
      <c r="E17" s="80" t="s">
        <v>307</v>
      </c>
      <c r="F17" s="29" t="s">
        <v>278</v>
      </c>
      <c r="G17" s="8">
        <v>44926</v>
      </c>
      <c r="H17" s="29" t="s">
        <v>325</v>
      </c>
      <c r="I17" s="31"/>
      <c r="J17" s="32">
        <v>27660.85</v>
      </c>
      <c r="K17" s="32">
        <f t="shared" si="0"/>
        <v>27660.85</v>
      </c>
    </row>
    <row r="18" spans="3:11" ht="19.5" customHeight="1" x14ac:dyDescent="0.2">
      <c r="C18" s="264">
        <v>10</v>
      </c>
      <c r="D18" s="265"/>
      <c r="E18" s="80" t="s">
        <v>308</v>
      </c>
      <c r="F18" s="29" t="s">
        <v>278</v>
      </c>
      <c r="G18" s="8">
        <v>44926</v>
      </c>
      <c r="H18" s="29" t="s">
        <v>277</v>
      </c>
      <c r="I18" s="31"/>
      <c r="J18" s="32">
        <v>68960.22</v>
      </c>
      <c r="K18" s="32">
        <f t="shared" si="0"/>
        <v>68960.22</v>
      </c>
    </row>
    <row r="19" spans="3:11" ht="19.5" customHeight="1" x14ac:dyDescent="0.2">
      <c r="C19" s="264">
        <v>11</v>
      </c>
      <c r="D19" s="265"/>
      <c r="E19" s="80" t="s">
        <v>360</v>
      </c>
      <c r="F19" s="29" t="s">
        <v>278</v>
      </c>
      <c r="G19" s="8">
        <v>44926</v>
      </c>
      <c r="H19" s="29" t="s">
        <v>368</v>
      </c>
      <c r="I19" s="31"/>
      <c r="J19" s="32">
        <v>75962.61</v>
      </c>
      <c r="K19" s="32">
        <f t="shared" si="0"/>
        <v>75962.61</v>
      </c>
    </row>
    <row r="20" spans="3:11" ht="19.5" customHeight="1" x14ac:dyDescent="0.2">
      <c r="C20" s="264">
        <v>12</v>
      </c>
      <c r="D20" s="265"/>
      <c r="E20" s="80" t="s">
        <v>361</v>
      </c>
      <c r="F20" s="29" t="s">
        <v>278</v>
      </c>
      <c r="G20" s="8">
        <v>44926</v>
      </c>
      <c r="H20" s="29" t="s">
        <v>277</v>
      </c>
      <c r="I20" s="31"/>
      <c r="J20" s="32">
        <v>61761.15</v>
      </c>
      <c r="K20" s="32">
        <f t="shared" si="0"/>
        <v>61761.15</v>
      </c>
    </row>
    <row r="21" spans="3:11" ht="19.5" customHeight="1" x14ac:dyDescent="0.2">
      <c r="C21" s="264">
        <v>13</v>
      </c>
      <c r="D21" s="265"/>
      <c r="E21" s="80" t="s">
        <v>309</v>
      </c>
      <c r="F21" s="29" t="s">
        <v>278</v>
      </c>
      <c r="G21" s="8">
        <v>44926</v>
      </c>
      <c r="H21" s="29" t="s">
        <v>327</v>
      </c>
      <c r="I21" s="31"/>
      <c r="J21" s="32">
        <v>72098.92</v>
      </c>
      <c r="K21" s="32">
        <f t="shared" si="0"/>
        <v>72098.92</v>
      </c>
    </row>
    <row r="22" spans="3:11" ht="19.5" customHeight="1" x14ac:dyDescent="0.2">
      <c r="C22" s="264">
        <v>14</v>
      </c>
      <c r="D22" s="265"/>
      <c r="E22" s="80" t="s">
        <v>310</v>
      </c>
      <c r="F22" s="29" t="s">
        <v>278</v>
      </c>
      <c r="G22" s="8">
        <v>44926</v>
      </c>
      <c r="H22" s="29" t="s">
        <v>328</v>
      </c>
      <c r="I22" s="31"/>
      <c r="J22" s="32">
        <v>69812.539999999994</v>
      </c>
      <c r="K22" s="32">
        <f t="shared" si="0"/>
        <v>69812.539999999994</v>
      </c>
    </row>
    <row r="23" spans="3:11" ht="19.5" customHeight="1" x14ac:dyDescent="0.2">
      <c r="C23" s="264">
        <v>15</v>
      </c>
      <c r="D23" s="265"/>
      <c r="E23" s="80" t="s">
        <v>311</v>
      </c>
      <c r="F23" s="29" t="s">
        <v>278</v>
      </c>
      <c r="G23" s="8">
        <v>44926</v>
      </c>
      <c r="H23" s="29" t="s">
        <v>277</v>
      </c>
      <c r="I23" s="31"/>
      <c r="J23" s="32">
        <v>71598.350000000006</v>
      </c>
      <c r="K23" s="32">
        <f t="shared" si="0"/>
        <v>71598.350000000006</v>
      </c>
    </row>
    <row r="24" spans="3:11" ht="19.5" customHeight="1" x14ac:dyDescent="0.2">
      <c r="C24" s="264">
        <v>16</v>
      </c>
      <c r="D24" s="265"/>
      <c r="E24" s="80" t="s">
        <v>362</v>
      </c>
      <c r="F24" s="29" t="s">
        <v>278</v>
      </c>
      <c r="G24" s="8">
        <v>44926</v>
      </c>
      <c r="H24" s="29" t="s">
        <v>277</v>
      </c>
      <c r="I24" s="31"/>
      <c r="J24" s="32">
        <v>67006.69</v>
      </c>
      <c r="K24" s="32">
        <f t="shared" si="0"/>
        <v>67006.69</v>
      </c>
    </row>
    <row r="25" spans="3:11" ht="19.5" customHeight="1" x14ac:dyDescent="0.2">
      <c r="C25" s="264">
        <v>17</v>
      </c>
      <c r="D25" s="265"/>
      <c r="E25" s="80" t="s">
        <v>363</v>
      </c>
      <c r="F25" s="29" t="s">
        <v>278</v>
      </c>
      <c r="G25" s="8">
        <v>44926</v>
      </c>
      <c r="H25" s="29" t="s">
        <v>327</v>
      </c>
      <c r="I25" s="31"/>
      <c r="J25" s="32">
        <v>49383.33</v>
      </c>
      <c r="K25" s="32">
        <f t="shared" si="0"/>
        <v>49383.33</v>
      </c>
    </row>
    <row r="26" spans="3:11" ht="19.5" customHeight="1" x14ac:dyDescent="0.2">
      <c r="C26" s="264">
        <v>18</v>
      </c>
      <c r="D26" s="265"/>
      <c r="E26" s="80" t="s">
        <v>312</v>
      </c>
      <c r="F26" s="29" t="s">
        <v>278</v>
      </c>
      <c r="G26" s="8">
        <v>44926</v>
      </c>
      <c r="H26" s="29" t="s">
        <v>285</v>
      </c>
      <c r="I26" s="31"/>
      <c r="J26" s="32">
        <v>65015.48</v>
      </c>
      <c r="K26" s="32">
        <f t="shared" si="0"/>
        <v>65015.48</v>
      </c>
    </row>
    <row r="27" spans="3:11" ht="19.5" customHeight="1" x14ac:dyDescent="0.2">
      <c r="C27" s="264">
        <v>19</v>
      </c>
      <c r="D27" s="265"/>
      <c r="E27" s="80" t="s">
        <v>313</v>
      </c>
      <c r="F27" s="29" t="s">
        <v>278</v>
      </c>
      <c r="G27" s="8">
        <v>44926</v>
      </c>
      <c r="H27" s="29" t="s">
        <v>329</v>
      </c>
      <c r="I27" s="31"/>
      <c r="J27" s="32">
        <v>48695.41</v>
      </c>
      <c r="K27" s="32">
        <f t="shared" si="0"/>
        <v>48695.41</v>
      </c>
    </row>
    <row r="28" spans="3:11" ht="28.5" x14ac:dyDescent="0.2">
      <c r="C28" s="264">
        <v>20</v>
      </c>
      <c r="D28" s="265"/>
      <c r="E28" s="80" t="s">
        <v>314</v>
      </c>
      <c r="F28" s="29" t="s">
        <v>278</v>
      </c>
      <c r="G28" s="8">
        <v>44926</v>
      </c>
      <c r="H28" s="306" t="s">
        <v>330</v>
      </c>
      <c r="I28" s="31"/>
      <c r="J28" s="32">
        <v>69976.639999999999</v>
      </c>
      <c r="K28" s="32">
        <f t="shared" si="0"/>
        <v>69976.639999999999</v>
      </c>
    </row>
    <row r="29" spans="3:11" ht="19.5" customHeight="1" x14ac:dyDescent="0.2">
      <c r="C29" s="264">
        <v>21</v>
      </c>
      <c r="D29" s="265"/>
      <c r="E29" s="80" t="s">
        <v>279</v>
      </c>
      <c r="F29" s="29" t="s">
        <v>278</v>
      </c>
      <c r="G29" s="8">
        <v>44926</v>
      </c>
      <c r="H29" s="29" t="s">
        <v>284</v>
      </c>
      <c r="I29" s="31"/>
      <c r="J29" s="32">
        <v>75486.02</v>
      </c>
      <c r="K29" s="32">
        <f t="shared" si="0"/>
        <v>75486.02</v>
      </c>
    </row>
    <row r="30" spans="3:11" ht="19.5" customHeight="1" x14ac:dyDescent="0.2">
      <c r="C30" s="264">
        <v>22</v>
      </c>
      <c r="D30" s="265"/>
      <c r="E30" s="80" t="s">
        <v>315</v>
      </c>
      <c r="F30" s="29" t="s">
        <v>278</v>
      </c>
      <c r="G30" s="8">
        <v>44926</v>
      </c>
      <c r="H30" s="29" t="s">
        <v>331</v>
      </c>
      <c r="I30" s="31"/>
      <c r="J30" s="32">
        <v>42515.839999999997</v>
      </c>
      <c r="K30" s="32">
        <f t="shared" si="0"/>
        <v>42515.839999999997</v>
      </c>
    </row>
    <row r="31" spans="3:11" ht="19.5" customHeight="1" x14ac:dyDescent="0.2">
      <c r="C31" s="264">
        <v>23</v>
      </c>
      <c r="D31" s="265"/>
      <c r="E31" s="80" t="s">
        <v>316</v>
      </c>
      <c r="F31" s="29" t="s">
        <v>278</v>
      </c>
      <c r="G31" s="8">
        <v>44926</v>
      </c>
      <c r="H31" s="29" t="s">
        <v>332</v>
      </c>
      <c r="I31" s="31"/>
      <c r="J31" s="32">
        <v>74192.759999999995</v>
      </c>
      <c r="K31" s="32">
        <f t="shared" si="0"/>
        <v>74192.759999999995</v>
      </c>
    </row>
    <row r="32" spans="3:11" ht="19.5" customHeight="1" x14ac:dyDescent="0.2">
      <c r="C32" s="264">
        <v>24</v>
      </c>
      <c r="D32" s="265"/>
      <c r="E32" s="80" t="s">
        <v>317</v>
      </c>
      <c r="F32" s="29" t="s">
        <v>278</v>
      </c>
      <c r="G32" s="8">
        <v>44926</v>
      </c>
      <c r="H32" s="29" t="s">
        <v>327</v>
      </c>
      <c r="I32" s="31"/>
      <c r="J32" s="32">
        <v>64204.6</v>
      </c>
      <c r="K32" s="32">
        <f t="shared" si="0"/>
        <v>64204.6</v>
      </c>
    </row>
    <row r="33" spans="3:11" ht="19.5" customHeight="1" x14ac:dyDescent="0.2">
      <c r="C33" s="264">
        <v>25</v>
      </c>
      <c r="D33" s="265"/>
      <c r="E33" s="80" t="s">
        <v>364</v>
      </c>
      <c r="F33" s="29" t="s">
        <v>278</v>
      </c>
      <c r="G33" s="8">
        <v>44926</v>
      </c>
      <c r="H33" s="29" t="s">
        <v>332</v>
      </c>
      <c r="I33" s="31"/>
      <c r="J33" s="32">
        <v>81195.02</v>
      </c>
      <c r="K33" s="32">
        <f t="shared" si="0"/>
        <v>81195.02</v>
      </c>
    </row>
    <row r="34" spans="3:11" ht="28.5" x14ac:dyDescent="0.2">
      <c r="C34" s="264">
        <v>26</v>
      </c>
      <c r="D34" s="265"/>
      <c r="E34" s="80" t="s">
        <v>365</v>
      </c>
      <c r="F34" s="29" t="s">
        <v>278</v>
      </c>
      <c r="G34" s="8">
        <v>44926</v>
      </c>
      <c r="H34" s="306" t="s">
        <v>369</v>
      </c>
      <c r="I34" s="31"/>
      <c r="J34" s="32">
        <v>72809.3</v>
      </c>
      <c r="K34" s="32">
        <f t="shared" si="0"/>
        <v>72809.3</v>
      </c>
    </row>
    <row r="35" spans="3:11" ht="19.5" customHeight="1" x14ac:dyDescent="0.2">
      <c r="C35" s="264">
        <v>27</v>
      </c>
      <c r="D35" s="265"/>
      <c r="E35" s="80" t="s">
        <v>280</v>
      </c>
      <c r="F35" s="29" t="s">
        <v>278</v>
      </c>
      <c r="G35" s="8">
        <v>44926</v>
      </c>
      <c r="H35" s="29" t="s">
        <v>285</v>
      </c>
      <c r="I35" s="31"/>
      <c r="J35" s="32">
        <v>72765.14</v>
      </c>
      <c r="K35" s="32">
        <f t="shared" si="0"/>
        <v>72765.14</v>
      </c>
    </row>
    <row r="36" spans="3:11" ht="19.5" customHeight="1" x14ac:dyDescent="0.2">
      <c r="C36" s="264">
        <v>28</v>
      </c>
      <c r="D36" s="265"/>
      <c r="E36" s="80" t="s">
        <v>318</v>
      </c>
      <c r="F36" s="29" t="s">
        <v>278</v>
      </c>
      <c r="G36" s="8">
        <v>44926</v>
      </c>
      <c r="H36" s="29" t="s">
        <v>277</v>
      </c>
      <c r="I36" s="31"/>
      <c r="J36" s="32">
        <v>63216.78</v>
      </c>
      <c r="K36" s="32">
        <f t="shared" si="0"/>
        <v>63216.78</v>
      </c>
    </row>
    <row r="37" spans="3:11" ht="19.5" customHeight="1" x14ac:dyDescent="0.2">
      <c r="C37" s="264">
        <v>29</v>
      </c>
      <c r="D37" s="265"/>
      <c r="E37" s="80" t="s">
        <v>281</v>
      </c>
      <c r="F37" s="29" t="s">
        <v>278</v>
      </c>
      <c r="G37" s="8">
        <v>44926</v>
      </c>
      <c r="H37" s="29" t="s">
        <v>277</v>
      </c>
      <c r="I37" s="31"/>
      <c r="J37" s="33">
        <v>58426.54</v>
      </c>
      <c r="K37" s="32">
        <f t="shared" ref="K37:K49" si="1">I37+J37</f>
        <v>58426.54</v>
      </c>
    </row>
    <row r="38" spans="3:11" ht="19.5" customHeight="1" x14ac:dyDescent="0.2">
      <c r="C38" s="264">
        <v>30</v>
      </c>
      <c r="D38" s="265"/>
      <c r="E38" s="80" t="s">
        <v>366</v>
      </c>
      <c r="F38" s="29" t="s">
        <v>278</v>
      </c>
      <c r="G38" s="8">
        <v>44926</v>
      </c>
      <c r="H38" s="29" t="s">
        <v>327</v>
      </c>
      <c r="I38" s="31"/>
      <c r="J38" s="33">
        <v>73281.98</v>
      </c>
      <c r="K38" s="32">
        <f t="shared" si="1"/>
        <v>73281.98</v>
      </c>
    </row>
    <row r="39" spans="3:11" ht="28.5" x14ac:dyDescent="0.2">
      <c r="C39" s="264">
        <v>31</v>
      </c>
      <c r="D39" s="265"/>
      <c r="E39" s="80" t="s">
        <v>319</v>
      </c>
      <c r="F39" s="29" t="s">
        <v>278</v>
      </c>
      <c r="G39" s="8">
        <v>44926</v>
      </c>
      <c r="H39" s="306" t="s">
        <v>333</v>
      </c>
      <c r="I39" s="31"/>
      <c r="J39" s="33">
        <v>71920.62</v>
      </c>
      <c r="K39" s="32">
        <f t="shared" si="1"/>
        <v>71920.62</v>
      </c>
    </row>
    <row r="40" spans="3:11" ht="19.5" customHeight="1" x14ac:dyDescent="0.2">
      <c r="C40" s="264">
        <v>32</v>
      </c>
      <c r="D40" s="265"/>
      <c r="E40" s="80" t="s">
        <v>320</v>
      </c>
      <c r="F40" s="29" t="s">
        <v>278</v>
      </c>
      <c r="G40" s="8">
        <v>44926</v>
      </c>
      <c r="H40" s="29" t="s">
        <v>334</v>
      </c>
      <c r="I40" s="31"/>
      <c r="J40" s="33">
        <v>55358.36</v>
      </c>
      <c r="K40" s="32">
        <f t="shared" si="1"/>
        <v>55358.36</v>
      </c>
    </row>
    <row r="41" spans="3:11" ht="19.5" customHeight="1" x14ac:dyDescent="0.2">
      <c r="C41" s="264">
        <v>33</v>
      </c>
      <c r="D41" s="265"/>
      <c r="E41" s="80" t="s">
        <v>282</v>
      </c>
      <c r="F41" s="29" t="s">
        <v>278</v>
      </c>
      <c r="G41" s="8">
        <v>44926</v>
      </c>
      <c r="H41" s="29" t="s">
        <v>276</v>
      </c>
      <c r="I41" s="31"/>
      <c r="J41" s="33">
        <v>72092.95</v>
      </c>
      <c r="K41" s="32">
        <f t="shared" si="1"/>
        <v>72092.95</v>
      </c>
    </row>
    <row r="42" spans="3:11" ht="19.5" customHeight="1" x14ac:dyDescent="0.2">
      <c r="C42" s="264">
        <v>34</v>
      </c>
      <c r="D42" s="265"/>
      <c r="E42" s="80" t="s">
        <v>321</v>
      </c>
      <c r="F42" s="29" t="s">
        <v>278</v>
      </c>
      <c r="G42" s="8">
        <v>44926</v>
      </c>
      <c r="H42" s="29" t="s">
        <v>277</v>
      </c>
      <c r="I42" s="31"/>
      <c r="J42" s="33">
        <v>69132.36</v>
      </c>
      <c r="K42" s="32">
        <f t="shared" si="1"/>
        <v>69132.36</v>
      </c>
    </row>
    <row r="43" spans="3:11" ht="19.5" customHeight="1" x14ac:dyDescent="0.2">
      <c r="C43" s="264">
        <v>35</v>
      </c>
      <c r="D43" s="265"/>
      <c r="E43" s="80" t="s">
        <v>322</v>
      </c>
      <c r="F43" s="29" t="s">
        <v>278</v>
      </c>
      <c r="G43" s="8">
        <v>44926</v>
      </c>
      <c r="H43" s="29" t="s">
        <v>277</v>
      </c>
      <c r="I43" s="31"/>
      <c r="J43" s="33">
        <v>90333.07</v>
      </c>
      <c r="K43" s="32">
        <f t="shared" si="1"/>
        <v>90333.07</v>
      </c>
    </row>
    <row r="44" spans="3:11" ht="19.5" customHeight="1" x14ac:dyDescent="0.2">
      <c r="C44" s="264">
        <v>36</v>
      </c>
      <c r="D44" s="265"/>
      <c r="E44" s="80" t="s">
        <v>283</v>
      </c>
      <c r="F44" s="29" t="s">
        <v>278</v>
      </c>
      <c r="G44" s="8">
        <v>44926</v>
      </c>
      <c r="H44" s="29" t="s">
        <v>277</v>
      </c>
      <c r="I44" s="31"/>
      <c r="J44" s="33">
        <v>71980.86</v>
      </c>
      <c r="K44" s="32">
        <f t="shared" si="1"/>
        <v>71980.86</v>
      </c>
    </row>
    <row r="45" spans="3:11" ht="19.5" customHeight="1" x14ac:dyDescent="0.2">
      <c r="C45" s="264">
        <v>37</v>
      </c>
      <c r="D45" s="265"/>
      <c r="E45" s="80" t="s">
        <v>323</v>
      </c>
      <c r="F45" s="29" t="s">
        <v>278</v>
      </c>
      <c r="G45" s="8">
        <v>44926</v>
      </c>
      <c r="H45" s="29" t="s">
        <v>277</v>
      </c>
      <c r="I45" s="31"/>
      <c r="J45" s="33">
        <v>50556.55</v>
      </c>
      <c r="K45" s="32">
        <f t="shared" si="1"/>
        <v>50556.55</v>
      </c>
    </row>
    <row r="46" spans="3:11" ht="19.5" customHeight="1" x14ac:dyDescent="0.2">
      <c r="C46" s="264">
        <v>38</v>
      </c>
      <c r="D46" s="265"/>
      <c r="E46" s="80" t="s">
        <v>367</v>
      </c>
      <c r="F46" s="29" t="s">
        <v>278</v>
      </c>
      <c r="G46" s="8">
        <v>44926</v>
      </c>
      <c r="H46" s="29" t="s">
        <v>370</v>
      </c>
      <c r="I46" s="31"/>
      <c r="J46" s="33">
        <v>72081.48</v>
      </c>
      <c r="K46" s="32">
        <f t="shared" si="1"/>
        <v>72081.48</v>
      </c>
    </row>
    <row r="47" spans="3:11" ht="19.5" customHeight="1" thickBot="1" x14ac:dyDescent="0.25">
      <c r="C47" s="264">
        <v>39</v>
      </c>
      <c r="D47" s="265"/>
      <c r="E47" s="80" t="s">
        <v>324</v>
      </c>
      <c r="F47" s="29" t="s">
        <v>278</v>
      </c>
      <c r="G47" s="8">
        <v>44926</v>
      </c>
      <c r="H47" s="29" t="s">
        <v>277</v>
      </c>
      <c r="I47" s="31"/>
      <c r="J47" s="33">
        <v>47794.09</v>
      </c>
      <c r="K47" s="32">
        <f t="shared" si="1"/>
        <v>47794.09</v>
      </c>
    </row>
    <row r="48" spans="3:11" ht="19.5" hidden="1" customHeight="1" x14ac:dyDescent="0.2">
      <c r="C48" s="264">
        <v>40</v>
      </c>
      <c r="D48" s="265"/>
      <c r="E48" s="80"/>
      <c r="F48" s="29" t="s">
        <v>278</v>
      </c>
      <c r="G48" s="8">
        <v>44926</v>
      </c>
      <c r="H48" s="29"/>
      <c r="I48" s="31"/>
      <c r="J48" s="33"/>
      <c r="K48" s="32">
        <f t="shared" si="1"/>
        <v>0</v>
      </c>
    </row>
    <row r="49" spans="3:11" ht="19.5" hidden="1" customHeight="1" thickBot="1" x14ac:dyDescent="0.25">
      <c r="C49" s="264">
        <v>41</v>
      </c>
      <c r="D49" s="265"/>
      <c r="E49" s="24"/>
      <c r="F49" s="29" t="s">
        <v>278</v>
      </c>
      <c r="G49" s="8">
        <v>44926</v>
      </c>
      <c r="H49" s="29"/>
      <c r="I49" s="31"/>
      <c r="J49" s="33"/>
      <c r="K49" s="32">
        <f t="shared" si="1"/>
        <v>0</v>
      </c>
    </row>
    <row r="50" spans="3:11" s="21" customFormat="1" ht="19.5" customHeight="1" thickBot="1" x14ac:dyDescent="0.25">
      <c r="C50" s="193" t="s">
        <v>36</v>
      </c>
      <c r="D50" s="270"/>
      <c r="E50" s="270"/>
      <c r="F50" s="270"/>
      <c r="G50" s="270"/>
      <c r="H50" s="271"/>
      <c r="I50" s="156">
        <f>SUM(I9:I49)</f>
        <v>0</v>
      </c>
      <c r="J50" s="156">
        <f>SUM(J9:J49)</f>
        <v>2565691.7399999993</v>
      </c>
      <c r="K50" s="156">
        <f>SUM(K9:K49)</f>
        <v>2565691.7399999993</v>
      </c>
    </row>
    <row r="51" spans="3:11" s="20" customFormat="1" ht="17.25" hidden="1" customHeight="1" thickBot="1" x14ac:dyDescent="0.25">
      <c r="C51" s="259"/>
      <c r="D51" s="260"/>
      <c r="E51" s="260"/>
      <c r="F51" s="260"/>
      <c r="G51" s="260"/>
      <c r="H51" s="260"/>
      <c r="I51" s="260"/>
      <c r="J51" s="260"/>
      <c r="K51" s="261"/>
    </row>
    <row r="52" spans="3:11" s="20" customFormat="1" ht="17.25" hidden="1" customHeight="1" thickBot="1" x14ac:dyDescent="0.25">
      <c r="C52" s="266" t="s">
        <v>89</v>
      </c>
      <c r="D52" s="267"/>
      <c r="E52" s="267"/>
      <c r="F52" s="267"/>
      <c r="G52" s="267"/>
      <c r="H52" s="267"/>
      <c r="I52" s="267"/>
      <c r="J52" s="267"/>
      <c r="K52" s="267"/>
    </row>
    <row r="53" spans="3:11" ht="19.5" hidden="1" customHeight="1" x14ac:dyDescent="0.2">
      <c r="C53" s="252">
        <v>1</v>
      </c>
      <c r="D53" s="253"/>
      <c r="E53" s="25"/>
      <c r="F53" s="9"/>
      <c r="G53" s="8"/>
      <c r="H53" s="40"/>
      <c r="I53" s="34"/>
      <c r="J53" s="35"/>
      <c r="K53" s="32">
        <f>I53</f>
        <v>0</v>
      </c>
    </row>
    <row r="54" spans="3:11" ht="19.5" hidden="1" customHeight="1" x14ac:dyDescent="0.2">
      <c r="C54" s="262">
        <f t="shared" ref="C54:C62" si="2">C53+1</f>
        <v>2</v>
      </c>
      <c r="D54" s="263"/>
      <c r="E54" s="23"/>
      <c r="F54" s="9"/>
      <c r="G54" s="8"/>
      <c r="H54" s="41"/>
      <c r="I54" s="32"/>
      <c r="J54" s="36"/>
      <c r="K54" s="32">
        <f t="shared" ref="K54:K62" si="3">I54</f>
        <v>0</v>
      </c>
    </row>
    <row r="55" spans="3:11" ht="19.5" hidden="1" customHeight="1" x14ac:dyDescent="0.2">
      <c r="C55" s="262">
        <f t="shared" si="2"/>
        <v>3</v>
      </c>
      <c r="D55" s="263"/>
      <c r="E55" s="23"/>
      <c r="F55" s="9"/>
      <c r="G55" s="8"/>
      <c r="H55" s="30"/>
      <c r="I55" s="32"/>
      <c r="J55" s="36"/>
      <c r="K55" s="32">
        <f t="shared" si="3"/>
        <v>0</v>
      </c>
    </row>
    <row r="56" spans="3:11" ht="19.5" hidden="1" customHeight="1" x14ac:dyDescent="0.2">
      <c r="C56" s="262">
        <f t="shared" si="2"/>
        <v>4</v>
      </c>
      <c r="D56" s="263"/>
      <c r="E56" s="23"/>
      <c r="F56" s="9"/>
      <c r="G56" s="8"/>
      <c r="H56" s="30"/>
      <c r="I56" s="32"/>
      <c r="J56" s="36"/>
      <c r="K56" s="32">
        <f t="shared" si="3"/>
        <v>0</v>
      </c>
    </row>
    <row r="57" spans="3:11" ht="19.5" hidden="1" customHeight="1" x14ac:dyDescent="0.2">
      <c r="C57" s="262">
        <f t="shared" si="2"/>
        <v>5</v>
      </c>
      <c r="D57" s="263"/>
      <c r="E57" s="23"/>
      <c r="F57" s="9"/>
      <c r="G57" s="8"/>
      <c r="H57" s="30"/>
      <c r="I57" s="32"/>
      <c r="J57" s="36"/>
      <c r="K57" s="32">
        <f t="shared" si="3"/>
        <v>0</v>
      </c>
    </row>
    <row r="58" spans="3:11" ht="19.5" hidden="1" customHeight="1" x14ac:dyDescent="0.2">
      <c r="C58" s="262">
        <f t="shared" si="2"/>
        <v>6</v>
      </c>
      <c r="D58" s="263"/>
      <c r="E58" s="23"/>
      <c r="F58" s="9"/>
      <c r="G58" s="8"/>
      <c r="H58" s="30"/>
      <c r="I58" s="32"/>
      <c r="J58" s="36"/>
      <c r="K58" s="32">
        <f t="shared" si="3"/>
        <v>0</v>
      </c>
    </row>
    <row r="59" spans="3:11" ht="19.5" hidden="1" customHeight="1" x14ac:dyDescent="0.2">
      <c r="C59" s="262">
        <f t="shared" si="2"/>
        <v>7</v>
      </c>
      <c r="D59" s="263"/>
      <c r="E59" s="23"/>
      <c r="F59" s="9"/>
      <c r="G59" s="8"/>
      <c r="H59" s="30"/>
      <c r="I59" s="32"/>
      <c r="J59" s="36"/>
      <c r="K59" s="32">
        <f t="shared" si="3"/>
        <v>0</v>
      </c>
    </row>
    <row r="60" spans="3:11" ht="19.5" hidden="1" customHeight="1" x14ac:dyDescent="0.2">
      <c r="C60" s="262">
        <f t="shared" si="2"/>
        <v>8</v>
      </c>
      <c r="D60" s="263"/>
      <c r="E60" s="23"/>
      <c r="F60" s="9"/>
      <c r="G60" s="8"/>
      <c r="H60" s="30"/>
      <c r="I60" s="32"/>
      <c r="J60" s="36"/>
      <c r="K60" s="32">
        <f t="shared" si="3"/>
        <v>0</v>
      </c>
    </row>
    <row r="61" spans="3:11" ht="19.5" hidden="1" customHeight="1" x14ac:dyDescent="0.2">
      <c r="C61" s="262">
        <f t="shared" si="2"/>
        <v>9</v>
      </c>
      <c r="D61" s="263"/>
      <c r="E61" s="23"/>
      <c r="F61" s="9"/>
      <c r="G61" s="8"/>
      <c r="H61" s="30"/>
      <c r="I61" s="32"/>
      <c r="J61" s="36"/>
      <c r="K61" s="32">
        <f t="shared" si="3"/>
        <v>0</v>
      </c>
    </row>
    <row r="62" spans="3:11" ht="19.5" hidden="1" customHeight="1" thickBot="1" x14ac:dyDescent="0.25">
      <c r="C62" s="262">
        <f t="shared" si="2"/>
        <v>10</v>
      </c>
      <c r="D62" s="263"/>
      <c r="E62" s="24"/>
      <c r="F62" s="9"/>
      <c r="G62" s="8"/>
      <c r="H62" s="30"/>
      <c r="I62" s="37"/>
      <c r="J62" s="36"/>
      <c r="K62" s="32">
        <f t="shared" si="3"/>
        <v>0</v>
      </c>
    </row>
    <row r="63" spans="3:11" s="21" customFormat="1" ht="19.5" hidden="1" customHeight="1" thickBot="1" x14ac:dyDescent="0.25">
      <c r="C63" s="193" t="s">
        <v>36</v>
      </c>
      <c r="D63" s="268"/>
      <c r="E63" s="268"/>
      <c r="F63" s="268"/>
      <c r="G63" s="268"/>
      <c r="H63" s="269"/>
      <c r="I63" s="156">
        <f>SUM(I53:I62)</f>
        <v>0</v>
      </c>
      <c r="J63" s="38"/>
      <c r="K63" s="156">
        <f>SUM(K53:K62)</f>
        <v>0</v>
      </c>
    </row>
    <row r="64" spans="3:11" s="21" customFormat="1" ht="19.5" customHeight="1" thickBot="1" x14ac:dyDescent="0.25">
      <c r="C64" s="274"/>
      <c r="D64" s="275"/>
      <c r="E64" s="275"/>
      <c r="F64" s="275"/>
      <c r="G64" s="275"/>
      <c r="H64" s="275"/>
      <c r="I64" s="275"/>
      <c r="J64" s="275"/>
      <c r="K64" s="275"/>
    </row>
    <row r="65" spans="3:11" s="21" customFormat="1" ht="32.25" customHeight="1" thickBot="1" x14ac:dyDescent="0.25">
      <c r="C65" s="257" t="s">
        <v>107</v>
      </c>
      <c r="D65" s="257"/>
      <c r="E65" s="257" t="s">
        <v>43</v>
      </c>
      <c r="F65" s="257" t="s">
        <v>44</v>
      </c>
      <c r="G65" s="257" t="s">
        <v>39</v>
      </c>
      <c r="H65" s="257" t="s">
        <v>30</v>
      </c>
      <c r="I65" s="257" t="s">
        <v>41</v>
      </c>
      <c r="J65" s="258"/>
      <c r="K65" s="258"/>
    </row>
    <row r="66" spans="3:11" s="21" customFormat="1" ht="30.75" customHeight="1" thickBot="1" x14ac:dyDescent="0.25">
      <c r="C66" s="258"/>
      <c r="D66" s="258"/>
      <c r="E66" s="258"/>
      <c r="F66" s="258"/>
      <c r="G66" s="258"/>
      <c r="H66" s="258"/>
      <c r="I66" s="155" t="s">
        <v>12</v>
      </c>
      <c r="J66" s="155" t="s">
        <v>42</v>
      </c>
      <c r="K66" s="155" t="s">
        <v>2</v>
      </c>
    </row>
    <row r="67" spans="3:11" s="20" customFormat="1" ht="17.25" hidden="1" customHeight="1" thickBot="1" x14ac:dyDescent="0.25">
      <c r="C67" s="274"/>
      <c r="D67" s="275"/>
      <c r="E67" s="275"/>
      <c r="F67" s="275"/>
      <c r="G67" s="275"/>
      <c r="H67" s="275"/>
      <c r="I67" s="275"/>
      <c r="J67" s="275"/>
      <c r="K67" s="275"/>
    </row>
    <row r="68" spans="3:11" s="20" customFormat="1" ht="17.25" hidden="1" customHeight="1" thickBot="1" x14ac:dyDescent="0.25">
      <c r="C68" s="254" t="s">
        <v>90</v>
      </c>
      <c r="D68" s="255"/>
      <c r="E68" s="255"/>
      <c r="F68" s="255"/>
      <c r="G68" s="255"/>
      <c r="H68" s="255"/>
      <c r="I68" s="255"/>
      <c r="J68" s="255"/>
      <c r="K68" s="256"/>
    </row>
    <row r="69" spans="3:11" ht="19.5" hidden="1" customHeight="1" x14ac:dyDescent="0.2">
      <c r="C69" s="276">
        <v>1</v>
      </c>
      <c r="D69" s="277"/>
      <c r="E69" s="25"/>
      <c r="F69" s="9"/>
      <c r="G69" s="8"/>
      <c r="H69" s="29"/>
      <c r="I69" s="34"/>
      <c r="J69" s="32"/>
      <c r="K69" s="32">
        <f>I69+J69</f>
        <v>0</v>
      </c>
    </row>
    <row r="70" spans="3:11" ht="19.5" hidden="1" customHeight="1" x14ac:dyDescent="0.2">
      <c r="C70" s="272">
        <f t="shared" ref="C70:C78" si="4">C69+1</f>
        <v>2</v>
      </c>
      <c r="D70" s="273"/>
      <c r="E70" s="23"/>
      <c r="F70" s="9"/>
      <c r="G70" s="8"/>
      <c r="H70" s="29"/>
      <c r="I70" s="32"/>
      <c r="J70" s="33"/>
      <c r="K70" s="32">
        <f t="shared" ref="K70:K78" si="5">I70+J70</f>
        <v>0</v>
      </c>
    </row>
    <row r="71" spans="3:11" ht="19.5" hidden="1" customHeight="1" x14ac:dyDescent="0.2">
      <c r="C71" s="272">
        <f t="shared" si="4"/>
        <v>3</v>
      </c>
      <c r="D71" s="273"/>
      <c r="E71" s="23"/>
      <c r="F71" s="9"/>
      <c r="G71" s="8"/>
      <c r="H71" s="29"/>
      <c r="I71" s="32"/>
      <c r="J71" s="33"/>
      <c r="K71" s="32">
        <f t="shared" si="5"/>
        <v>0</v>
      </c>
    </row>
    <row r="72" spans="3:11" ht="19.5" hidden="1" customHeight="1" x14ac:dyDescent="0.2">
      <c r="C72" s="272">
        <f t="shared" si="4"/>
        <v>4</v>
      </c>
      <c r="D72" s="273"/>
      <c r="E72" s="23"/>
      <c r="F72" s="9"/>
      <c r="G72" s="8"/>
      <c r="H72" s="29"/>
      <c r="I72" s="32"/>
      <c r="J72" s="33"/>
      <c r="K72" s="32">
        <f t="shared" si="5"/>
        <v>0</v>
      </c>
    </row>
    <row r="73" spans="3:11" ht="19.5" hidden="1" customHeight="1" x14ac:dyDescent="0.2">
      <c r="C73" s="272">
        <f t="shared" si="4"/>
        <v>5</v>
      </c>
      <c r="D73" s="273"/>
      <c r="E73" s="23"/>
      <c r="F73" s="9"/>
      <c r="G73" s="8"/>
      <c r="H73" s="29"/>
      <c r="I73" s="32"/>
      <c r="J73" s="33"/>
      <c r="K73" s="32">
        <f t="shared" si="5"/>
        <v>0</v>
      </c>
    </row>
    <row r="74" spans="3:11" ht="19.5" hidden="1" customHeight="1" x14ac:dyDescent="0.2">
      <c r="C74" s="272">
        <f t="shared" si="4"/>
        <v>6</v>
      </c>
      <c r="D74" s="273"/>
      <c r="E74" s="23"/>
      <c r="F74" s="9"/>
      <c r="G74" s="8"/>
      <c r="H74" s="29"/>
      <c r="I74" s="32"/>
      <c r="J74" s="33"/>
      <c r="K74" s="32">
        <f t="shared" si="5"/>
        <v>0</v>
      </c>
    </row>
    <row r="75" spans="3:11" ht="19.5" hidden="1" customHeight="1" x14ac:dyDescent="0.2">
      <c r="C75" s="272">
        <f t="shared" si="4"/>
        <v>7</v>
      </c>
      <c r="D75" s="273"/>
      <c r="E75" s="23"/>
      <c r="F75" s="9"/>
      <c r="G75" s="8"/>
      <c r="H75" s="29"/>
      <c r="I75" s="32"/>
      <c r="J75" s="33"/>
      <c r="K75" s="32">
        <f t="shared" si="5"/>
        <v>0</v>
      </c>
    </row>
    <row r="76" spans="3:11" ht="19.5" hidden="1" customHeight="1" x14ac:dyDescent="0.2">
      <c r="C76" s="272">
        <f t="shared" si="4"/>
        <v>8</v>
      </c>
      <c r="D76" s="273"/>
      <c r="E76" s="23"/>
      <c r="F76" s="9"/>
      <c r="G76" s="8"/>
      <c r="H76" s="29"/>
      <c r="I76" s="32"/>
      <c r="J76" s="33"/>
      <c r="K76" s="32">
        <f t="shared" si="5"/>
        <v>0</v>
      </c>
    </row>
    <row r="77" spans="3:11" ht="19.5" hidden="1" customHeight="1" x14ac:dyDescent="0.2">
      <c r="C77" s="272">
        <f t="shared" si="4"/>
        <v>9</v>
      </c>
      <c r="D77" s="273"/>
      <c r="E77" s="23"/>
      <c r="F77" s="9"/>
      <c r="G77" s="8"/>
      <c r="H77" s="29"/>
      <c r="I77" s="32"/>
      <c r="J77" s="33"/>
      <c r="K77" s="32">
        <f t="shared" si="5"/>
        <v>0</v>
      </c>
    </row>
    <row r="78" spans="3:11" ht="19.5" hidden="1" customHeight="1" thickBot="1" x14ac:dyDescent="0.25">
      <c r="C78" s="272">
        <f t="shared" si="4"/>
        <v>10</v>
      </c>
      <c r="D78" s="273"/>
      <c r="E78" s="24"/>
      <c r="F78" s="9"/>
      <c r="G78" s="8"/>
      <c r="H78" s="29"/>
      <c r="I78" s="37"/>
      <c r="J78" s="33"/>
      <c r="K78" s="32">
        <f t="shared" si="5"/>
        <v>0</v>
      </c>
    </row>
    <row r="79" spans="3:11" s="21" customFormat="1" ht="19.5" hidden="1" customHeight="1" thickBot="1" x14ac:dyDescent="0.25">
      <c r="C79" s="193" t="s">
        <v>36</v>
      </c>
      <c r="D79" s="270"/>
      <c r="E79" s="284"/>
      <c r="F79" s="270"/>
      <c r="G79" s="270"/>
      <c r="H79" s="271"/>
      <c r="I79" s="156">
        <f>SUM(I69:I78)</f>
        <v>0</v>
      </c>
      <c r="J79" s="156">
        <f>SUM(J69:J78)</f>
        <v>0</v>
      </c>
      <c r="K79" s="156">
        <f>SUM(K69:K78)</f>
        <v>0</v>
      </c>
    </row>
    <row r="80" spans="3:11" s="21" customFormat="1" ht="19.5" hidden="1" customHeight="1" thickBot="1" x14ac:dyDescent="0.25">
      <c r="C80" s="274"/>
      <c r="D80" s="275"/>
      <c r="E80" s="275"/>
      <c r="F80" s="275"/>
      <c r="G80" s="275"/>
      <c r="H80" s="275"/>
      <c r="I80" s="275"/>
      <c r="J80" s="275"/>
      <c r="K80" s="275"/>
    </row>
    <row r="81" spans="3:11" s="21" customFormat="1" ht="19.5" hidden="1" customHeight="1" thickBot="1" x14ac:dyDescent="0.25">
      <c r="C81" s="254" t="s">
        <v>45</v>
      </c>
      <c r="D81" s="255"/>
      <c r="E81" s="255"/>
      <c r="F81" s="255"/>
      <c r="G81" s="255"/>
      <c r="H81" s="255"/>
      <c r="I81" s="255"/>
      <c r="J81" s="255"/>
      <c r="K81" s="256"/>
    </row>
    <row r="82" spans="3:11" ht="19.5" hidden="1" customHeight="1" x14ac:dyDescent="0.2">
      <c r="C82" s="285">
        <v>1</v>
      </c>
      <c r="D82" s="286"/>
      <c r="E82" s="42"/>
      <c r="F82" s="10"/>
      <c r="G82" s="8"/>
      <c r="H82" s="29"/>
      <c r="I82" s="34"/>
      <c r="J82" s="32"/>
      <c r="K82" s="32">
        <f>I82+J82</f>
        <v>0</v>
      </c>
    </row>
    <row r="83" spans="3:11" ht="19.5" hidden="1" customHeight="1" x14ac:dyDescent="0.2">
      <c r="C83" s="282">
        <f t="shared" ref="C83:C91" si="6">C82+1</f>
        <v>2</v>
      </c>
      <c r="D83" s="283"/>
      <c r="E83" s="42"/>
      <c r="F83" s="10"/>
      <c r="G83" s="8"/>
      <c r="H83" s="29"/>
      <c r="I83" s="32"/>
      <c r="J83" s="33"/>
      <c r="K83" s="32">
        <f t="shared" ref="K83:K91" si="7">I83+J83</f>
        <v>0</v>
      </c>
    </row>
    <row r="84" spans="3:11" ht="19.5" hidden="1" customHeight="1" x14ac:dyDescent="0.2">
      <c r="C84" s="282">
        <f t="shared" si="6"/>
        <v>3</v>
      </c>
      <c r="D84" s="283"/>
      <c r="E84" s="23"/>
      <c r="F84" s="10"/>
      <c r="G84" s="8"/>
      <c r="H84" s="29"/>
      <c r="I84" s="32"/>
      <c r="J84" s="33"/>
      <c r="K84" s="32">
        <f t="shared" si="7"/>
        <v>0</v>
      </c>
    </row>
    <row r="85" spans="3:11" ht="19.5" hidden="1" customHeight="1" x14ac:dyDescent="0.2">
      <c r="C85" s="282">
        <f>C84+1</f>
        <v>4</v>
      </c>
      <c r="D85" s="283"/>
      <c r="E85" s="23"/>
      <c r="F85" s="10"/>
      <c r="G85" s="8"/>
      <c r="H85" s="29"/>
      <c r="I85" s="32"/>
      <c r="J85" s="33"/>
      <c r="K85" s="32">
        <f t="shared" si="7"/>
        <v>0</v>
      </c>
    </row>
    <row r="86" spans="3:11" ht="19.5" hidden="1" customHeight="1" x14ac:dyDescent="0.2">
      <c r="C86" s="282">
        <f t="shared" si="6"/>
        <v>5</v>
      </c>
      <c r="D86" s="283"/>
      <c r="E86" s="23"/>
      <c r="F86" s="10"/>
      <c r="G86" s="8"/>
      <c r="H86" s="29"/>
      <c r="I86" s="32"/>
      <c r="J86" s="33"/>
      <c r="K86" s="32">
        <f t="shared" si="7"/>
        <v>0</v>
      </c>
    </row>
    <row r="87" spans="3:11" ht="19.5" hidden="1" customHeight="1" x14ac:dyDescent="0.2">
      <c r="C87" s="282">
        <f t="shared" si="6"/>
        <v>6</v>
      </c>
      <c r="D87" s="283"/>
      <c r="E87" s="23"/>
      <c r="F87" s="10"/>
      <c r="G87" s="8"/>
      <c r="H87" s="29"/>
      <c r="I87" s="32"/>
      <c r="J87" s="33"/>
      <c r="K87" s="32">
        <f t="shared" si="7"/>
        <v>0</v>
      </c>
    </row>
    <row r="88" spans="3:11" ht="19.5" hidden="1" customHeight="1" x14ac:dyDescent="0.2">
      <c r="C88" s="282">
        <f t="shared" si="6"/>
        <v>7</v>
      </c>
      <c r="D88" s="283"/>
      <c r="E88" s="23"/>
      <c r="F88" s="10"/>
      <c r="G88" s="8"/>
      <c r="H88" s="29"/>
      <c r="I88" s="32"/>
      <c r="J88" s="33"/>
      <c r="K88" s="32">
        <f t="shared" si="7"/>
        <v>0</v>
      </c>
    </row>
    <row r="89" spans="3:11" ht="19.5" hidden="1" customHeight="1" x14ac:dyDescent="0.2">
      <c r="C89" s="282">
        <f t="shared" si="6"/>
        <v>8</v>
      </c>
      <c r="D89" s="283"/>
      <c r="E89" s="23"/>
      <c r="F89" s="10"/>
      <c r="G89" s="8"/>
      <c r="H89" s="29"/>
      <c r="I89" s="32"/>
      <c r="J89" s="33"/>
      <c r="K89" s="32">
        <f t="shared" si="7"/>
        <v>0</v>
      </c>
    </row>
    <row r="90" spans="3:11" ht="19.5" hidden="1" customHeight="1" x14ac:dyDescent="0.2">
      <c r="C90" s="282">
        <f t="shared" si="6"/>
        <v>9</v>
      </c>
      <c r="D90" s="283"/>
      <c r="E90" s="23"/>
      <c r="F90" s="10"/>
      <c r="G90" s="8"/>
      <c r="H90" s="29"/>
      <c r="I90" s="32"/>
      <c r="J90" s="33"/>
      <c r="K90" s="32">
        <f t="shared" si="7"/>
        <v>0</v>
      </c>
    </row>
    <row r="91" spans="3:11" ht="19.5" hidden="1" customHeight="1" thickBot="1" x14ac:dyDescent="0.25">
      <c r="C91" s="282">
        <f t="shared" si="6"/>
        <v>10</v>
      </c>
      <c r="D91" s="283"/>
      <c r="E91" s="24"/>
      <c r="F91" s="10"/>
      <c r="G91" s="8"/>
      <c r="H91" s="29"/>
      <c r="I91" s="37"/>
      <c r="J91" s="33"/>
      <c r="K91" s="32">
        <f t="shared" si="7"/>
        <v>0</v>
      </c>
    </row>
    <row r="92" spans="3:11" s="21" customFormat="1" ht="19.5" hidden="1" customHeight="1" thickBot="1" x14ac:dyDescent="0.25">
      <c r="C92" s="193" t="s">
        <v>36</v>
      </c>
      <c r="D92" s="268"/>
      <c r="E92" s="268"/>
      <c r="F92" s="268"/>
      <c r="G92" s="268"/>
      <c r="H92" s="269"/>
      <c r="I92" s="156">
        <f>SUM(I82:I91)</f>
        <v>0</v>
      </c>
      <c r="J92" s="156">
        <f>SUM(J82:J91)</f>
        <v>0</v>
      </c>
      <c r="K92" s="156">
        <f>SUM(K82:K91)</f>
        <v>0</v>
      </c>
    </row>
    <row r="93" spans="3:11" s="21" customFormat="1" ht="19.5" hidden="1" customHeight="1" thickBot="1" x14ac:dyDescent="0.25">
      <c r="C93" s="274"/>
      <c r="D93" s="275"/>
      <c r="E93" s="275"/>
      <c r="F93" s="275"/>
      <c r="G93" s="275"/>
      <c r="H93" s="275"/>
      <c r="I93" s="275"/>
      <c r="J93" s="275"/>
      <c r="K93" s="275"/>
    </row>
    <row r="94" spans="3:11" s="21" customFormat="1" ht="19.5" hidden="1" customHeight="1" thickBot="1" x14ac:dyDescent="0.25">
      <c r="C94" s="254" t="s">
        <v>126</v>
      </c>
      <c r="D94" s="304"/>
      <c r="E94" s="304"/>
      <c r="F94" s="304"/>
      <c r="G94" s="304"/>
      <c r="H94" s="304"/>
      <c r="I94" s="304"/>
      <c r="J94" s="304"/>
      <c r="K94" s="305"/>
    </row>
    <row r="95" spans="3:11" s="21" customFormat="1" ht="19.5" hidden="1" customHeight="1" thickBot="1" x14ac:dyDescent="0.25">
      <c r="C95" s="280" t="s">
        <v>46</v>
      </c>
      <c r="D95" s="281"/>
      <c r="E95" s="82"/>
      <c r="F95" s="83"/>
      <c r="G95" s="83"/>
      <c r="H95" s="83"/>
      <c r="I95" s="34"/>
      <c r="J95" s="32"/>
      <c r="K95" s="32">
        <f>I95+J95</f>
        <v>0</v>
      </c>
    </row>
    <row r="96" spans="3:11" s="21" customFormat="1" ht="19.5" hidden="1" customHeight="1" thickBot="1" x14ac:dyDescent="0.25">
      <c r="C96" s="280" t="s">
        <v>47</v>
      </c>
      <c r="D96" s="281"/>
      <c r="E96" s="84"/>
      <c r="F96" s="85"/>
      <c r="G96" s="85"/>
      <c r="H96" s="85"/>
      <c r="I96" s="32"/>
      <c r="J96" s="33"/>
      <c r="K96" s="32">
        <f t="shared" ref="K96:K104" si="8">I96+J96</f>
        <v>0</v>
      </c>
    </row>
    <row r="97" spans="3:11" s="21" customFormat="1" ht="19.5" hidden="1" customHeight="1" thickBot="1" x14ac:dyDescent="0.25">
      <c r="C97" s="280" t="s">
        <v>48</v>
      </c>
      <c r="D97" s="281"/>
      <c r="E97" s="84"/>
      <c r="F97" s="85"/>
      <c r="G97" s="85"/>
      <c r="H97" s="85"/>
      <c r="I97" s="32"/>
      <c r="J97" s="33"/>
      <c r="K97" s="32">
        <f t="shared" si="8"/>
        <v>0</v>
      </c>
    </row>
    <row r="98" spans="3:11" s="21" customFormat="1" ht="19.5" hidden="1" customHeight="1" thickBot="1" x14ac:dyDescent="0.25">
      <c r="C98" s="280" t="s">
        <v>49</v>
      </c>
      <c r="D98" s="281"/>
      <c r="E98" s="84"/>
      <c r="F98" s="85"/>
      <c r="G98" s="85"/>
      <c r="H98" s="85"/>
      <c r="I98" s="32"/>
      <c r="J98" s="33"/>
      <c r="K98" s="32">
        <f t="shared" si="8"/>
        <v>0</v>
      </c>
    </row>
    <row r="99" spans="3:11" s="21" customFormat="1" ht="19.5" hidden="1" customHeight="1" thickBot="1" x14ac:dyDescent="0.25">
      <c r="C99" s="280" t="s">
        <v>50</v>
      </c>
      <c r="D99" s="281"/>
      <c r="E99" s="84"/>
      <c r="F99" s="85"/>
      <c r="G99" s="85"/>
      <c r="H99" s="85"/>
      <c r="I99" s="32"/>
      <c r="J99" s="33"/>
      <c r="K99" s="32">
        <f t="shared" si="8"/>
        <v>0</v>
      </c>
    </row>
    <row r="100" spans="3:11" s="21" customFormat="1" ht="19.5" hidden="1" customHeight="1" thickBot="1" x14ac:dyDescent="0.25">
      <c r="C100" s="280" t="s">
        <v>51</v>
      </c>
      <c r="D100" s="281"/>
      <c r="E100" s="84"/>
      <c r="F100" s="85"/>
      <c r="G100" s="85"/>
      <c r="H100" s="85"/>
      <c r="I100" s="32"/>
      <c r="J100" s="33"/>
      <c r="K100" s="32">
        <f t="shared" si="8"/>
        <v>0</v>
      </c>
    </row>
    <row r="101" spans="3:11" s="21" customFormat="1" ht="19.5" hidden="1" customHeight="1" thickBot="1" x14ac:dyDescent="0.25">
      <c r="C101" s="280" t="s">
        <v>52</v>
      </c>
      <c r="D101" s="281"/>
      <c r="E101" s="84"/>
      <c r="F101" s="85"/>
      <c r="G101" s="85"/>
      <c r="H101" s="85"/>
      <c r="I101" s="32"/>
      <c r="J101" s="33"/>
      <c r="K101" s="32">
        <f t="shared" si="8"/>
        <v>0</v>
      </c>
    </row>
    <row r="102" spans="3:11" s="21" customFormat="1" ht="19.5" hidden="1" customHeight="1" thickBot="1" x14ac:dyDescent="0.25">
      <c r="C102" s="280" t="s">
        <v>53</v>
      </c>
      <c r="D102" s="281"/>
      <c r="E102" s="84"/>
      <c r="F102" s="85"/>
      <c r="G102" s="85"/>
      <c r="H102" s="85"/>
      <c r="I102" s="32"/>
      <c r="J102" s="33"/>
      <c r="K102" s="32">
        <f t="shared" si="8"/>
        <v>0</v>
      </c>
    </row>
    <row r="103" spans="3:11" s="21" customFormat="1" ht="19.5" hidden="1" customHeight="1" thickBot="1" x14ac:dyDescent="0.25">
      <c r="C103" s="280" t="s">
        <v>54</v>
      </c>
      <c r="D103" s="281"/>
      <c r="E103" s="84"/>
      <c r="F103" s="85"/>
      <c r="G103" s="85"/>
      <c r="H103" s="85"/>
      <c r="I103" s="32"/>
      <c r="J103" s="33"/>
      <c r="K103" s="32">
        <f t="shared" si="8"/>
        <v>0</v>
      </c>
    </row>
    <row r="104" spans="3:11" s="21" customFormat="1" ht="19.5" hidden="1" customHeight="1" thickBot="1" x14ac:dyDescent="0.25">
      <c r="C104" s="280" t="s">
        <v>55</v>
      </c>
      <c r="D104" s="281"/>
      <c r="E104" s="84"/>
      <c r="F104" s="85"/>
      <c r="G104" s="85"/>
      <c r="H104" s="85"/>
      <c r="I104" s="37"/>
      <c r="J104" s="33"/>
      <c r="K104" s="32">
        <f t="shared" si="8"/>
        <v>0</v>
      </c>
    </row>
    <row r="105" spans="3:11" s="21" customFormat="1" ht="19.5" hidden="1" customHeight="1" thickBot="1" x14ac:dyDescent="0.25">
      <c r="C105" s="193" t="s">
        <v>36</v>
      </c>
      <c r="D105" s="268"/>
      <c r="E105" s="268"/>
      <c r="F105" s="268"/>
      <c r="G105" s="268"/>
      <c r="H105" s="269"/>
      <c r="I105" s="156">
        <f>SUM(I95:I104)</f>
        <v>0</v>
      </c>
      <c r="J105" s="156">
        <f>SUM(J95:J104)</f>
        <v>0</v>
      </c>
      <c r="K105" s="156">
        <f>SUM(K95:K104)</f>
        <v>0</v>
      </c>
    </row>
    <row r="106" spans="3:11" s="21" customFormat="1" ht="19.5" customHeight="1" thickBot="1" x14ac:dyDescent="0.25">
      <c r="C106" s="274"/>
      <c r="D106" s="275"/>
      <c r="E106" s="275"/>
      <c r="F106" s="275"/>
      <c r="G106" s="275"/>
      <c r="H106" s="275"/>
      <c r="I106" s="275"/>
      <c r="J106" s="275"/>
      <c r="K106" s="275"/>
    </row>
    <row r="107" spans="3:11" ht="19.5" customHeight="1" thickBot="1" x14ac:dyDescent="0.25">
      <c r="C107" s="254" t="s">
        <v>66</v>
      </c>
      <c r="D107" s="255"/>
      <c r="E107" s="255"/>
      <c r="F107" s="255"/>
      <c r="G107" s="255"/>
      <c r="H107" s="255"/>
      <c r="I107" s="255"/>
      <c r="J107" s="255"/>
      <c r="K107" s="256"/>
    </row>
    <row r="108" spans="3:11" ht="42.75" x14ac:dyDescent="0.2">
      <c r="C108" s="278" t="s">
        <v>56</v>
      </c>
      <c r="D108" s="279"/>
      <c r="E108" s="42" t="s">
        <v>166</v>
      </c>
      <c r="F108" s="26" t="s">
        <v>795</v>
      </c>
      <c r="G108" s="27">
        <v>44813</v>
      </c>
      <c r="H108" s="190" t="s">
        <v>796</v>
      </c>
      <c r="I108" s="34"/>
      <c r="J108" s="32">
        <v>577079.19999999995</v>
      </c>
      <c r="K108" s="32">
        <f t="shared" ref="K108:K595" si="9">I108+J108</f>
        <v>577079.19999999995</v>
      </c>
    </row>
    <row r="109" spans="3:11" ht="42.75" x14ac:dyDescent="0.2">
      <c r="C109" s="278" t="s">
        <v>57</v>
      </c>
      <c r="D109" s="279"/>
      <c r="E109" s="42" t="s">
        <v>166</v>
      </c>
      <c r="F109" s="26" t="s">
        <v>797</v>
      </c>
      <c r="G109" s="27">
        <v>44743</v>
      </c>
      <c r="H109" s="190" t="s">
        <v>798</v>
      </c>
      <c r="I109" s="32"/>
      <c r="J109" s="32">
        <v>343137.66</v>
      </c>
      <c r="K109" s="32">
        <f t="shared" si="9"/>
        <v>343137.66</v>
      </c>
    </row>
    <row r="110" spans="3:11" ht="57" x14ac:dyDescent="0.2">
      <c r="C110" s="278" t="s">
        <v>58</v>
      </c>
      <c r="D110" s="279"/>
      <c r="E110" s="42" t="s">
        <v>166</v>
      </c>
      <c r="F110" s="26" t="s">
        <v>799</v>
      </c>
      <c r="G110" s="27">
        <v>44721</v>
      </c>
      <c r="H110" s="190" t="s">
        <v>800</v>
      </c>
      <c r="I110" s="32"/>
      <c r="J110" s="32">
        <v>343137.66</v>
      </c>
      <c r="K110" s="32">
        <f t="shared" si="9"/>
        <v>343137.66</v>
      </c>
    </row>
    <row r="111" spans="3:11" ht="57" x14ac:dyDescent="0.2">
      <c r="C111" s="278" t="s">
        <v>59</v>
      </c>
      <c r="D111" s="279"/>
      <c r="E111" s="42" t="s">
        <v>166</v>
      </c>
      <c r="F111" s="26" t="s">
        <v>801</v>
      </c>
      <c r="G111" s="27">
        <v>44693</v>
      </c>
      <c r="H111" s="190" t="s">
        <v>802</v>
      </c>
      <c r="I111" s="32"/>
      <c r="J111" s="32">
        <v>343137.66</v>
      </c>
      <c r="K111" s="32">
        <f t="shared" si="9"/>
        <v>343137.66</v>
      </c>
    </row>
    <row r="112" spans="3:11" ht="42.75" x14ac:dyDescent="0.2">
      <c r="C112" s="278" t="s">
        <v>60</v>
      </c>
      <c r="D112" s="279"/>
      <c r="E112" s="42" t="s">
        <v>166</v>
      </c>
      <c r="F112" s="26" t="s">
        <v>803</v>
      </c>
      <c r="G112" s="27">
        <v>44657</v>
      </c>
      <c r="H112" s="190" t="s">
        <v>804</v>
      </c>
      <c r="I112" s="32"/>
      <c r="J112" s="32">
        <v>143686.99</v>
      </c>
      <c r="K112" s="32">
        <f t="shared" si="9"/>
        <v>143686.99</v>
      </c>
    </row>
    <row r="113" spans="3:11" ht="42.75" x14ac:dyDescent="0.2">
      <c r="C113" s="278" t="s">
        <v>61</v>
      </c>
      <c r="D113" s="279"/>
      <c r="E113" s="42" t="s">
        <v>166</v>
      </c>
      <c r="F113" s="26" t="s">
        <v>805</v>
      </c>
      <c r="G113" s="27">
        <v>44630</v>
      </c>
      <c r="H113" s="190" t="s">
        <v>806</v>
      </c>
      <c r="I113" s="32"/>
      <c r="J113" s="32">
        <v>406252.92</v>
      </c>
      <c r="K113" s="32">
        <f t="shared" si="9"/>
        <v>406252.92</v>
      </c>
    </row>
    <row r="114" spans="3:11" ht="28.5" x14ac:dyDescent="0.2">
      <c r="C114" s="278" t="s">
        <v>62</v>
      </c>
      <c r="D114" s="279"/>
      <c r="E114" s="42" t="s">
        <v>166</v>
      </c>
      <c r="F114" s="26" t="s">
        <v>807</v>
      </c>
      <c r="G114" s="27">
        <v>44630</v>
      </c>
      <c r="H114" s="190" t="s">
        <v>808</v>
      </c>
      <c r="I114" s="32"/>
      <c r="J114" s="32">
        <v>143687.63</v>
      </c>
      <c r="K114" s="32">
        <f t="shared" si="9"/>
        <v>143687.63</v>
      </c>
    </row>
    <row r="115" spans="3:11" ht="42.75" x14ac:dyDescent="0.2">
      <c r="C115" s="278" t="s">
        <v>63</v>
      </c>
      <c r="D115" s="279"/>
      <c r="E115" s="42" t="s">
        <v>166</v>
      </c>
      <c r="F115" s="26" t="s">
        <v>809</v>
      </c>
      <c r="G115" s="27">
        <v>44602</v>
      </c>
      <c r="H115" s="190" t="s">
        <v>810</v>
      </c>
      <c r="I115" s="32"/>
      <c r="J115" s="32">
        <v>406253.03</v>
      </c>
      <c r="K115" s="32">
        <f t="shared" si="9"/>
        <v>406253.03</v>
      </c>
    </row>
    <row r="116" spans="3:11" ht="30" x14ac:dyDescent="0.2">
      <c r="C116" s="278" t="s">
        <v>64</v>
      </c>
      <c r="D116" s="279"/>
      <c r="E116" s="42" t="s">
        <v>294</v>
      </c>
      <c r="F116" s="26" t="s">
        <v>811</v>
      </c>
      <c r="G116" s="27" t="s">
        <v>812</v>
      </c>
      <c r="H116" s="26" t="s">
        <v>813</v>
      </c>
      <c r="I116" s="32"/>
      <c r="J116" s="32">
        <v>6539.82</v>
      </c>
      <c r="K116" s="32">
        <f t="shared" si="9"/>
        <v>6539.82</v>
      </c>
    </row>
    <row r="117" spans="3:11" ht="19.5" customHeight="1" x14ac:dyDescent="0.2">
      <c r="C117" s="278" t="s">
        <v>65</v>
      </c>
      <c r="D117" s="279"/>
      <c r="E117" s="42" t="s">
        <v>167</v>
      </c>
      <c r="F117" s="26" t="s">
        <v>814</v>
      </c>
      <c r="G117" s="27" t="s">
        <v>815</v>
      </c>
      <c r="H117" s="26" t="s">
        <v>816</v>
      </c>
      <c r="I117" s="32"/>
      <c r="J117" s="32">
        <v>62361.08</v>
      </c>
      <c r="K117" s="32">
        <f t="shared" si="9"/>
        <v>62361.08</v>
      </c>
    </row>
    <row r="118" spans="3:11" ht="30" x14ac:dyDescent="0.2">
      <c r="C118" s="278" t="s">
        <v>178</v>
      </c>
      <c r="D118" s="279"/>
      <c r="E118" s="42" t="s">
        <v>294</v>
      </c>
      <c r="F118" s="26" t="s">
        <v>817</v>
      </c>
      <c r="G118" s="27" t="s">
        <v>818</v>
      </c>
      <c r="H118" s="26" t="s">
        <v>819</v>
      </c>
      <c r="I118" s="32"/>
      <c r="J118" s="32">
        <v>6249.71</v>
      </c>
      <c r="K118" s="32">
        <f t="shared" si="9"/>
        <v>6249.71</v>
      </c>
    </row>
    <row r="119" spans="3:11" ht="19.5" customHeight="1" x14ac:dyDescent="0.2">
      <c r="C119" s="278" t="s">
        <v>179</v>
      </c>
      <c r="D119" s="279"/>
      <c r="E119" s="42" t="s">
        <v>294</v>
      </c>
      <c r="F119" s="26" t="s">
        <v>820</v>
      </c>
      <c r="G119" s="27" t="s">
        <v>818</v>
      </c>
      <c r="H119" s="26" t="s">
        <v>821</v>
      </c>
      <c r="I119" s="32"/>
      <c r="J119" s="32">
        <v>6576.6</v>
      </c>
      <c r="K119" s="32">
        <f t="shared" si="9"/>
        <v>6576.6</v>
      </c>
    </row>
    <row r="120" spans="3:11" ht="19.5" customHeight="1" x14ac:dyDescent="0.2">
      <c r="C120" s="278" t="s">
        <v>180</v>
      </c>
      <c r="D120" s="279"/>
      <c r="E120" s="42" t="s">
        <v>294</v>
      </c>
      <c r="F120" s="26" t="s">
        <v>822</v>
      </c>
      <c r="G120" s="27" t="s">
        <v>818</v>
      </c>
      <c r="H120" s="26" t="s">
        <v>823</v>
      </c>
      <c r="I120" s="32"/>
      <c r="J120" s="32">
        <v>4779.1899999999996</v>
      </c>
      <c r="K120" s="32">
        <f t="shared" si="9"/>
        <v>4779.1899999999996</v>
      </c>
    </row>
    <row r="121" spans="3:11" ht="19.5" customHeight="1" x14ac:dyDescent="0.2">
      <c r="C121" s="278" t="s">
        <v>181</v>
      </c>
      <c r="D121" s="279"/>
      <c r="E121" s="42" t="s">
        <v>294</v>
      </c>
      <c r="F121" s="26" t="s">
        <v>824</v>
      </c>
      <c r="G121" s="27" t="s">
        <v>818</v>
      </c>
      <c r="H121" s="26" t="s">
        <v>825</v>
      </c>
      <c r="I121" s="32"/>
      <c r="J121" s="32">
        <v>2046.7</v>
      </c>
      <c r="K121" s="32">
        <f t="shared" si="9"/>
        <v>2046.7</v>
      </c>
    </row>
    <row r="122" spans="3:11" ht="19.5" customHeight="1" x14ac:dyDescent="0.2">
      <c r="C122" s="278" t="s">
        <v>182</v>
      </c>
      <c r="D122" s="279"/>
      <c r="E122" s="42" t="s">
        <v>294</v>
      </c>
      <c r="F122" s="26" t="s">
        <v>826</v>
      </c>
      <c r="G122" s="27" t="s">
        <v>827</v>
      </c>
      <c r="H122" s="26" t="s">
        <v>823</v>
      </c>
      <c r="I122" s="32"/>
      <c r="J122" s="32">
        <v>6617.34</v>
      </c>
      <c r="K122" s="32">
        <f t="shared" si="9"/>
        <v>6617.34</v>
      </c>
    </row>
    <row r="123" spans="3:11" ht="19.5" customHeight="1" x14ac:dyDescent="0.2">
      <c r="C123" s="278" t="s">
        <v>183</v>
      </c>
      <c r="D123" s="279"/>
      <c r="E123" s="42" t="s">
        <v>296</v>
      </c>
      <c r="F123" s="26" t="s">
        <v>828</v>
      </c>
      <c r="G123" s="27" t="s">
        <v>829</v>
      </c>
      <c r="H123" s="26" t="s">
        <v>830</v>
      </c>
      <c r="I123" s="32"/>
      <c r="J123" s="32">
        <v>9523</v>
      </c>
      <c r="K123" s="32">
        <f t="shared" si="9"/>
        <v>9523</v>
      </c>
    </row>
    <row r="124" spans="3:11" ht="19.5" customHeight="1" x14ac:dyDescent="0.2">
      <c r="C124" s="278" t="s">
        <v>184</v>
      </c>
      <c r="D124" s="279"/>
      <c r="E124" s="42" t="s">
        <v>160</v>
      </c>
      <c r="F124" s="26" t="s">
        <v>831</v>
      </c>
      <c r="G124" s="27" t="s">
        <v>832</v>
      </c>
      <c r="H124" s="26" t="s">
        <v>833</v>
      </c>
      <c r="I124" s="32"/>
      <c r="J124" s="32">
        <v>9154.42</v>
      </c>
      <c r="K124" s="32">
        <f t="shared" si="9"/>
        <v>9154.42</v>
      </c>
    </row>
    <row r="125" spans="3:11" ht="19.5" customHeight="1" x14ac:dyDescent="0.2">
      <c r="C125" s="278" t="s">
        <v>185</v>
      </c>
      <c r="D125" s="279"/>
      <c r="E125" s="42" t="s">
        <v>292</v>
      </c>
      <c r="F125" s="26" t="s">
        <v>834</v>
      </c>
      <c r="G125" s="27" t="s">
        <v>835</v>
      </c>
      <c r="H125" s="26" t="s">
        <v>836</v>
      </c>
      <c r="I125" s="32"/>
      <c r="J125" s="32">
        <v>6708.52</v>
      </c>
      <c r="K125" s="32">
        <f t="shared" si="9"/>
        <v>6708.52</v>
      </c>
    </row>
    <row r="126" spans="3:11" ht="19.5" customHeight="1" x14ac:dyDescent="0.2">
      <c r="C126" s="278" t="s">
        <v>186</v>
      </c>
      <c r="D126" s="279"/>
      <c r="E126" s="42" t="s">
        <v>292</v>
      </c>
      <c r="F126" s="26" t="s">
        <v>837</v>
      </c>
      <c r="G126" s="27" t="s">
        <v>835</v>
      </c>
      <c r="H126" s="26" t="s">
        <v>838</v>
      </c>
      <c r="I126" s="32"/>
      <c r="J126" s="32">
        <v>7414.68</v>
      </c>
      <c r="K126" s="32">
        <f t="shared" si="9"/>
        <v>7414.68</v>
      </c>
    </row>
    <row r="127" spans="3:11" ht="19.5" customHeight="1" x14ac:dyDescent="0.2">
      <c r="C127" s="278" t="s">
        <v>187</v>
      </c>
      <c r="D127" s="279"/>
      <c r="E127" s="42" t="s">
        <v>294</v>
      </c>
      <c r="F127" s="26" t="s">
        <v>839</v>
      </c>
      <c r="G127" s="27" t="s">
        <v>840</v>
      </c>
      <c r="H127" s="26" t="s">
        <v>841</v>
      </c>
      <c r="I127" s="32"/>
      <c r="J127" s="32">
        <v>8087.86</v>
      </c>
      <c r="K127" s="32">
        <f t="shared" si="9"/>
        <v>8087.86</v>
      </c>
    </row>
    <row r="128" spans="3:11" ht="19.5" customHeight="1" x14ac:dyDescent="0.2">
      <c r="C128" s="278" t="s">
        <v>188</v>
      </c>
      <c r="D128" s="279"/>
      <c r="E128" s="42" t="s">
        <v>294</v>
      </c>
      <c r="F128" s="26" t="s">
        <v>842</v>
      </c>
      <c r="G128" s="27" t="s">
        <v>840</v>
      </c>
      <c r="H128" s="26" t="s">
        <v>841</v>
      </c>
      <c r="I128" s="32"/>
      <c r="J128" s="32">
        <v>9005.48</v>
      </c>
      <c r="K128" s="32">
        <f t="shared" si="9"/>
        <v>9005.48</v>
      </c>
    </row>
    <row r="129" spans="3:11" ht="19.5" customHeight="1" x14ac:dyDescent="0.2">
      <c r="C129" s="278" t="s">
        <v>189</v>
      </c>
      <c r="D129" s="279"/>
      <c r="E129" s="42" t="s">
        <v>294</v>
      </c>
      <c r="F129" s="26" t="s">
        <v>843</v>
      </c>
      <c r="G129" s="27" t="s">
        <v>840</v>
      </c>
      <c r="H129" s="26" t="s">
        <v>841</v>
      </c>
      <c r="I129" s="32"/>
      <c r="J129" s="32">
        <v>9645.68</v>
      </c>
      <c r="K129" s="32">
        <f t="shared" si="9"/>
        <v>9645.68</v>
      </c>
    </row>
    <row r="130" spans="3:11" ht="19.5" customHeight="1" x14ac:dyDescent="0.2">
      <c r="C130" s="278" t="s">
        <v>190</v>
      </c>
      <c r="D130" s="279"/>
      <c r="E130" s="42" t="s">
        <v>296</v>
      </c>
      <c r="F130" s="26" t="s">
        <v>844</v>
      </c>
      <c r="G130" s="27" t="s">
        <v>845</v>
      </c>
      <c r="H130" s="26" t="s">
        <v>846</v>
      </c>
      <c r="I130" s="32"/>
      <c r="J130" s="32">
        <v>9046.85</v>
      </c>
      <c r="K130" s="32">
        <f t="shared" si="9"/>
        <v>9046.85</v>
      </c>
    </row>
    <row r="131" spans="3:11" ht="19.5" customHeight="1" x14ac:dyDescent="0.2">
      <c r="C131" s="278" t="s">
        <v>191</v>
      </c>
      <c r="D131" s="279"/>
      <c r="E131" s="42" t="s">
        <v>292</v>
      </c>
      <c r="F131" s="26" t="s">
        <v>847</v>
      </c>
      <c r="G131" s="27" t="s">
        <v>848</v>
      </c>
      <c r="H131" s="26" t="s">
        <v>849</v>
      </c>
      <c r="I131" s="32"/>
      <c r="J131" s="32">
        <v>7767.76</v>
      </c>
      <c r="K131" s="32">
        <f t="shared" si="9"/>
        <v>7767.76</v>
      </c>
    </row>
    <row r="132" spans="3:11" ht="19.5" customHeight="1" x14ac:dyDescent="0.2">
      <c r="C132" s="278" t="s">
        <v>192</v>
      </c>
      <c r="D132" s="279"/>
      <c r="E132" s="42" t="s">
        <v>294</v>
      </c>
      <c r="F132" s="26" t="s">
        <v>850</v>
      </c>
      <c r="G132" s="27" t="s">
        <v>851</v>
      </c>
      <c r="H132" s="26" t="s">
        <v>852</v>
      </c>
      <c r="I132" s="32"/>
      <c r="J132" s="32">
        <v>7891.92</v>
      </c>
      <c r="K132" s="32">
        <f t="shared" si="9"/>
        <v>7891.92</v>
      </c>
    </row>
    <row r="133" spans="3:11" ht="19.5" customHeight="1" x14ac:dyDescent="0.2">
      <c r="C133" s="278" t="s">
        <v>193</v>
      </c>
      <c r="D133" s="279"/>
      <c r="E133" s="42" t="s">
        <v>292</v>
      </c>
      <c r="F133" s="26" t="s">
        <v>853</v>
      </c>
      <c r="G133" s="27" t="s">
        <v>848</v>
      </c>
      <c r="H133" s="26" t="s">
        <v>838</v>
      </c>
      <c r="I133" s="32"/>
      <c r="J133" s="32">
        <v>7767.76</v>
      </c>
      <c r="K133" s="32">
        <f t="shared" si="9"/>
        <v>7767.76</v>
      </c>
    </row>
    <row r="134" spans="3:11" ht="19.5" customHeight="1" x14ac:dyDescent="0.2">
      <c r="C134" s="278" t="s">
        <v>194</v>
      </c>
      <c r="D134" s="279"/>
      <c r="E134" s="42" t="s">
        <v>294</v>
      </c>
      <c r="F134" s="26" t="s">
        <v>854</v>
      </c>
      <c r="G134" s="27" t="s">
        <v>851</v>
      </c>
      <c r="H134" s="26" t="s">
        <v>852</v>
      </c>
      <c r="I134" s="32"/>
      <c r="J134" s="32">
        <v>6617.34</v>
      </c>
      <c r="K134" s="32">
        <f t="shared" si="9"/>
        <v>6617.34</v>
      </c>
    </row>
    <row r="135" spans="3:11" ht="19.5" customHeight="1" x14ac:dyDescent="0.2">
      <c r="C135" s="278" t="s">
        <v>195</v>
      </c>
      <c r="D135" s="279"/>
      <c r="E135" s="42" t="s">
        <v>294</v>
      </c>
      <c r="F135" s="26" t="s">
        <v>855</v>
      </c>
      <c r="G135" s="27" t="s">
        <v>856</v>
      </c>
      <c r="H135" s="26" t="s">
        <v>857</v>
      </c>
      <c r="I135" s="32"/>
      <c r="J135" s="32">
        <v>8087.86</v>
      </c>
      <c r="K135" s="32">
        <f t="shared" si="9"/>
        <v>8087.86</v>
      </c>
    </row>
    <row r="136" spans="3:11" ht="19.5" customHeight="1" x14ac:dyDescent="0.2">
      <c r="C136" s="278" t="s">
        <v>196</v>
      </c>
      <c r="D136" s="279"/>
      <c r="E136" s="42" t="s">
        <v>294</v>
      </c>
      <c r="F136" s="26" t="s">
        <v>858</v>
      </c>
      <c r="G136" s="27" t="s">
        <v>856</v>
      </c>
      <c r="H136" s="26" t="s">
        <v>859</v>
      </c>
      <c r="I136" s="32"/>
      <c r="J136" s="32">
        <v>5514.45</v>
      </c>
      <c r="K136" s="32">
        <f t="shared" si="9"/>
        <v>5514.45</v>
      </c>
    </row>
    <row r="137" spans="3:11" ht="19.5" customHeight="1" x14ac:dyDescent="0.2">
      <c r="C137" s="278" t="s">
        <v>197</v>
      </c>
      <c r="D137" s="279"/>
      <c r="E137" s="42" t="s">
        <v>292</v>
      </c>
      <c r="F137" s="26" t="s">
        <v>860</v>
      </c>
      <c r="G137" s="27" t="s">
        <v>861</v>
      </c>
      <c r="H137" s="26" t="s">
        <v>849</v>
      </c>
      <c r="I137" s="32"/>
      <c r="J137" s="32">
        <v>1765.4</v>
      </c>
      <c r="K137" s="32">
        <f t="shared" si="9"/>
        <v>1765.4</v>
      </c>
    </row>
    <row r="138" spans="3:11" ht="19.5" customHeight="1" x14ac:dyDescent="0.2">
      <c r="C138" s="278" t="s">
        <v>198</v>
      </c>
      <c r="D138" s="279"/>
      <c r="E138" s="42" t="s">
        <v>292</v>
      </c>
      <c r="F138" s="26" t="s">
        <v>862</v>
      </c>
      <c r="G138" s="27" t="s">
        <v>861</v>
      </c>
      <c r="H138" s="26" t="s">
        <v>838</v>
      </c>
      <c r="I138" s="32"/>
      <c r="J138" s="32">
        <v>4943.12</v>
      </c>
      <c r="K138" s="32">
        <f t="shared" si="9"/>
        <v>4943.12</v>
      </c>
    </row>
    <row r="139" spans="3:11" ht="19.5" customHeight="1" x14ac:dyDescent="0.2">
      <c r="C139" s="278" t="s">
        <v>199</v>
      </c>
      <c r="D139" s="279"/>
      <c r="E139" s="42" t="s">
        <v>296</v>
      </c>
      <c r="F139" s="26" t="s">
        <v>863</v>
      </c>
      <c r="G139" s="27" t="s">
        <v>864</v>
      </c>
      <c r="H139" s="26" t="s">
        <v>865</v>
      </c>
      <c r="I139" s="32"/>
      <c r="J139" s="32">
        <v>9523</v>
      </c>
      <c r="K139" s="32">
        <f t="shared" si="9"/>
        <v>9523</v>
      </c>
    </row>
    <row r="140" spans="3:11" ht="19.5" customHeight="1" x14ac:dyDescent="0.2">
      <c r="C140" s="278" t="s">
        <v>200</v>
      </c>
      <c r="D140" s="279"/>
      <c r="E140" s="42" t="s">
        <v>296</v>
      </c>
      <c r="F140" s="26" t="s">
        <v>866</v>
      </c>
      <c r="G140" s="27" t="s">
        <v>867</v>
      </c>
      <c r="H140" s="26" t="s">
        <v>868</v>
      </c>
      <c r="I140" s="32"/>
      <c r="J140" s="32">
        <v>9843.68</v>
      </c>
      <c r="K140" s="32">
        <f t="shared" si="9"/>
        <v>9843.68</v>
      </c>
    </row>
    <row r="141" spans="3:11" ht="19.5" customHeight="1" x14ac:dyDescent="0.2">
      <c r="C141" s="278" t="s">
        <v>201</v>
      </c>
      <c r="D141" s="279"/>
      <c r="E141" s="42" t="s">
        <v>294</v>
      </c>
      <c r="F141" s="26" t="s">
        <v>869</v>
      </c>
      <c r="G141" s="27" t="s">
        <v>870</v>
      </c>
      <c r="H141" s="26" t="s">
        <v>823</v>
      </c>
      <c r="I141" s="32"/>
      <c r="J141" s="32">
        <v>2941.04</v>
      </c>
      <c r="K141" s="32">
        <f t="shared" si="9"/>
        <v>2941.04</v>
      </c>
    </row>
    <row r="142" spans="3:11" ht="19.5" customHeight="1" x14ac:dyDescent="0.2">
      <c r="C142" s="278" t="s">
        <v>202</v>
      </c>
      <c r="D142" s="279"/>
      <c r="E142" s="42" t="s">
        <v>288</v>
      </c>
      <c r="F142" s="26" t="s">
        <v>871</v>
      </c>
      <c r="G142" s="27" t="s">
        <v>861</v>
      </c>
      <c r="H142" s="26" t="s">
        <v>872</v>
      </c>
      <c r="I142" s="32"/>
      <c r="J142" s="32">
        <v>2127.7399999999998</v>
      </c>
      <c r="K142" s="32">
        <f t="shared" si="9"/>
        <v>2127.7399999999998</v>
      </c>
    </row>
    <row r="143" spans="3:11" ht="19.5" customHeight="1" x14ac:dyDescent="0.2">
      <c r="C143" s="278" t="s">
        <v>203</v>
      </c>
      <c r="D143" s="279"/>
      <c r="E143" s="42" t="s">
        <v>160</v>
      </c>
      <c r="F143" s="26" t="s">
        <v>873</v>
      </c>
      <c r="G143" s="27" t="s">
        <v>874</v>
      </c>
      <c r="H143" s="26" t="s">
        <v>875</v>
      </c>
      <c r="I143" s="32"/>
      <c r="J143" s="32">
        <v>7073.87</v>
      </c>
      <c r="K143" s="32">
        <f t="shared" si="9"/>
        <v>7073.87</v>
      </c>
    </row>
    <row r="144" spans="3:11" ht="19.5" customHeight="1" x14ac:dyDescent="0.2">
      <c r="C144" s="278" t="s">
        <v>204</v>
      </c>
      <c r="D144" s="279"/>
      <c r="E144" s="42" t="s">
        <v>294</v>
      </c>
      <c r="F144" s="26" t="s">
        <v>876</v>
      </c>
      <c r="G144" s="27" t="s">
        <v>870</v>
      </c>
      <c r="H144" s="26" t="s">
        <v>877</v>
      </c>
      <c r="I144" s="32"/>
      <c r="J144" s="32">
        <v>3069.08</v>
      </c>
      <c r="K144" s="32">
        <f t="shared" si="9"/>
        <v>3069.08</v>
      </c>
    </row>
    <row r="145" spans="3:11" ht="19.5" customHeight="1" x14ac:dyDescent="0.2">
      <c r="C145" s="278" t="s">
        <v>205</v>
      </c>
      <c r="D145" s="279"/>
      <c r="E145" s="42" t="s">
        <v>294</v>
      </c>
      <c r="F145" s="26" t="s">
        <v>878</v>
      </c>
      <c r="G145" s="27" t="s">
        <v>870</v>
      </c>
      <c r="H145" s="26" t="s">
        <v>879</v>
      </c>
      <c r="I145" s="32"/>
      <c r="J145" s="32">
        <v>5514.45</v>
      </c>
      <c r="K145" s="32">
        <f t="shared" si="9"/>
        <v>5514.45</v>
      </c>
    </row>
    <row r="146" spans="3:11" ht="19.5" customHeight="1" x14ac:dyDescent="0.2">
      <c r="C146" s="278" t="s">
        <v>206</v>
      </c>
      <c r="D146" s="279"/>
      <c r="E146" s="42" t="s">
        <v>294</v>
      </c>
      <c r="F146" s="26" t="s">
        <v>880</v>
      </c>
      <c r="G146" s="27" t="s">
        <v>870</v>
      </c>
      <c r="H146" s="26" t="s">
        <v>879</v>
      </c>
      <c r="I146" s="32"/>
      <c r="J146" s="32">
        <v>6576.6</v>
      </c>
      <c r="K146" s="32">
        <f t="shared" si="9"/>
        <v>6576.6</v>
      </c>
    </row>
    <row r="147" spans="3:11" ht="19.5" customHeight="1" x14ac:dyDescent="0.2">
      <c r="C147" s="278" t="s">
        <v>207</v>
      </c>
      <c r="D147" s="279"/>
      <c r="E147" s="42" t="s">
        <v>294</v>
      </c>
      <c r="F147" s="26" t="s">
        <v>881</v>
      </c>
      <c r="G147" s="27" t="s">
        <v>870</v>
      </c>
      <c r="H147" s="26" t="s">
        <v>879</v>
      </c>
      <c r="I147" s="32"/>
      <c r="J147" s="32">
        <v>3274.72</v>
      </c>
      <c r="K147" s="32">
        <f t="shared" si="9"/>
        <v>3274.72</v>
      </c>
    </row>
    <row r="148" spans="3:11" ht="19.5" customHeight="1" x14ac:dyDescent="0.2">
      <c r="C148" s="278" t="s">
        <v>208</v>
      </c>
      <c r="D148" s="279"/>
      <c r="E148" s="42" t="s">
        <v>294</v>
      </c>
      <c r="F148" s="26" t="s">
        <v>882</v>
      </c>
      <c r="G148" s="27" t="s">
        <v>870</v>
      </c>
      <c r="H148" s="26" t="s">
        <v>823</v>
      </c>
      <c r="I148" s="32"/>
      <c r="J148" s="32">
        <v>3676.3</v>
      </c>
      <c r="K148" s="32">
        <f t="shared" si="9"/>
        <v>3676.3</v>
      </c>
    </row>
    <row r="149" spans="3:11" ht="19.5" customHeight="1" x14ac:dyDescent="0.2">
      <c r="C149" s="278" t="s">
        <v>209</v>
      </c>
      <c r="D149" s="279"/>
      <c r="E149" s="42" t="s">
        <v>296</v>
      </c>
      <c r="F149" s="26" t="s">
        <v>883</v>
      </c>
      <c r="G149" s="27" t="s">
        <v>884</v>
      </c>
      <c r="H149" s="26" t="s">
        <v>885</v>
      </c>
      <c r="I149" s="32"/>
      <c r="J149" s="32">
        <v>2380.75</v>
      </c>
      <c r="K149" s="32">
        <f t="shared" si="9"/>
        <v>2380.75</v>
      </c>
    </row>
    <row r="150" spans="3:11" ht="19.5" customHeight="1" x14ac:dyDescent="0.2">
      <c r="C150" s="278" t="s">
        <v>210</v>
      </c>
      <c r="D150" s="279"/>
      <c r="E150" s="42" t="s">
        <v>296</v>
      </c>
      <c r="F150" s="26" t="s">
        <v>886</v>
      </c>
      <c r="G150" s="27" t="s">
        <v>887</v>
      </c>
      <c r="H150" s="26" t="s">
        <v>888</v>
      </c>
      <c r="I150" s="32"/>
      <c r="J150" s="32">
        <v>8026.48</v>
      </c>
      <c r="K150" s="32">
        <f t="shared" si="9"/>
        <v>8026.48</v>
      </c>
    </row>
    <row r="151" spans="3:11" ht="19.5" customHeight="1" x14ac:dyDescent="0.2">
      <c r="C151" s="278" t="s">
        <v>211</v>
      </c>
      <c r="D151" s="279"/>
      <c r="E151" s="42" t="s">
        <v>338</v>
      </c>
      <c r="F151" s="26" t="s">
        <v>889</v>
      </c>
      <c r="G151" s="27" t="s">
        <v>890</v>
      </c>
      <c r="H151" s="26" t="s">
        <v>891</v>
      </c>
      <c r="I151" s="32"/>
      <c r="J151" s="32">
        <v>3463.76</v>
      </c>
      <c r="K151" s="32">
        <f t="shared" si="9"/>
        <v>3463.76</v>
      </c>
    </row>
    <row r="152" spans="3:11" ht="19.5" customHeight="1" x14ac:dyDescent="0.2">
      <c r="C152" s="278" t="s">
        <v>212</v>
      </c>
      <c r="D152" s="279"/>
      <c r="E152" s="42" t="s">
        <v>338</v>
      </c>
      <c r="F152" s="26" t="s">
        <v>889</v>
      </c>
      <c r="G152" s="27" t="s">
        <v>890</v>
      </c>
      <c r="H152" s="26" t="s">
        <v>892</v>
      </c>
      <c r="I152" s="32"/>
      <c r="J152" s="32">
        <v>4785.5600000000004</v>
      </c>
      <c r="K152" s="32">
        <f t="shared" si="9"/>
        <v>4785.5600000000004</v>
      </c>
    </row>
    <row r="153" spans="3:11" ht="19.5" customHeight="1" x14ac:dyDescent="0.2">
      <c r="C153" s="278" t="s">
        <v>213</v>
      </c>
      <c r="D153" s="279"/>
      <c r="E153" s="42" t="s">
        <v>338</v>
      </c>
      <c r="F153" s="26" t="s">
        <v>889</v>
      </c>
      <c r="G153" s="27" t="s">
        <v>890</v>
      </c>
      <c r="H153" s="26" t="s">
        <v>893</v>
      </c>
      <c r="I153" s="32"/>
      <c r="J153" s="32">
        <v>6051.62</v>
      </c>
      <c r="K153" s="32">
        <f t="shared" si="9"/>
        <v>6051.62</v>
      </c>
    </row>
    <row r="154" spans="3:11" ht="19.5" customHeight="1" x14ac:dyDescent="0.2">
      <c r="C154" s="278" t="s">
        <v>214</v>
      </c>
      <c r="D154" s="279"/>
      <c r="E154" s="42" t="s">
        <v>338</v>
      </c>
      <c r="F154" s="26" t="s">
        <v>889</v>
      </c>
      <c r="G154" s="27" t="s">
        <v>890</v>
      </c>
      <c r="H154" s="26" t="s">
        <v>894</v>
      </c>
      <c r="I154" s="32"/>
      <c r="J154" s="32">
        <v>2576.84</v>
      </c>
      <c r="K154" s="32">
        <f t="shared" si="9"/>
        <v>2576.84</v>
      </c>
    </row>
    <row r="155" spans="3:11" ht="19.5" customHeight="1" x14ac:dyDescent="0.2">
      <c r="C155" s="278" t="s">
        <v>215</v>
      </c>
      <c r="D155" s="279"/>
      <c r="E155" s="42" t="s">
        <v>338</v>
      </c>
      <c r="F155" s="26" t="s">
        <v>889</v>
      </c>
      <c r="G155" s="27" t="s">
        <v>890</v>
      </c>
      <c r="H155" s="26" t="s">
        <v>895</v>
      </c>
      <c r="I155" s="32"/>
      <c r="J155" s="32">
        <v>12123.16</v>
      </c>
      <c r="K155" s="32">
        <f t="shared" si="9"/>
        <v>12123.16</v>
      </c>
    </row>
    <row r="156" spans="3:11" ht="19.5" customHeight="1" x14ac:dyDescent="0.2">
      <c r="C156" s="278" t="s">
        <v>216</v>
      </c>
      <c r="D156" s="279"/>
      <c r="E156" s="42" t="s">
        <v>338</v>
      </c>
      <c r="F156" s="26" t="s">
        <v>889</v>
      </c>
      <c r="G156" s="27" t="s">
        <v>890</v>
      </c>
      <c r="H156" s="26" t="s">
        <v>896</v>
      </c>
      <c r="I156" s="32"/>
      <c r="J156" s="32">
        <v>8226.43</v>
      </c>
      <c r="K156" s="32">
        <f t="shared" si="9"/>
        <v>8226.43</v>
      </c>
    </row>
    <row r="157" spans="3:11" ht="19.5" customHeight="1" x14ac:dyDescent="0.2">
      <c r="C157" s="278" t="s">
        <v>217</v>
      </c>
      <c r="D157" s="279"/>
      <c r="E157" s="42" t="s">
        <v>338</v>
      </c>
      <c r="F157" s="26" t="s">
        <v>889</v>
      </c>
      <c r="G157" s="27" t="s">
        <v>890</v>
      </c>
      <c r="H157" s="26" t="s">
        <v>897</v>
      </c>
      <c r="I157" s="32"/>
      <c r="J157" s="32">
        <v>3896.73</v>
      </c>
      <c r="K157" s="32">
        <f t="shared" si="9"/>
        <v>3896.73</v>
      </c>
    </row>
    <row r="158" spans="3:11" ht="19.5" customHeight="1" x14ac:dyDescent="0.2">
      <c r="C158" s="278" t="s">
        <v>218</v>
      </c>
      <c r="D158" s="279"/>
      <c r="E158" s="42" t="s">
        <v>338</v>
      </c>
      <c r="F158" s="26" t="s">
        <v>889</v>
      </c>
      <c r="G158" s="27" t="s">
        <v>890</v>
      </c>
      <c r="H158" s="26" t="s">
        <v>898</v>
      </c>
      <c r="I158" s="32"/>
      <c r="J158" s="32">
        <v>3115.32</v>
      </c>
      <c r="K158" s="32">
        <f t="shared" si="9"/>
        <v>3115.32</v>
      </c>
    </row>
    <row r="159" spans="3:11" ht="19.5" customHeight="1" x14ac:dyDescent="0.2">
      <c r="C159" s="278" t="s">
        <v>219</v>
      </c>
      <c r="D159" s="279"/>
      <c r="E159" s="42" t="s">
        <v>338</v>
      </c>
      <c r="F159" s="26" t="s">
        <v>889</v>
      </c>
      <c r="G159" s="27" t="s">
        <v>890</v>
      </c>
      <c r="H159" s="26" t="s">
        <v>899</v>
      </c>
      <c r="I159" s="32"/>
      <c r="J159" s="32">
        <v>8226.43</v>
      </c>
      <c r="K159" s="32">
        <f t="shared" si="9"/>
        <v>8226.43</v>
      </c>
    </row>
    <row r="160" spans="3:11" ht="19.5" customHeight="1" x14ac:dyDescent="0.2">
      <c r="C160" s="278" t="s">
        <v>220</v>
      </c>
      <c r="D160" s="279"/>
      <c r="E160" s="42" t="s">
        <v>338</v>
      </c>
      <c r="F160" s="26" t="s">
        <v>889</v>
      </c>
      <c r="G160" s="27" t="s">
        <v>890</v>
      </c>
      <c r="H160" s="26" t="s">
        <v>900</v>
      </c>
      <c r="I160" s="32"/>
      <c r="J160" s="32">
        <v>8659.4</v>
      </c>
      <c r="K160" s="32">
        <f t="shared" si="9"/>
        <v>8659.4</v>
      </c>
    </row>
    <row r="161" spans="3:11" ht="19.5" customHeight="1" x14ac:dyDescent="0.2">
      <c r="C161" s="278" t="s">
        <v>221</v>
      </c>
      <c r="D161" s="279"/>
      <c r="E161" s="42" t="s">
        <v>338</v>
      </c>
      <c r="F161" s="26" t="s">
        <v>889</v>
      </c>
      <c r="G161" s="27" t="s">
        <v>890</v>
      </c>
      <c r="H161" s="26" t="s">
        <v>901</v>
      </c>
      <c r="I161" s="32"/>
      <c r="J161" s="32">
        <v>7269.08</v>
      </c>
      <c r="K161" s="32">
        <f t="shared" si="9"/>
        <v>7269.08</v>
      </c>
    </row>
    <row r="162" spans="3:11" ht="19.5" customHeight="1" x14ac:dyDescent="0.2">
      <c r="C162" s="278" t="s">
        <v>222</v>
      </c>
      <c r="D162" s="279"/>
      <c r="E162" s="42" t="s">
        <v>338</v>
      </c>
      <c r="F162" s="26" t="s">
        <v>889</v>
      </c>
      <c r="G162" s="27" t="s">
        <v>890</v>
      </c>
      <c r="H162" s="26" t="s">
        <v>902</v>
      </c>
      <c r="I162" s="32"/>
      <c r="J162" s="32">
        <v>3463.76</v>
      </c>
      <c r="K162" s="32">
        <f t="shared" si="9"/>
        <v>3463.76</v>
      </c>
    </row>
    <row r="163" spans="3:11" ht="19.5" customHeight="1" x14ac:dyDescent="0.2">
      <c r="C163" s="278" t="s">
        <v>223</v>
      </c>
      <c r="D163" s="279"/>
      <c r="E163" s="42" t="s">
        <v>338</v>
      </c>
      <c r="F163" s="26" t="s">
        <v>889</v>
      </c>
      <c r="G163" s="27" t="s">
        <v>890</v>
      </c>
      <c r="H163" s="26" t="s">
        <v>900</v>
      </c>
      <c r="I163" s="32"/>
      <c r="J163" s="32">
        <v>865.94</v>
      </c>
      <c r="K163" s="32">
        <f t="shared" si="9"/>
        <v>865.94</v>
      </c>
    </row>
    <row r="164" spans="3:11" ht="19.5" customHeight="1" x14ac:dyDescent="0.2">
      <c r="C164" s="278" t="s">
        <v>224</v>
      </c>
      <c r="D164" s="279"/>
      <c r="E164" s="42" t="s">
        <v>338</v>
      </c>
      <c r="F164" s="26" t="s">
        <v>889</v>
      </c>
      <c r="G164" s="27" t="s">
        <v>890</v>
      </c>
      <c r="H164" s="26" t="s">
        <v>903</v>
      </c>
      <c r="I164" s="32"/>
      <c r="J164" s="32">
        <v>2597.8200000000002</v>
      </c>
      <c r="K164" s="32">
        <f t="shared" si="9"/>
        <v>2597.8200000000002</v>
      </c>
    </row>
    <row r="165" spans="3:11" ht="19.5" customHeight="1" x14ac:dyDescent="0.2">
      <c r="C165" s="278" t="s">
        <v>225</v>
      </c>
      <c r="D165" s="279"/>
      <c r="E165" s="42" t="s">
        <v>338</v>
      </c>
      <c r="F165" s="26" t="s">
        <v>889</v>
      </c>
      <c r="G165" s="27" t="s">
        <v>890</v>
      </c>
      <c r="H165" s="26" t="s">
        <v>904</v>
      </c>
      <c r="I165" s="32"/>
      <c r="J165" s="32">
        <v>4762.67</v>
      </c>
      <c r="K165" s="32">
        <f t="shared" si="9"/>
        <v>4762.67</v>
      </c>
    </row>
    <row r="166" spans="3:11" ht="19.5" customHeight="1" x14ac:dyDescent="0.2">
      <c r="C166" s="278" t="s">
        <v>226</v>
      </c>
      <c r="D166" s="279"/>
      <c r="E166" s="42" t="s">
        <v>352</v>
      </c>
      <c r="F166" s="26" t="s">
        <v>905</v>
      </c>
      <c r="G166" s="27" t="s">
        <v>906</v>
      </c>
      <c r="H166" s="26" t="s">
        <v>907</v>
      </c>
      <c r="I166" s="32"/>
      <c r="J166" s="32">
        <v>6306.3</v>
      </c>
      <c r="K166" s="32">
        <f t="shared" si="9"/>
        <v>6306.3</v>
      </c>
    </row>
    <row r="167" spans="3:11" ht="19.5" customHeight="1" x14ac:dyDescent="0.2">
      <c r="C167" s="278" t="s">
        <v>227</v>
      </c>
      <c r="D167" s="279"/>
      <c r="E167" s="42" t="s">
        <v>294</v>
      </c>
      <c r="F167" s="26" t="s">
        <v>908</v>
      </c>
      <c r="G167" s="27" t="s">
        <v>909</v>
      </c>
      <c r="H167" s="26" t="s">
        <v>910</v>
      </c>
      <c r="I167" s="32"/>
      <c r="J167" s="32">
        <v>12714.76</v>
      </c>
      <c r="K167" s="32">
        <f t="shared" si="9"/>
        <v>12714.76</v>
      </c>
    </row>
    <row r="168" spans="3:11" ht="19.5" customHeight="1" x14ac:dyDescent="0.2">
      <c r="C168" s="278" t="s">
        <v>228</v>
      </c>
      <c r="D168" s="279"/>
      <c r="E168" s="42" t="s">
        <v>294</v>
      </c>
      <c r="F168" s="26" t="s">
        <v>911</v>
      </c>
      <c r="G168" s="27" t="s">
        <v>912</v>
      </c>
      <c r="H168" s="26" t="s">
        <v>913</v>
      </c>
      <c r="I168" s="32"/>
      <c r="J168" s="32">
        <v>8330.36</v>
      </c>
      <c r="K168" s="32">
        <f t="shared" si="9"/>
        <v>8330.36</v>
      </c>
    </row>
    <row r="169" spans="3:11" ht="19.5" customHeight="1" x14ac:dyDescent="0.2">
      <c r="C169" s="278" t="s">
        <v>229</v>
      </c>
      <c r="D169" s="279"/>
      <c r="E169" s="42" t="s">
        <v>292</v>
      </c>
      <c r="F169" s="26" t="s">
        <v>914</v>
      </c>
      <c r="G169" s="27" t="s">
        <v>915</v>
      </c>
      <c r="H169" s="26" t="s">
        <v>916</v>
      </c>
      <c r="I169" s="32"/>
      <c r="J169" s="32">
        <v>5359.25</v>
      </c>
      <c r="K169" s="32">
        <f t="shared" si="9"/>
        <v>5359.25</v>
      </c>
    </row>
    <row r="170" spans="3:11" ht="19.5" customHeight="1" x14ac:dyDescent="0.2">
      <c r="C170" s="278" t="s">
        <v>230</v>
      </c>
      <c r="D170" s="279"/>
      <c r="E170" s="42" t="s">
        <v>338</v>
      </c>
      <c r="F170" s="26" t="s">
        <v>917</v>
      </c>
      <c r="G170" s="27" t="s">
        <v>840</v>
      </c>
      <c r="H170" s="26" t="s">
        <v>918</v>
      </c>
      <c r="I170" s="32"/>
      <c r="J170" s="32">
        <v>8659.4</v>
      </c>
      <c r="K170" s="32">
        <f t="shared" si="9"/>
        <v>8659.4</v>
      </c>
    </row>
    <row r="171" spans="3:11" ht="19.5" customHeight="1" x14ac:dyDescent="0.2">
      <c r="C171" s="278" t="s">
        <v>231</v>
      </c>
      <c r="D171" s="279"/>
      <c r="E171" s="42" t="s">
        <v>338</v>
      </c>
      <c r="F171" s="26" t="s">
        <v>917</v>
      </c>
      <c r="G171" s="27" t="s">
        <v>840</v>
      </c>
      <c r="H171" s="26" t="s">
        <v>919</v>
      </c>
      <c r="I171" s="32"/>
      <c r="J171" s="32">
        <v>8659.4</v>
      </c>
      <c r="K171" s="32">
        <f t="shared" si="9"/>
        <v>8659.4</v>
      </c>
    </row>
    <row r="172" spans="3:11" ht="19.5" customHeight="1" x14ac:dyDescent="0.2">
      <c r="C172" s="278" t="s">
        <v>232</v>
      </c>
      <c r="D172" s="279"/>
      <c r="E172" s="42" t="s">
        <v>338</v>
      </c>
      <c r="F172" s="26" t="s">
        <v>917</v>
      </c>
      <c r="G172" s="27" t="s">
        <v>840</v>
      </c>
      <c r="H172" s="26" t="s">
        <v>920</v>
      </c>
      <c r="I172" s="32"/>
      <c r="J172" s="32">
        <v>865.94</v>
      </c>
      <c r="K172" s="32">
        <f t="shared" si="9"/>
        <v>865.94</v>
      </c>
    </row>
    <row r="173" spans="3:11" ht="19.5" customHeight="1" x14ac:dyDescent="0.2">
      <c r="C173" s="278" t="s">
        <v>233</v>
      </c>
      <c r="D173" s="279"/>
      <c r="E173" s="42" t="s">
        <v>338</v>
      </c>
      <c r="F173" s="26" t="s">
        <v>917</v>
      </c>
      <c r="G173" s="27" t="s">
        <v>840</v>
      </c>
      <c r="H173" s="26" t="s">
        <v>921</v>
      </c>
      <c r="I173" s="32"/>
      <c r="J173" s="32">
        <v>865.94</v>
      </c>
      <c r="K173" s="32">
        <f t="shared" si="9"/>
        <v>865.94</v>
      </c>
    </row>
    <row r="174" spans="3:11" ht="19.5" customHeight="1" x14ac:dyDescent="0.2">
      <c r="C174" s="278" t="s">
        <v>234</v>
      </c>
      <c r="D174" s="279"/>
      <c r="E174" s="42" t="s">
        <v>338</v>
      </c>
      <c r="F174" s="26" t="s">
        <v>917</v>
      </c>
      <c r="G174" s="27" t="s">
        <v>840</v>
      </c>
      <c r="H174" s="26" t="s">
        <v>922</v>
      </c>
      <c r="I174" s="32"/>
      <c r="J174" s="32">
        <v>4672.9799999999996</v>
      </c>
      <c r="K174" s="32">
        <f t="shared" si="9"/>
        <v>4672.9799999999996</v>
      </c>
    </row>
    <row r="175" spans="3:11" ht="19.5" customHeight="1" x14ac:dyDescent="0.2">
      <c r="C175" s="278" t="s">
        <v>235</v>
      </c>
      <c r="D175" s="279"/>
      <c r="E175" s="42" t="s">
        <v>338</v>
      </c>
      <c r="F175" s="26" t="s">
        <v>917</v>
      </c>
      <c r="G175" s="27" t="s">
        <v>840</v>
      </c>
      <c r="H175" s="26" t="s">
        <v>923</v>
      </c>
      <c r="I175" s="32"/>
      <c r="J175" s="32">
        <v>9525.34</v>
      </c>
      <c r="K175" s="32">
        <f t="shared" si="9"/>
        <v>9525.34</v>
      </c>
    </row>
    <row r="176" spans="3:11" ht="19.5" customHeight="1" x14ac:dyDescent="0.2">
      <c r="C176" s="278" t="s">
        <v>236</v>
      </c>
      <c r="D176" s="279"/>
      <c r="E176" s="42" t="s">
        <v>338</v>
      </c>
      <c r="F176" s="26" t="s">
        <v>917</v>
      </c>
      <c r="G176" s="27" t="s">
        <v>840</v>
      </c>
      <c r="H176" s="26" t="s">
        <v>924</v>
      </c>
      <c r="I176" s="32"/>
      <c r="J176" s="32">
        <v>8659.4</v>
      </c>
      <c r="K176" s="32">
        <f t="shared" si="9"/>
        <v>8659.4</v>
      </c>
    </row>
    <row r="177" spans="3:11" ht="19.5" customHeight="1" x14ac:dyDescent="0.2">
      <c r="C177" s="278" t="s">
        <v>237</v>
      </c>
      <c r="D177" s="279"/>
      <c r="E177" s="42" t="s">
        <v>338</v>
      </c>
      <c r="F177" s="26" t="s">
        <v>917</v>
      </c>
      <c r="G177" s="27" t="s">
        <v>840</v>
      </c>
      <c r="H177" s="26" t="s">
        <v>925</v>
      </c>
      <c r="I177" s="32"/>
      <c r="J177" s="32">
        <v>4329.7</v>
      </c>
      <c r="K177" s="32">
        <f t="shared" si="9"/>
        <v>4329.7</v>
      </c>
    </row>
    <row r="178" spans="3:11" ht="19.5" customHeight="1" x14ac:dyDescent="0.2">
      <c r="C178" s="278" t="s">
        <v>238</v>
      </c>
      <c r="D178" s="279"/>
      <c r="E178" s="42" t="s">
        <v>338</v>
      </c>
      <c r="F178" s="26" t="s">
        <v>917</v>
      </c>
      <c r="G178" s="27" t="s">
        <v>840</v>
      </c>
      <c r="H178" s="26" t="s">
        <v>926</v>
      </c>
      <c r="I178" s="32"/>
      <c r="J178" s="32">
        <v>432.97</v>
      </c>
      <c r="K178" s="32">
        <f t="shared" si="9"/>
        <v>432.97</v>
      </c>
    </row>
    <row r="179" spans="3:11" ht="19.5" customHeight="1" x14ac:dyDescent="0.2">
      <c r="C179" s="278" t="s">
        <v>239</v>
      </c>
      <c r="D179" s="279"/>
      <c r="E179" s="42" t="s">
        <v>338</v>
      </c>
      <c r="F179" s="26" t="s">
        <v>917</v>
      </c>
      <c r="G179" s="27" t="s">
        <v>840</v>
      </c>
      <c r="H179" s="26" t="s">
        <v>927</v>
      </c>
      <c r="I179" s="32"/>
      <c r="J179" s="32">
        <v>5521.8</v>
      </c>
      <c r="K179" s="32">
        <f t="shared" si="9"/>
        <v>5521.8</v>
      </c>
    </row>
    <row r="180" spans="3:11" ht="19.5" customHeight="1" x14ac:dyDescent="0.2">
      <c r="C180" s="278" t="s">
        <v>240</v>
      </c>
      <c r="D180" s="279"/>
      <c r="E180" s="42" t="s">
        <v>338</v>
      </c>
      <c r="F180" s="26" t="s">
        <v>917</v>
      </c>
      <c r="G180" s="27" t="s">
        <v>840</v>
      </c>
      <c r="H180" s="26" t="s">
        <v>928</v>
      </c>
      <c r="I180" s="32"/>
      <c r="J180" s="32">
        <v>9525.34</v>
      </c>
      <c r="K180" s="32">
        <f t="shared" si="9"/>
        <v>9525.34</v>
      </c>
    </row>
    <row r="181" spans="3:11" ht="19.5" customHeight="1" x14ac:dyDescent="0.2">
      <c r="C181" s="278" t="s">
        <v>241</v>
      </c>
      <c r="D181" s="279"/>
      <c r="E181" s="42" t="s">
        <v>294</v>
      </c>
      <c r="F181" s="26" t="s">
        <v>929</v>
      </c>
      <c r="G181" s="27" t="s">
        <v>930</v>
      </c>
      <c r="H181" s="26" t="s">
        <v>931</v>
      </c>
      <c r="I181" s="32"/>
      <c r="J181" s="32">
        <v>8768.7999999999993</v>
      </c>
      <c r="K181" s="32">
        <f t="shared" si="9"/>
        <v>8768.7999999999993</v>
      </c>
    </row>
    <row r="182" spans="3:11" ht="19.5" customHeight="1" x14ac:dyDescent="0.2">
      <c r="C182" s="278" t="s">
        <v>242</v>
      </c>
      <c r="D182" s="279"/>
      <c r="E182" s="42" t="s">
        <v>294</v>
      </c>
      <c r="F182" s="26" t="s">
        <v>932</v>
      </c>
      <c r="G182" s="27" t="s">
        <v>930</v>
      </c>
      <c r="H182" s="26" t="s">
        <v>933</v>
      </c>
      <c r="I182" s="32"/>
      <c r="J182" s="32">
        <v>7352.6</v>
      </c>
      <c r="K182" s="32">
        <f t="shared" si="9"/>
        <v>7352.6</v>
      </c>
    </row>
    <row r="183" spans="3:11" ht="19.5" customHeight="1" x14ac:dyDescent="0.2">
      <c r="C183" s="278" t="s">
        <v>243</v>
      </c>
      <c r="D183" s="279"/>
      <c r="E183" s="42" t="s">
        <v>352</v>
      </c>
      <c r="F183" s="26" t="s">
        <v>934</v>
      </c>
      <c r="G183" s="27" t="s">
        <v>935</v>
      </c>
      <c r="H183" s="26" t="s">
        <v>936</v>
      </c>
      <c r="I183" s="32"/>
      <c r="J183" s="32">
        <v>4851</v>
      </c>
      <c r="K183" s="32">
        <f t="shared" si="9"/>
        <v>4851</v>
      </c>
    </row>
    <row r="184" spans="3:11" ht="19.5" customHeight="1" x14ac:dyDescent="0.2">
      <c r="C184" s="278" t="s">
        <v>244</v>
      </c>
      <c r="D184" s="279"/>
      <c r="E184" s="42" t="s">
        <v>292</v>
      </c>
      <c r="F184" s="26" t="s">
        <v>937</v>
      </c>
      <c r="G184" s="27" t="s">
        <v>938</v>
      </c>
      <c r="H184" s="26" t="s">
        <v>939</v>
      </c>
      <c r="I184" s="32"/>
      <c r="J184" s="32">
        <v>6246.8</v>
      </c>
      <c r="K184" s="32">
        <f t="shared" si="9"/>
        <v>6246.8</v>
      </c>
    </row>
    <row r="185" spans="3:11" ht="19.5" customHeight="1" x14ac:dyDescent="0.2">
      <c r="C185" s="278" t="s">
        <v>245</v>
      </c>
      <c r="D185" s="279"/>
      <c r="E185" s="42" t="s">
        <v>294</v>
      </c>
      <c r="F185" s="26" t="s">
        <v>940</v>
      </c>
      <c r="G185" s="27" t="s">
        <v>930</v>
      </c>
      <c r="H185" s="26" t="s">
        <v>941</v>
      </c>
      <c r="I185" s="32"/>
      <c r="J185" s="32">
        <v>7777.46</v>
      </c>
      <c r="K185" s="32">
        <f t="shared" si="9"/>
        <v>7777.46</v>
      </c>
    </row>
    <row r="186" spans="3:11" ht="19.5" customHeight="1" x14ac:dyDescent="0.2">
      <c r="C186" s="278" t="s">
        <v>246</v>
      </c>
      <c r="D186" s="279"/>
      <c r="E186" s="42" t="s">
        <v>292</v>
      </c>
      <c r="F186" s="26" t="s">
        <v>942</v>
      </c>
      <c r="G186" s="27" t="s">
        <v>938</v>
      </c>
      <c r="H186" s="26" t="s">
        <v>916</v>
      </c>
      <c r="I186" s="32"/>
      <c r="J186" s="32">
        <v>6620.25</v>
      </c>
      <c r="K186" s="32">
        <f t="shared" si="9"/>
        <v>6620.25</v>
      </c>
    </row>
    <row r="187" spans="3:11" ht="19.5" customHeight="1" x14ac:dyDescent="0.2">
      <c r="C187" s="278" t="s">
        <v>247</v>
      </c>
      <c r="D187" s="279"/>
      <c r="E187" s="42" t="s">
        <v>294</v>
      </c>
      <c r="F187" s="26" t="s">
        <v>943</v>
      </c>
      <c r="G187" s="27" t="s">
        <v>944</v>
      </c>
      <c r="H187" s="26" t="s">
        <v>945</v>
      </c>
      <c r="I187" s="32"/>
      <c r="J187" s="32">
        <v>4383</v>
      </c>
      <c r="K187" s="32">
        <f t="shared" si="9"/>
        <v>4383</v>
      </c>
    </row>
    <row r="188" spans="3:11" ht="19.5" customHeight="1" x14ac:dyDescent="0.2">
      <c r="C188" s="278" t="s">
        <v>248</v>
      </c>
      <c r="D188" s="279"/>
      <c r="E188" s="42" t="s">
        <v>294</v>
      </c>
      <c r="F188" s="26" t="s">
        <v>946</v>
      </c>
      <c r="G188" s="27" t="s">
        <v>909</v>
      </c>
      <c r="H188" s="26" t="s">
        <v>941</v>
      </c>
      <c r="I188" s="32"/>
      <c r="J188" s="32">
        <v>8186.8</v>
      </c>
      <c r="K188" s="32">
        <f t="shared" si="9"/>
        <v>8186.8</v>
      </c>
    </row>
    <row r="189" spans="3:11" ht="19.5" customHeight="1" x14ac:dyDescent="0.2">
      <c r="C189" s="278" t="s">
        <v>249</v>
      </c>
      <c r="D189" s="279"/>
      <c r="E189" s="42" t="s">
        <v>288</v>
      </c>
      <c r="F189" s="26" t="s">
        <v>947</v>
      </c>
      <c r="G189" s="27" t="s">
        <v>948</v>
      </c>
      <c r="H189" s="26" t="s">
        <v>949</v>
      </c>
      <c r="I189" s="32"/>
      <c r="J189" s="32">
        <v>5054</v>
      </c>
      <c r="K189" s="32">
        <f t="shared" si="9"/>
        <v>5054</v>
      </c>
    </row>
    <row r="190" spans="3:11" ht="19.5" customHeight="1" x14ac:dyDescent="0.2">
      <c r="C190" s="278" t="s">
        <v>250</v>
      </c>
      <c r="D190" s="279"/>
      <c r="E190" s="42" t="s">
        <v>292</v>
      </c>
      <c r="F190" s="26" t="s">
        <v>950</v>
      </c>
      <c r="G190" s="27" t="s">
        <v>948</v>
      </c>
      <c r="H190" s="26" t="s">
        <v>916</v>
      </c>
      <c r="I190" s="32"/>
      <c r="J190" s="32">
        <v>6305</v>
      </c>
      <c r="K190" s="32">
        <f t="shared" si="9"/>
        <v>6305</v>
      </c>
    </row>
    <row r="191" spans="3:11" ht="19.5" customHeight="1" x14ac:dyDescent="0.2">
      <c r="C191" s="278" t="s">
        <v>251</v>
      </c>
      <c r="D191" s="279"/>
      <c r="E191" s="42" t="s">
        <v>294</v>
      </c>
      <c r="F191" s="26" t="s">
        <v>951</v>
      </c>
      <c r="G191" s="27" t="s">
        <v>944</v>
      </c>
      <c r="H191" s="26" t="s">
        <v>933</v>
      </c>
      <c r="I191" s="32"/>
      <c r="J191" s="32">
        <v>6984.97</v>
      </c>
      <c r="K191" s="32">
        <f t="shared" si="9"/>
        <v>6984.97</v>
      </c>
    </row>
    <row r="192" spans="3:11" ht="19.5" customHeight="1" x14ac:dyDescent="0.2">
      <c r="C192" s="278" t="s">
        <v>252</v>
      </c>
      <c r="D192" s="279"/>
      <c r="E192" s="42" t="s">
        <v>338</v>
      </c>
      <c r="F192" s="26" t="s">
        <v>952</v>
      </c>
      <c r="G192" s="27" t="s">
        <v>912</v>
      </c>
      <c r="H192" s="26" t="s">
        <v>953</v>
      </c>
      <c r="I192" s="32"/>
      <c r="J192" s="32">
        <v>8226.43</v>
      </c>
      <c r="K192" s="32">
        <f t="shared" si="9"/>
        <v>8226.43</v>
      </c>
    </row>
    <row r="193" spans="3:11" ht="19.5" customHeight="1" x14ac:dyDescent="0.2">
      <c r="C193" s="278" t="s">
        <v>253</v>
      </c>
      <c r="D193" s="279"/>
      <c r="E193" s="42" t="s">
        <v>338</v>
      </c>
      <c r="F193" s="26" t="s">
        <v>952</v>
      </c>
      <c r="G193" s="27" t="s">
        <v>912</v>
      </c>
      <c r="H193" s="26" t="s">
        <v>954</v>
      </c>
      <c r="I193" s="32"/>
      <c r="J193" s="32">
        <v>8466.76</v>
      </c>
      <c r="K193" s="32">
        <f t="shared" si="9"/>
        <v>8466.76</v>
      </c>
    </row>
    <row r="194" spans="3:11" ht="19.5" customHeight="1" x14ac:dyDescent="0.2">
      <c r="C194" s="278" t="s">
        <v>254</v>
      </c>
      <c r="D194" s="279"/>
      <c r="E194" s="42" t="s">
        <v>338</v>
      </c>
      <c r="F194" s="26" t="s">
        <v>952</v>
      </c>
      <c r="G194" s="27" t="s">
        <v>912</v>
      </c>
      <c r="H194" s="26" t="s">
        <v>955</v>
      </c>
      <c r="I194" s="32"/>
      <c r="J194" s="32">
        <v>4677.6499999999996</v>
      </c>
      <c r="K194" s="32">
        <f t="shared" si="9"/>
        <v>4677.6499999999996</v>
      </c>
    </row>
    <row r="195" spans="3:11" ht="19.5" customHeight="1" x14ac:dyDescent="0.2">
      <c r="C195" s="278" t="s">
        <v>255</v>
      </c>
      <c r="D195" s="279"/>
      <c r="E195" s="42" t="s">
        <v>338</v>
      </c>
      <c r="F195" s="26" t="s">
        <v>952</v>
      </c>
      <c r="G195" s="27" t="s">
        <v>912</v>
      </c>
      <c r="H195" s="26" t="s">
        <v>956</v>
      </c>
      <c r="I195" s="32"/>
      <c r="J195" s="32">
        <v>4329.7</v>
      </c>
      <c r="K195" s="32">
        <f t="shared" si="9"/>
        <v>4329.7</v>
      </c>
    </row>
    <row r="196" spans="3:11" ht="19.5" customHeight="1" x14ac:dyDescent="0.2">
      <c r="C196" s="278" t="s">
        <v>256</v>
      </c>
      <c r="D196" s="279"/>
      <c r="E196" s="42" t="s">
        <v>338</v>
      </c>
      <c r="F196" s="26" t="s">
        <v>952</v>
      </c>
      <c r="G196" s="27" t="s">
        <v>912</v>
      </c>
      <c r="H196" s="26" t="s">
        <v>957</v>
      </c>
      <c r="I196" s="32"/>
      <c r="J196" s="32">
        <v>3896.73</v>
      </c>
      <c r="K196" s="32">
        <f t="shared" si="9"/>
        <v>3896.73</v>
      </c>
    </row>
    <row r="197" spans="3:11" ht="19.5" customHeight="1" x14ac:dyDescent="0.2">
      <c r="C197" s="278" t="s">
        <v>257</v>
      </c>
      <c r="D197" s="279"/>
      <c r="E197" s="42" t="s">
        <v>338</v>
      </c>
      <c r="F197" s="26" t="s">
        <v>952</v>
      </c>
      <c r="G197" s="27" t="s">
        <v>912</v>
      </c>
      <c r="H197" s="26" t="s">
        <v>958</v>
      </c>
      <c r="I197" s="32"/>
      <c r="J197" s="32">
        <v>8226.43</v>
      </c>
      <c r="K197" s="32">
        <f t="shared" si="9"/>
        <v>8226.43</v>
      </c>
    </row>
    <row r="198" spans="3:11" ht="19.5" customHeight="1" x14ac:dyDescent="0.2">
      <c r="C198" s="278" t="s">
        <v>258</v>
      </c>
      <c r="D198" s="279"/>
      <c r="E198" s="42" t="s">
        <v>338</v>
      </c>
      <c r="F198" s="26" t="s">
        <v>952</v>
      </c>
      <c r="G198" s="27" t="s">
        <v>912</v>
      </c>
      <c r="H198" s="26" t="s">
        <v>959</v>
      </c>
      <c r="I198" s="32"/>
      <c r="J198" s="32">
        <v>8226.43</v>
      </c>
      <c r="K198" s="32">
        <f t="shared" si="9"/>
        <v>8226.43</v>
      </c>
    </row>
    <row r="199" spans="3:11" ht="19.5" customHeight="1" x14ac:dyDescent="0.2">
      <c r="C199" s="278" t="s">
        <v>259</v>
      </c>
      <c r="D199" s="279"/>
      <c r="E199" s="42" t="s">
        <v>338</v>
      </c>
      <c r="F199" s="26" t="s">
        <v>952</v>
      </c>
      <c r="G199" s="27" t="s">
        <v>912</v>
      </c>
      <c r="H199" s="26" t="s">
        <v>954</v>
      </c>
      <c r="I199" s="32"/>
      <c r="J199" s="32">
        <v>6994.28</v>
      </c>
      <c r="K199" s="32">
        <f t="shared" si="9"/>
        <v>6994.28</v>
      </c>
    </row>
    <row r="200" spans="3:11" ht="19.5" customHeight="1" x14ac:dyDescent="0.2">
      <c r="C200" s="278" t="s">
        <v>260</v>
      </c>
      <c r="D200" s="279"/>
      <c r="E200" s="42" t="s">
        <v>338</v>
      </c>
      <c r="F200" s="26" t="s">
        <v>952</v>
      </c>
      <c r="G200" s="27" t="s">
        <v>912</v>
      </c>
      <c r="H200" s="26" t="s">
        <v>960</v>
      </c>
      <c r="I200" s="32"/>
      <c r="J200" s="32">
        <v>6927.52</v>
      </c>
      <c r="K200" s="32">
        <f t="shared" si="9"/>
        <v>6927.52</v>
      </c>
    </row>
    <row r="201" spans="3:11" ht="19.5" customHeight="1" x14ac:dyDescent="0.2">
      <c r="C201" s="278" t="s">
        <v>261</v>
      </c>
      <c r="D201" s="279"/>
      <c r="E201" s="42" t="s">
        <v>352</v>
      </c>
      <c r="F201" s="26" t="s">
        <v>961</v>
      </c>
      <c r="G201" s="27" t="s">
        <v>962</v>
      </c>
      <c r="H201" s="26" t="s">
        <v>963</v>
      </c>
      <c r="I201" s="32"/>
      <c r="J201" s="32">
        <v>8167.5</v>
      </c>
      <c r="K201" s="32">
        <f t="shared" si="9"/>
        <v>8167.5</v>
      </c>
    </row>
    <row r="202" spans="3:11" ht="19.5" customHeight="1" x14ac:dyDescent="0.2">
      <c r="C202" s="278" t="s">
        <v>262</v>
      </c>
      <c r="D202" s="279"/>
      <c r="E202" s="42" t="s">
        <v>344</v>
      </c>
      <c r="F202" s="26" t="s">
        <v>964</v>
      </c>
      <c r="G202" s="27" t="s">
        <v>938</v>
      </c>
      <c r="H202" s="26" t="s">
        <v>965</v>
      </c>
      <c r="I202" s="32"/>
      <c r="J202" s="32">
        <v>11020.12</v>
      </c>
      <c r="K202" s="32">
        <f t="shared" si="9"/>
        <v>11020.12</v>
      </c>
    </row>
    <row r="203" spans="3:11" ht="19.5" customHeight="1" x14ac:dyDescent="0.2">
      <c r="C203" s="278" t="s">
        <v>263</v>
      </c>
      <c r="D203" s="279"/>
      <c r="E203" s="42" t="s">
        <v>352</v>
      </c>
      <c r="F203" s="26" t="s">
        <v>966</v>
      </c>
      <c r="G203" s="27" t="s">
        <v>962</v>
      </c>
      <c r="H203" s="26" t="s">
        <v>967</v>
      </c>
      <c r="I203" s="32"/>
      <c r="J203" s="32">
        <v>7425</v>
      </c>
      <c r="K203" s="32">
        <f t="shared" si="9"/>
        <v>7425</v>
      </c>
    </row>
    <row r="204" spans="3:11" ht="19.5" customHeight="1" x14ac:dyDescent="0.2">
      <c r="C204" s="278" t="s">
        <v>264</v>
      </c>
      <c r="D204" s="279"/>
      <c r="E204" s="42" t="s">
        <v>352</v>
      </c>
      <c r="F204" s="26" t="s">
        <v>968</v>
      </c>
      <c r="G204" s="27" t="s">
        <v>935</v>
      </c>
      <c r="H204" s="26" t="s">
        <v>969</v>
      </c>
      <c r="I204" s="32"/>
      <c r="J204" s="32">
        <v>5821.2</v>
      </c>
      <c r="K204" s="32">
        <f t="shared" si="9"/>
        <v>5821.2</v>
      </c>
    </row>
    <row r="205" spans="3:11" ht="19.5" customHeight="1" x14ac:dyDescent="0.2">
      <c r="C205" s="278" t="s">
        <v>265</v>
      </c>
      <c r="D205" s="279"/>
      <c r="E205" s="42" t="s">
        <v>338</v>
      </c>
      <c r="F205" s="26" t="s">
        <v>970</v>
      </c>
      <c r="G205" s="27" t="s">
        <v>851</v>
      </c>
      <c r="H205" s="26" t="s">
        <v>971</v>
      </c>
      <c r="I205" s="32"/>
      <c r="J205" s="32">
        <v>9525.34</v>
      </c>
      <c r="K205" s="32">
        <f t="shared" si="9"/>
        <v>9525.34</v>
      </c>
    </row>
    <row r="206" spans="3:11" ht="19.5" customHeight="1" x14ac:dyDescent="0.2">
      <c r="C206" s="278" t="s">
        <v>266</v>
      </c>
      <c r="D206" s="279"/>
      <c r="E206" s="42" t="s">
        <v>338</v>
      </c>
      <c r="F206" s="26" t="s">
        <v>970</v>
      </c>
      <c r="G206" s="27" t="s">
        <v>851</v>
      </c>
      <c r="H206" s="26" t="s">
        <v>972</v>
      </c>
      <c r="I206" s="32"/>
      <c r="J206" s="32">
        <v>6061.58</v>
      </c>
      <c r="K206" s="32">
        <f t="shared" si="9"/>
        <v>6061.58</v>
      </c>
    </row>
    <row r="207" spans="3:11" ht="19.5" customHeight="1" x14ac:dyDescent="0.2">
      <c r="C207" s="278" t="s">
        <v>267</v>
      </c>
      <c r="D207" s="279"/>
      <c r="E207" s="42" t="s">
        <v>338</v>
      </c>
      <c r="F207" s="26" t="s">
        <v>970</v>
      </c>
      <c r="G207" s="27" t="s">
        <v>851</v>
      </c>
      <c r="H207" s="26" t="s">
        <v>973</v>
      </c>
      <c r="I207" s="32"/>
      <c r="J207" s="32">
        <v>9865.18</v>
      </c>
      <c r="K207" s="32">
        <f t="shared" si="9"/>
        <v>9865.18</v>
      </c>
    </row>
    <row r="208" spans="3:11" ht="19.5" customHeight="1" x14ac:dyDescent="0.2">
      <c r="C208" s="278" t="s">
        <v>268</v>
      </c>
      <c r="D208" s="279"/>
      <c r="E208" s="42" t="s">
        <v>338</v>
      </c>
      <c r="F208" s="26" t="s">
        <v>970</v>
      </c>
      <c r="G208" s="27" t="s">
        <v>851</v>
      </c>
      <c r="H208" s="26" t="s">
        <v>974</v>
      </c>
      <c r="I208" s="32"/>
      <c r="J208" s="32">
        <v>2576.84</v>
      </c>
      <c r="K208" s="32">
        <f t="shared" si="9"/>
        <v>2576.84</v>
      </c>
    </row>
    <row r="209" spans="3:11" ht="19.5" customHeight="1" x14ac:dyDescent="0.2">
      <c r="C209" s="278" t="s">
        <v>269</v>
      </c>
      <c r="D209" s="279"/>
      <c r="E209" s="42" t="s">
        <v>338</v>
      </c>
      <c r="F209" s="26" t="s">
        <v>970</v>
      </c>
      <c r="G209" s="27" t="s">
        <v>851</v>
      </c>
      <c r="H209" s="26" t="s">
        <v>975</v>
      </c>
      <c r="I209" s="32"/>
      <c r="J209" s="32">
        <v>6061.58</v>
      </c>
      <c r="K209" s="32">
        <f t="shared" si="9"/>
        <v>6061.58</v>
      </c>
    </row>
    <row r="210" spans="3:11" ht="19.5" customHeight="1" x14ac:dyDescent="0.2">
      <c r="C210" s="278" t="s">
        <v>270</v>
      </c>
      <c r="D210" s="279"/>
      <c r="E210" s="42" t="s">
        <v>338</v>
      </c>
      <c r="F210" s="26" t="s">
        <v>970</v>
      </c>
      <c r="G210" s="27" t="s">
        <v>851</v>
      </c>
      <c r="H210" s="26" t="s">
        <v>976</v>
      </c>
      <c r="I210" s="32"/>
      <c r="J210" s="32">
        <v>11422.84</v>
      </c>
      <c r="K210" s="32">
        <f t="shared" si="9"/>
        <v>11422.84</v>
      </c>
    </row>
    <row r="211" spans="3:11" ht="19.5" customHeight="1" x14ac:dyDescent="0.2">
      <c r="C211" s="278" t="s">
        <v>271</v>
      </c>
      <c r="D211" s="279"/>
      <c r="E211" s="42" t="s">
        <v>338</v>
      </c>
      <c r="F211" s="26" t="s">
        <v>970</v>
      </c>
      <c r="G211" s="27" t="s">
        <v>851</v>
      </c>
      <c r="H211" s="26" t="s">
        <v>977</v>
      </c>
      <c r="I211" s="32"/>
      <c r="J211" s="32">
        <v>7360.49</v>
      </c>
      <c r="K211" s="32">
        <f t="shared" si="9"/>
        <v>7360.49</v>
      </c>
    </row>
    <row r="212" spans="3:11" ht="19.5" customHeight="1" x14ac:dyDescent="0.2">
      <c r="C212" s="278" t="s">
        <v>272</v>
      </c>
      <c r="D212" s="279"/>
      <c r="E212" s="42" t="s">
        <v>338</v>
      </c>
      <c r="F212" s="26" t="s">
        <v>970</v>
      </c>
      <c r="G212" s="27" t="s">
        <v>851</v>
      </c>
      <c r="H212" s="26" t="s">
        <v>978</v>
      </c>
      <c r="I212" s="32"/>
      <c r="J212" s="32">
        <v>6927.52</v>
      </c>
      <c r="K212" s="32">
        <f t="shared" si="9"/>
        <v>6927.52</v>
      </c>
    </row>
    <row r="213" spans="3:11" ht="19.5" customHeight="1" x14ac:dyDescent="0.2">
      <c r="C213" s="278" t="s">
        <v>273</v>
      </c>
      <c r="D213" s="279"/>
      <c r="E213" s="42" t="s">
        <v>338</v>
      </c>
      <c r="F213" s="26" t="s">
        <v>970</v>
      </c>
      <c r="G213" s="27" t="s">
        <v>851</v>
      </c>
      <c r="H213" s="26" t="s">
        <v>979</v>
      </c>
      <c r="I213" s="32"/>
      <c r="J213" s="32">
        <v>1298.9100000000001</v>
      </c>
      <c r="K213" s="32">
        <f t="shared" si="9"/>
        <v>1298.9100000000001</v>
      </c>
    </row>
    <row r="214" spans="3:11" ht="19.5" customHeight="1" x14ac:dyDescent="0.2">
      <c r="C214" s="278" t="s">
        <v>274</v>
      </c>
      <c r="D214" s="279"/>
      <c r="E214" s="42" t="s">
        <v>338</v>
      </c>
      <c r="F214" s="26" t="s">
        <v>970</v>
      </c>
      <c r="G214" s="27" t="s">
        <v>851</v>
      </c>
      <c r="H214" s="26" t="s">
        <v>980</v>
      </c>
      <c r="I214" s="32"/>
      <c r="J214" s="32">
        <v>16019.89</v>
      </c>
      <c r="K214" s="32">
        <f t="shared" si="9"/>
        <v>16019.89</v>
      </c>
    </row>
    <row r="215" spans="3:11" ht="19.5" customHeight="1" x14ac:dyDescent="0.2">
      <c r="C215" s="278" t="s">
        <v>275</v>
      </c>
      <c r="D215" s="279"/>
      <c r="E215" s="42" t="s">
        <v>294</v>
      </c>
      <c r="F215" s="26" t="s">
        <v>981</v>
      </c>
      <c r="G215" s="27" t="s">
        <v>912</v>
      </c>
      <c r="H215" s="26" t="s">
        <v>941</v>
      </c>
      <c r="I215" s="32"/>
      <c r="J215" s="32">
        <v>7777.46</v>
      </c>
      <c r="K215" s="32">
        <f t="shared" si="9"/>
        <v>7777.46</v>
      </c>
    </row>
    <row r="216" spans="3:11" ht="19.5" customHeight="1" x14ac:dyDescent="0.2">
      <c r="C216" s="278" t="s">
        <v>371</v>
      </c>
      <c r="D216" s="279"/>
      <c r="E216" s="42" t="s">
        <v>296</v>
      </c>
      <c r="F216" s="26" t="s">
        <v>982</v>
      </c>
      <c r="G216" s="27" t="s">
        <v>983</v>
      </c>
      <c r="H216" s="26" t="s">
        <v>984</v>
      </c>
      <c r="I216" s="32"/>
      <c r="J216" s="32">
        <v>6868.4</v>
      </c>
      <c r="K216" s="32">
        <f t="shared" si="9"/>
        <v>6868.4</v>
      </c>
    </row>
    <row r="217" spans="3:11" ht="19.5" customHeight="1" x14ac:dyDescent="0.2">
      <c r="C217" s="278" t="s">
        <v>372</v>
      </c>
      <c r="D217" s="279"/>
      <c r="E217" s="42" t="s">
        <v>346</v>
      </c>
      <c r="F217" s="26" t="s">
        <v>985</v>
      </c>
      <c r="G217" s="27" t="s">
        <v>986</v>
      </c>
      <c r="H217" s="26" t="s">
        <v>987</v>
      </c>
      <c r="I217" s="32"/>
      <c r="J217" s="32">
        <v>15674.91</v>
      </c>
      <c r="K217" s="32">
        <f t="shared" si="9"/>
        <v>15674.91</v>
      </c>
    </row>
    <row r="218" spans="3:11" ht="19.5" customHeight="1" x14ac:dyDescent="0.2">
      <c r="C218" s="278" t="s">
        <v>373</v>
      </c>
      <c r="D218" s="279"/>
      <c r="E218" s="42" t="s">
        <v>294</v>
      </c>
      <c r="F218" s="26" t="s">
        <v>988</v>
      </c>
      <c r="G218" s="27" t="s">
        <v>989</v>
      </c>
      <c r="H218" s="26" t="s">
        <v>990</v>
      </c>
      <c r="I218" s="32"/>
      <c r="J218" s="32">
        <v>6617.34</v>
      </c>
      <c r="K218" s="32">
        <f t="shared" si="9"/>
        <v>6617.34</v>
      </c>
    </row>
    <row r="219" spans="3:11" ht="19.5" customHeight="1" x14ac:dyDescent="0.2">
      <c r="C219" s="278" t="s">
        <v>374</v>
      </c>
      <c r="D219" s="279"/>
      <c r="E219" s="42" t="s">
        <v>294</v>
      </c>
      <c r="F219" s="26" t="s">
        <v>991</v>
      </c>
      <c r="G219" s="27" t="s">
        <v>992</v>
      </c>
      <c r="H219" s="26" t="s">
        <v>993</v>
      </c>
      <c r="I219" s="32"/>
      <c r="J219" s="32">
        <v>3896</v>
      </c>
      <c r="K219" s="32">
        <f t="shared" si="9"/>
        <v>3896</v>
      </c>
    </row>
    <row r="220" spans="3:11" ht="19.5" customHeight="1" x14ac:dyDescent="0.2">
      <c r="C220" s="278" t="s">
        <v>375</v>
      </c>
      <c r="D220" s="279"/>
      <c r="E220" s="42" t="s">
        <v>296</v>
      </c>
      <c r="F220" s="26" t="s">
        <v>994</v>
      </c>
      <c r="G220" s="27" t="s">
        <v>995</v>
      </c>
      <c r="H220" s="26" t="s">
        <v>996</v>
      </c>
      <c r="I220" s="32"/>
      <c r="J220" s="32">
        <v>9856</v>
      </c>
      <c r="K220" s="32">
        <f t="shared" si="9"/>
        <v>9856</v>
      </c>
    </row>
    <row r="221" spans="3:11" ht="19.5" customHeight="1" x14ac:dyDescent="0.2">
      <c r="C221" s="278" t="s">
        <v>376</v>
      </c>
      <c r="D221" s="279"/>
      <c r="E221" s="42" t="s">
        <v>294</v>
      </c>
      <c r="F221" s="26" t="s">
        <v>997</v>
      </c>
      <c r="G221" s="27" t="s">
        <v>998</v>
      </c>
      <c r="H221" s="26" t="s">
        <v>999</v>
      </c>
      <c r="I221" s="32"/>
      <c r="J221" s="32">
        <v>6617.34</v>
      </c>
      <c r="K221" s="32">
        <f t="shared" si="9"/>
        <v>6617.34</v>
      </c>
    </row>
    <row r="222" spans="3:11" ht="19.5" customHeight="1" x14ac:dyDescent="0.2">
      <c r="C222" s="278" t="s">
        <v>377</v>
      </c>
      <c r="D222" s="279"/>
      <c r="E222" s="42" t="s">
        <v>340</v>
      </c>
      <c r="F222" s="26" t="s">
        <v>1000</v>
      </c>
      <c r="G222" s="27" t="s">
        <v>1001</v>
      </c>
      <c r="H222" s="26" t="s">
        <v>1002</v>
      </c>
      <c r="I222" s="32"/>
      <c r="J222" s="32">
        <v>9534</v>
      </c>
      <c r="K222" s="32">
        <f t="shared" si="9"/>
        <v>9534</v>
      </c>
    </row>
    <row r="223" spans="3:11" ht="19.5" customHeight="1" x14ac:dyDescent="0.2">
      <c r="C223" s="278" t="s">
        <v>378</v>
      </c>
      <c r="D223" s="279"/>
      <c r="E223" s="42" t="s">
        <v>352</v>
      </c>
      <c r="F223" s="26" t="s">
        <v>1003</v>
      </c>
      <c r="G223" s="27" t="s">
        <v>1004</v>
      </c>
      <c r="H223" s="26" t="s">
        <v>936</v>
      </c>
      <c r="I223" s="32"/>
      <c r="J223" s="32">
        <v>3395.7</v>
      </c>
      <c r="K223" s="32">
        <f t="shared" si="9"/>
        <v>3395.7</v>
      </c>
    </row>
    <row r="224" spans="3:11" ht="19.5" customHeight="1" x14ac:dyDescent="0.2">
      <c r="C224" s="278" t="s">
        <v>379</v>
      </c>
      <c r="D224" s="279"/>
      <c r="E224" s="42" t="s">
        <v>338</v>
      </c>
      <c r="F224" s="26" t="s">
        <v>1005</v>
      </c>
      <c r="G224" s="27" t="s">
        <v>1006</v>
      </c>
      <c r="H224" s="26" t="s">
        <v>1007</v>
      </c>
      <c r="I224" s="32"/>
      <c r="J224" s="32">
        <v>8226.43</v>
      </c>
      <c r="K224" s="32">
        <f t="shared" si="9"/>
        <v>8226.43</v>
      </c>
    </row>
    <row r="225" spans="3:11" ht="19.5" customHeight="1" x14ac:dyDescent="0.2">
      <c r="C225" s="278" t="s">
        <v>380</v>
      </c>
      <c r="D225" s="279"/>
      <c r="E225" s="42" t="s">
        <v>338</v>
      </c>
      <c r="F225" s="26" t="s">
        <v>1005</v>
      </c>
      <c r="G225" s="27" t="s">
        <v>1006</v>
      </c>
      <c r="H225" s="26" t="s">
        <v>1008</v>
      </c>
      <c r="I225" s="32"/>
      <c r="J225" s="32">
        <v>8226.43</v>
      </c>
      <c r="K225" s="32">
        <f t="shared" si="9"/>
        <v>8226.43</v>
      </c>
    </row>
    <row r="226" spans="3:11" ht="19.5" customHeight="1" x14ac:dyDescent="0.2">
      <c r="C226" s="278" t="s">
        <v>381</v>
      </c>
      <c r="D226" s="279"/>
      <c r="E226" s="42" t="s">
        <v>338</v>
      </c>
      <c r="F226" s="26" t="s">
        <v>1005</v>
      </c>
      <c r="G226" s="27" t="s">
        <v>1006</v>
      </c>
      <c r="H226" s="26" t="s">
        <v>1009</v>
      </c>
      <c r="I226" s="32"/>
      <c r="J226" s="32">
        <v>8098.64</v>
      </c>
      <c r="K226" s="32">
        <f t="shared" si="9"/>
        <v>8098.64</v>
      </c>
    </row>
    <row r="227" spans="3:11" ht="19.5" customHeight="1" x14ac:dyDescent="0.2">
      <c r="C227" s="278" t="s">
        <v>382</v>
      </c>
      <c r="D227" s="279"/>
      <c r="E227" s="42" t="s">
        <v>338</v>
      </c>
      <c r="F227" s="26" t="s">
        <v>1005</v>
      </c>
      <c r="G227" s="27" t="s">
        <v>1006</v>
      </c>
      <c r="H227" s="26" t="s">
        <v>1010</v>
      </c>
      <c r="I227" s="32"/>
      <c r="J227" s="32">
        <v>8826.74</v>
      </c>
      <c r="K227" s="32">
        <f t="shared" si="9"/>
        <v>8826.74</v>
      </c>
    </row>
    <row r="228" spans="3:11" ht="19.5" customHeight="1" x14ac:dyDescent="0.2">
      <c r="C228" s="278" t="s">
        <v>383</v>
      </c>
      <c r="D228" s="279"/>
      <c r="E228" s="42" t="s">
        <v>338</v>
      </c>
      <c r="F228" s="26" t="s">
        <v>1005</v>
      </c>
      <c r="G228" s="27" t="s">
        <v>1006</v>
      </c>
      <c r="H228" s="26" t="s">
        <v>1011</v>
      </c>
      <c r="I228" s="32"/>
      <c r="J228" s="32">
        <v>6061.58</v>
      </c>
      <c r="K228" s="32">
        <f t="shared" si="9"/>
        <v>6061.58</v>
      </c>
    </row>
    <row r="229" spans="3:11" ht="19.5" customHeight="1" x14ac:dyDescent="0.2">
      <c r="C229" s="278" t="s">
        <v>384</v>
      </c>
      <c r="D229" s="279"/>
      <c r="E229" s="42" t="s">
        <v>338</v>
      </c>
      <c r="F229" s="26" t="s">
        <v>1005</v>
      </c>
      <c r="G229" s="27" t="s">
        <v>1006</v>
      </c>
      <c r="H229" s="26" t="s">
        <v>1012</v>
      </c>
      <c r="I229" s="32"/>
      <c r="J229" s="32">
        <v>9525.34</v>
      </c>
      <c r="K229" s="32">
        <f t="shared" si="9"/>
        <v>9525.34</v>
      </c>
    </row>
    <row r="230" spans="3:11" ht="19.5" customHeight="1" x14ac:dyDescent="0.2">
      <c r="C230" s="278" t="s">
        <v>385</v>
      </c>
      <c r="D230" s="279"/>
      <c r="E230" s="42" t="s">
        <v>338</v>
      </c>
      <c r="F230" s="26" t="s">
        <v>1005</v>
      </c>
      <c r="G230" s="27" t="s">
        <v>1006</v>
      </c>
      <c r="H230" s="26" t="s">
        <v>1013</v>
      </c>
      <c r="I230" s="32"/>
      <c r="J230" s="32">
        <v>9525.34</v>
      </c>
      <c r="K230" s="32">
        <f t="shared" si="9"/>
        <v>9525.34</v>
      </c>
    </row>
    <row r="231" spans="3:11" ht="19.5" customHeight="1" x14ac:dyDescent="0.2">
      <c r="C231" s="278" t="s">
        <v>386</v>
      </c>
      <c r="D231" s="279"/>
      <c r="E231" s="42" t="s">
        <v>338</v>
      </c>
      <c r="F231" s="26" t="s">
        <v>1005</v>
      </c>
      <c r="G231" s="27" t="s">
        <v>1006</v>
      </c>
      <c r="H231" s="26" t="s">
        <v>1014</v>
      </c>
      <c r="I231" s="32"/>
      <c r="J231" s="32">
        <v>1298.9100000000001</v>
      </c>
      <c r="K231" s="32">
        <f t="shared" si="9"/>
        <v>1298.9100000000001</v>
      </c>
    </row>
    <row r="232" spans="3:11" ht="19.5" customHeight="1" x14ac:dyDescent="0.2">
      <c r="C232" s="278" t="s">
        <v>387</v>
      </c>
      <c r="D232" s="279"/>
      <c r="E232" s="42" t="s">
        <v>338</v>
      </c>
      <c r="F232" s="26" t="s">
        <v>1005</v>
      </c>
      <c r="G232" s="27" t="s">
        <v>1006</v>
      </c>
      <c r="H232" s="26" t="s">
        <v>1015</v>
      </c>
      <c r="I232" s="32"/>
      <c r="J232" s="32">
        <v>4329.7</v>
      </c>
      <c r="K232" s="32">
        <f t="shared" si="9"/>
        <v>4329.7</v>
      </c>
    </row>
    <row r="233" spans="3:11" ht="19.5" customHeight="1" x14ac:dyDescent="0.2">
      <c r="C233" s="278" t="s">
        <v>388</v>
      </c>
      <c r="D233" s="279"/>
      <c r="E233" s="42" t="s">
        <v>338</v>
      </c>
      <c r="F233" s="26" t="s">
        <v>1005</v>
      </c>
      <c r="G233" s="27" t="s">
        <v>1006</v>
      </c>
      <c r="H233" s="26" t="s">
        <v>1016</v>
      </c>
      <c r="I233" s="32"/>
      <c r="J233" s="32">
        <v>11422.84</v>
      </c>
      <c r="K233" s="32">
        <f t="shared" si="9"/>
        <v>11422.84</v>
      </c>
    </row>
    <row r="234" spans="3:11" ht="19.5" customHeight="1" x14ac:dyDescent="0.2">
      <c r="C234" s="278" t="s">
        <v>389</v>
      </c>
      <c r="D234" s="279"/>
      <c r="E234" s="42" t="s">
        <v>338</v>
      </c>
      <c r="F234" s="26" t="s">
        <v>1005</v>
      </c>
      <c r="G234" s="27" t="s">
        <v>1006</v>
      </c>
      <c r="H234" s="26" t="s">
        <v>1017</v>
      </c>
      <c r="I234" s="32"/>
      <c r="J234" s="32">
        <v>5195.6400000000003</v>
      </c>
      <c r="K234" s="32">
        <f t="shared" si="9"/>
        <v>5195.6400000000003</v>
      </c>
    </row>
    <row r="235" spans="3:11" ht="19.5" customHeight="1" x14ac:dyDescent="0.2">
      <c r="C235" s="278" t="s">
        <v>390</v>
      </c>
      <c r="D235" s="279"/>
      <c r="E235" s="42" t="s">
        <v>352</v>
      </c>
      <c r="F235" s="26" t="s">
        <v>1018</v>
      </c>
      <c r="G235" s="27" t="s">
        <v>1019</v>
      </c>
      <c r="H235" s="26" t="s">
        <v>1020</v>
      </c>
      <c r="I235" s="32"/>
      <c r="J235" s="32">
        <v>3712.5</v>
      </c>
      <c r="K235" s="32">
        <f t="shared" si="9"/>
        <v>3712.5</v>
      </c>
    </row>
    <row r="236" spans="3:11" ht="19.5" customHeight="1" x14ac:dyDescent="0.2">
      <c r="C236" s="278" t="s">
        <v>391</v>
      </c>
      <c r="D236" s="279"/>
      <c r="E236" s="42" t="s">
        <v>286</v>
      </c>
      <c r="F236" s="26" t="s">
        <v>1021</v>
      </c>
      <c r="G236" s="27" t="s">
        <v>1022</v>
      </c>
      <c r="H236" s="26" t="s">
        <v>1023</v>
      </c>
      <c r="I236" s="32"/>
      <c r="J236" s="32">
        <v>10488.5</v>
      </c>
      <c r="K236" s="32">
        <f t="shared" si="9"/>
        <v>10488.5</v>
      </c>
    </row>
    <row r="237" spans="3:11" ht="19.5" customHeight="1" x14ac:dyDescent="0.2">
      <c r="C237" s="278" t="s">
        <v>392</v>
      </c>
      <c r="D237" s="279"/>
      <c r="E237" s="42" t="s">
        <v>286</v>
      </c>
      <c r="F237" s="26" t="s">
        <v>1021</v>
      </c>
      <c r="G237" s="27" t="s">
        <v>1022</v>
      </c>
      <c r="H237" s="26" t="s">
        <v>1024</v>
      </c>
      <c r="I237" s="32"/>
      <c r="J237" s="32">
        <v>3128</v>
      </c>
      <c r="K237" s="32">
        <f t="shared" si="9"/>
        <v>3128</v>
      </c>
    </row>
    <row r="238" spans="3:11" ht="42.75" x14ac:dyDescent="0.2">
      <c r="C238" s="278" t="s">
        <v>393</v>
      </c>
      <c r="D238" s="279"/>
      <c r="E238" s="42" t="s">
        <v>350</v>
      </c>
      <c r="F238" s="26" t="s">
        <v>1025</v>
      </c>
      <c r="G238" s="27" t="s">
        <v>1026</v>
      </c>
      <c r="H238" s="190" t="s">
        <v>1027</v>
      </c>
      <c r="I238" s="32"/>
      <c r="J238" s="32">
        <v>25937.66</v>
      </c>
      <c r="K238" s="32">
        <f t="shared" si="9"/>
        <v>25937.66</v>
      </c>
    </row>
    <row r="239" spans="3:11" ht="19.5" customHeight="1" x14ac:dyDescent="0.2">
      <c r="C239" s="278" t="s">
        <v>394</v>
      </c>
      <c r="D239" s="279"/>
      <c r="E239" s="42" t="s">
        <v>352</v>
      </c>
      <c r="F239" s="26" t="s">
        <v>1028</v>
      </c>
      <c r="G239" s="27" t="s">
        <v>1029</v>
      </c>
      <c r="H239" s="26" t="s">
        <v>1030</v>
      </c>
      <c r="I239" s="32"/>
      <c r="J239" s="32">
        <v>10672.2</v>
      </c>
      <c r="K239" s="32">
        <f t="shared" si="9"/>
        <v>10672.2</v>
      </c>
    </row>
    <row r="240" spans="3:11" ht="19.5" customHeight="1" x14ac:dyDescent="0.2">
      <c r="C240" s="278" t="s">
        <v>395</v>
      </c>
      <c r="D240" s="279"/>
      <c r="E240" s="42" t="s">
        <v>338</v>
      </c>
      <c r="F240" s="26" t="s">
        <v>1031</v>
      </c>
      <c r="G240" s="27" t="s">
        <v>1032</v>
      </c>
      <c r="H240" s="26" t="s">
        <v>1033</v>
      </c>
      <c r="I240" s="32"/>
      <c r="J240" s="32">
        <v>8307.52</v>
      </c>
      <c r="K240" s="32">
        <f t="shared" si="9"/>
        <v>8307.52</v>
      </c>
    </row>
    <row r="241" spans="3:11" ht="19.5" customHeight="1" x14ac:dyDescent="0.2">
      <c r="C241" s="278" t="s">
        <v>396</v>
      </c>
      <c r="D241" s="279"/>
      <c r="E241" s="42" t="s">
        <v>338</v>
      </c>
      <c r="F241" s="26" t="s">
        <v>1031</v>
      </c>
      <c r="G241" s="27" t="s">
        <v>1032</v>
      </c>
      <c r="H241" s="26" t="s">
        <v>1034</v>
      </c>
      <c r="I241" s="32"/>
      <c r="J241" s="32">
        <v>8659.4</v>
      </c>
      <c r="K241" s="32">
        <f t="shared" si="9"/>
        <v>8659.4</v>
      </c>
    </row>
    <row r="242" spans="3:11" ht="19.5" customHeight="1" x14ac:dyDescent="0.2">
      <c r="C242" s="278" t="s">
        <v>397</v>
      </c>
      <c r="D242" s="279"/>
      <c r="E242" s="42" t="s">
        <v>338</v>
      </c>
      <c r="F242" s="26" t="s">
        <v>1031</v>
      </c>
      <c r="G242" s="27" t="s">
        <v>1032</v>
      </c>
      <c r="H242" s="26" t="s">
        <v>1035</v>
      </c>
      <c r="I242" s="32"/>
      <c r="J242" s="32">
        <v>4762.67</v>
      </c>
      <c r="K242" s="32">
        <f t="shared" si="9"/>
        <v>4762.67</v>
      </c>
    </row>
    <row r="243" spans="3:11" ht="19.5" customHeight="1" x14ac:dyDescent="0.2">
      <c r="C243" s="278" t="s">
        <v>398</v>
      </c>
      <c r="D243" s="279"/>
      <c r="E243" s="42" t="s">
        <v>338</v>
      </c>
      <c r="F243" s="26" t="s">
        <v>1031</v>
      </c>
      <c r="G243" s="27" t="s">
        <v>1032</v>
      </c>
      <c r="H243" s="26" t="s">
        <v>1036</v>
      </c>
      <c r="I243" s="32"/>
      <c r="J243" s="32">
        <v>1298.9100000000001</v>
      </c>
      <c r="K243" s="32">
        <f t="shared" si="9"/>
        <v>1298.9100000000001</v>
      </c>
    </row>
    <row r="244" spans="3:11" ht="19.5" customHeight="1" x14ac:dyDescent="0.2">
      <c r="C244" s="278" t="s">
        <v>399</v>
      </c>
      <c r="D244" s="279"/>
      <c r="E244" s="42" t="s">
        <v>338</v>
      </c>
      <c r="F244" s="26" t="s">
        <v>1031</v>
      </c>
      <c r="G244" s="27" t="s">
        <v>1032</v>
      </c>
      <c r="H244" s="26" t="s">
        <v>1037</v>
      </c>
      <c r="I244" s="32"/>
      <c r="J244" s="32">
        <v>8659.4</v>
      </c>
      <c r="K244" s="32">
        <f t="shared" si="9"/>
        <v>8659.4</v>
      </c>
    </row>
    <row r="245" spans="3:11" ht="19.5" customHeight="1" x14ac:dyDescent="0.2">
      <c r="C245" s="278" t="s">
        <v>400</v>
      </c>
      <c r="D245" s="279"/>
      <c r="E245" s="42" t="s">
        <v>338</v>
      </c>
      <c r="F245" s="26" t="s">
        <v>1031</v>
      </c>
      <c r="G245" s="27" t="s">
        <v>1032</v>
      </c>
      <c r="H245" s="26" t="s">
        <v>1038</v>
      </c>
      <c r="I245" s="32"/>
      <c r="J245" s="32">
        <v>1840.6</v>
      </c>
      <c r="K245" s="32">
        <f t="shared" si="9"/>
        <v>1840.6</v>
      </c>
    </row>
    <row r="246" spans="3:11" ht="19.5" customHeight="1" x14ac:dyDescent="0.2">
      <c r="C246" s="278" t="s">
        <v>401</v>
      </c>
      <c r="D246" s="279"/>
      <c r="E246" s="42" t="s">
        <v>338</v>
      </c>
      <c r="F246" s="26" t="s">
        <v>1031</v>
      </c>
      <c r="G246" s="27" t="s">
        <v>1032</v>
      </c>
      <c r="H246" s="26" t="s">
        <v>1039</v>
      </c>
      <c r="I246" s="32"/>
      <c r="J246" s="32">
        <v>2164.85</v>
      </c>
      <c r="K246" s="32">
        <f t="shared" si="9"/>
        <v>2164.85</v>
      </c>
    </row>
    <row r="247" spans="3:11" ht="19.5" customHeight="1" x14ac:dyDescent="0.2">
      <c r="C247" s="278" t="s">
        <v>402</v>
      </c>
      <c r="D247" s="279"/>
      <c r="E247" s="42" t="s">
        <v>338</v>
      </c>
      <c r="F247" s="26" t="s">
        <v>1031</v>
      </c>
      <c r="G247" s="27" t="s">
        <v>1032</v>
      </c>
      <c r="H247" s="26" t="s">
        <v>1040</v>
      </c>
      <c r="I247" s="32"/>
      <c r="J247" s="32">
        <v>6927.52</v>
      </c>
      <c r="K247" s="32">
        <f t="shared" si="9"/>
        <v>6927.52</v>
      </c>
    </row>
    <row r="248" spans="3:11" ht="19.5" customHeight="1" x14ac:dyDescent="0.2">
      <c r="C248" s="278" t="s">
        <v>403</v>
      </c>
      <c r="D248" s="279"/>
      <c r="E248" s="42" t="s">
        <v>338</v>
      </c>
      <c r="F248" s="26" t="s">
        <v>1031</v>
      </c>
      <c r="G248" s="27" t="s">
        <v>1032</v>
      </c>
      <c r="H248" s="26" t="s">
        <v>1041</v>
      </c>
      <c r="I248" s="32"/>
      <c r="J248" s="32">
        <v>10384.4</v>
      </c>
      <c r="K248" s="32">
        <f t="shared" si="9"/>
        <v>10384.4</v>
      </c>
    </row>
    <row r="249" spans="3:11" ht="19.5" customHeight="1" x14ac:dyDescent="0.2">
      <c r="C249" s="278" t="s">
        <v>404</v>
      </c>
      <c r="D249" s="279"/>
      <c r="E249" s="42" t="s">
        <v>338</v>
      </c>
      <c r="F249" s="26" t="s">
        <v>1031</v>
      </c>
      <c r="G249" s="27" t="s">
        <v>1032</v>
      </c>
      <c r="H249" s="26" t="s">
        <v>1042</v>
      </c>
      <c r="I249" s="32"/>
      <c r="J249" s="32">
        <v>8226.43</v>
      </c>
      <c r="K249" s="32">
        <f t="shared" si="9"/>
        <v>8226.43</v>
      </c>
    </row>
    <row r="250" spans="3:11" ht="19.5" customHeight="1" x14ac:dyDescent="0.2">
      <c r="C250" s="278" t="s">
        <v>405</v>
      </c>
      <c r="D250" s="279"/>
      <c r="E250" s="42" t="s">
        <v>352</v>
      </c>
      <c r="F250" s="26" t="s">
        <v>1043</v>
      </c>
      <c r="G250" s="27" t="s">
        <v>1044</v>
      </c>
      <c r="H250" s="26" t="s">
        <v>967</v>
      </c>
      <c r="I250" s="32"/>
      <c r="J250" s="32">
        <v>7053.75</v>
      </c>
      <c r="K250" s="32">
        <f t="shared" si="9"/>
        <v>7053.75</v>
      </c>
    </row>
    <row r="251" spans="3:11" ht="19.5" customHeight="1" x14ac:dyDescent="0.2">
      <c r="C251" s="278" t="s">
        <v>406</v>
      </c>
      <c r="D251" s="279"/>
      <c r="E251" s="42" t="s">
        <v>294</v>
      </c>
      <c r="F251" s="26" t="s">
        <v>1045</v>
      </c>
      <c r="G251" s="27" t="s">
        <v>1046</v>
      </c>
      <c r="H251" s="26" t="s">
        <v>941</v>
      </c>
      <c r="I251" s="32"/>
      <c r="J251" s="32">
        <v>5730.76</v>
      </c>
      <c r="K251" s="32">
        <f t="shared" si="9"/>
        <v>5730.76</v>
      </c>
    </row>
    <row r="252" spans="3:11" ht="19.5" customHeight="1" x14ac:dyDescent="0.2">
      <c r="C252" s="278" t="s">
        <v>407</v>
      </c>
      <c r="D252" s="279"/>
      <c r="E252" s="42" t="s">
        <v>294</v>
      </c>
      <c r="F252" s="26" t="s">
        <v>1047</v>
      </c>
      <c r="G252" s="27" t="s">
        <v>1048</v>
      </c>
      <c r="H252" s="26" t="s">
        <v>1049</v>
      </c>
      <c r="I252" s="32"/>
      <c r="J252" s="32">
        <v>5730.76</v>
      </c>
      <c r="K252" s="32">
        <f t="shared" si="9"/>
        <v>5730.76</v>
      </c>
    </row>
    <row r="253" spans="3:11" ht="19.5" customHeight="1" x14ac:dyDescent="0.2">
      <c r="C253" s="278" t="s">
        <v>408</v>
      </c>
      <c r="D253" s="279"/>
      <c r="E253" s="42" t="s">
        <v>166</v>
      </c>
      <c r="F253" s="26" t="s">
        <v>1050</v>
      </c>
      <c r="G253" s="27" t="s">
        <v>930</v>
      </c>
      <c r="H253" s="26" t="s">
        <v>1051</v>
      </c>
      <c r="I253" s="32"/>
      <c r="J253" s="32">
        <v>7600</v>
      </c>
      <c r="K253" s="32">
        <f t="shared" si="9"/>
        <v>7600</v>
      </c>
    </row>
    <row r="254" spans="3:11" ht="19.5" customHeight="1" x14ac:dyDescent="0.2">
      <c r="C254" s="278" t="s">
        <v>409</v>
      </c>
      <c r="D254" s="279"/>
      <c r="E254" s="42" t="s">
        <v>166</v>
      </c>
      <c r="F254" s="26" t="s">
        <v>1052</v>
      </c>
      <c r="G254" s="27" t="s">
        <v>1053</v>
      </c>
      <c r="H254" s="26" t="s">
        <v>1054</v>
      </c>
      <c r="I254" s="32"/>
      <c r="J254" s="32">
        <v>6840</v>
      </c>
      <c r="K254" s="32">
        <f t="shared" si="9"/>
        <v>6840</v>
      </c>
    </row>
    <row r="255" spans="3:11" ht="19.5" customHeight="1" x14ac:dyDescent="0.2">
      <c r="C255" s="278" t="s">
        <v>410</v>
      </c>
      <c r="D255" s="279"/>
      <c r="E255" s="42" t="s">
        <v>294</v>
      </c>
      <c r="F255" s="26" t="s">
        <v>1055</v>
      </c>
      <c r="G255" s="27" t="s">
        <v>1056</v>
      </c>
      <c r="H255" s="26" t="s">
        <v>1057</v>
      </c>
      <c r="I255" s="32"/>
      <c r="J255" s="32">
        <v>3676.3</v>
      </c>
      <c r="K255" s="32">
        <f t="shared" si="9"/>
        <v>3676.3</v>
      </c>
    </row>
    <row r="256" spans="3:11" ht="19.5" customHeight="1" x14ac:dyDescent="0.2">
      <c r="C256" s="278" t="s">
        <v>411</v>
      </c>
      <c r="D256" s="279"/>
      <c r="E256" s="42" t="s">
        <v>352</v>
      </c>
      <c r="F256" s="26" t="s">
        <v>1058</v>
      </c>
      <c r="G256" s="27" t="s">
        <v>1059</v>
      </c>
      <c r="H256" s="26" t="s">
        <v>1060</v>
      </c>
      <c r="I256" s="32"/>
      <c r="J256" s="32">
        <v>8731.7999999999993</v>
      </c>
      <c r="K256" s="32">
        <f t="shared" si="9"/>
        <v>8731.7999999999993</v>
      </c>
    </row>
    <row r="257" spans="3:11" ht="19.5" customHeight="1" x14ac:dyDescent="0.2">
      <c r="C257" s="278" t="s">
        <v>412</v>
      </c>
      <c r="D257" s="279"/>
      <c r="E257" s="42" t="s">
        <v>338</v>
      </c>
      <c r="F257" s="26" t="s">
        <v>1061</v>
      </c>
      <c r="G257" s="27" t="s">
        <v>1062</v>
      </c>
      <c r="H257" s="26" t="s">
        <v>1063</v>
      </c>
      <c r="I257" s="32"/>
      <c r="J257" s="32">
        <v>9958.31</v>
      </c>
      <c r="K257" s="32">
        <f t="shared" si="9"/>
        <v>9958.31</v>
      </c>
    </row>
    <row r="258" spans="3:11" ht="19.5" customHeight="1" x14ac:dyDescent="0.2">
      <c r="C258" s="278" t="s">
        <v>413</v>
      </c>
      <c r="D258" s="279"/>
      <c r="E258" s="42" t="s">
        <v>338</v>
      </c>
      <c r="F258" s="26" t="s">
        <v>1061</v>
      </c>
      <c r="G258" s="27" t="s">
        <v>1062</v>
      </c>
      <c r="H258" s="26" t="s">
        <v>1064</v>
      </c>
      <c r="I258" s="32"/>
      <c r="J258" s="32">
        <v>9958.31</v>
      </c>
      <c r="K258" s="32">
        <f t="shared" si="9"/>
        <v>9958.31</v>
      </c>
    </row>
    <row r="259" spans="3:11" ht="19.5" customHeight="1" x14ac:dyDescent="0.2">
      <c r="C259" s="278" t="s">
        <v>414</v>
      </c>
      <c r="D259" s="279"/>
      <c r="E259" s="42" t="s">
        <v>338</v>
      </c>
      <c r="F259" s="26" t="s">
        <v>1061</v>
      </c>
      <c r="G259" s="27" t="s">
        <v>1062</v>
      </c>
      <c r="H259" s="26" t="s">
        <v>1065</v>
      </c>
      <c r="I259" s="32"/>
      <c r="J259" s="32">
        <v>9958.31</v>
      </c>
      <c r="K259" s="32">
        <f t="shared" si="9"/>
        <v>9958.31</v>
      </c>
    </row>
    <row r="260" spans="3:11" ht="19.5" customHeight="1" x14ac:dyDescent="0.2">
      <c r="C260" s="278" t="s">
        <v>415</v>
      </c>
      <c r="D260" s="279"/>
      <c r="E260" s="42" t="s">
        <v>338</v>
      </c>
      <c r="F260" s="26" t="s">
        <v>1061</v>
      </c>
      <c r="G260" s="27" t="s">
        <v>1062</v>
      </c>
      <c r="H260" s="26" t="s">
        <v>1066</v>
      </c>
      <c r="I260" s="32"/>
      <c r="J260" s="32">
        <v>9092.3700000000008</v>
      </c>
      <c r="K260" s="32">
        <f t="shared" si="9"/>
        <v>9092.3700000000008</v>
      </c>
    </row>
    <row r="261" spans="3:11" ht="19.5" customHeight="1" x14ac:dyDescent="0.2">
      <c r="C261" s="278" t="s">
        <v>416</v>
      </c>
      <c r="D261" s="279"/>
      <c r="E261" s="42" t="s">
        <v>338</v>
      </c>
      <c r="F261" s="26" t="s">
        <v>1061</v>
      </c>
      <c r="G261" s="27" t="s">
        <v>1062</v>
      </c>
      <c r="H261" s="26" t="s">
        <v>1067</v>
      </c>
      <c r="I261" s="32"/>
      <c r="J261" s="32">
        <v>6494.55</v>
      </c>
      <c r="K261" s="32">
        <f t="shared" si="9"/>
        <v>6494.55</v>
      </c>
    </row>
    <row r="262" spans="3:11" ht="19.5" customHeight="1" x14ac:dyDescent="0.2">
      <c r="C262" s="278" t="s">
        <v>417</v>
      </c>
      <c r="D262" s="279"/>
      <c r="E262" s="42" t="s">
        <v>338</v>
      </c>
      <c r="F262" s="26" t="s">
        <v>1061</v>
      </c>
      <c r="G262" s="27" t="s">
        <v>1062</v>
      </c>
      <c r="H262" s="26" t="s">
        <v>1068</v>
      </c>
      <c r="I262" s="32"/>
      <c r="J262" s="32">
        <v>4017.28</v>
      </c>
      <c r="K262" s="32">
        <f t="shared" si="9"/>
        <v>4017.28</v>
      </c>
    </row>
    <row r="263" spans="3:11" ht="19.5" customHeight="1" x14ac:dyDescent="0.2">
      <c r="C263" s="278" t="s">
        <v>418</v>
      </c>
      <c r="D263" s="279"/>
      <c r="E263" s="42" t="s">
        <v>340</v>
      </c>
      <c r="F263" s="26" t="s">
        <v>1069</v>
      </c>
      <c r="G263" s="27" t="s">
        <v>1070</v>
      </c>
      <c r="H263" s="26" t="s">
        <v>1002</v>
      </c>
      <c r="I263" s="32"/>
      <c r="J263" s="32">
        <v>9080</v>
      </c>
      <c r="K263" s="32">
        <f t="shared" si="9"/>
        <v>9080</v>
      </c>
    </row>
    <row r="264" spans="3:11" ht="19.5" customHeight="1" x14ac:dyDescent="0.2">
      <c r="C264" s="278" t="s">
        <v>419</v>
      </c>
      <c r="D264" s="279"/>
      <c r="E264" s="42" t="s">
        <v>352</v>
      </c>
      <c r="F264" s="26" t="s">
        <v>1071</v>
      </c>
      <c r="G264" s="27" t="s">
        <v>1059</v>
      </c>
      <c r="H264" s="26" t="s">
        <v>1060</v>
      </c>
      <c r="I264" s="32"/>
      <c r="J264" s="32">
        <v>6682.5</v>
      </c>
      <c r="K264" s="32">
        <f t="shared" si="9"/>
        <v>6682.5</v>
      </c>
    </row>
    <row r="265" spans="3:11" ht="19.5" customHeight="1" x14ac:dyDescent="0.2">
      <c r="C265" s="278" t="s">
        <v>420</v>
      </c>
      <c r="D265" s="279"/>
      <c r="E265" s="42" t="s">
        <v>340</v>
      </c>
      <c r="F265" s="26" t="s">
        <v>1072</v>
      </c>
      <c r="G265" s="27" t="s">
        <v>1073</v>
      </c>
      <c r="H265" s="26" t="s">
        <v>1002</v>
      </c>
      <c r="I265" s="32"/>
      <c r="J265" s="32">
        <v>7718</v>
      </c>
      <c r="K265" s="32">
        <f t="shared" si="9"/>
        <v>7718</v>
      </c>
    </row>
    <row r="266" spans="3:11" ht="19.5" customHeight="1" x14ac:dyDescent="0.2">
      <c r="C266" s="278" t="s">
        <v>421</v>
      </c>
      <c r="D266" s="279"/>
      <c r="E266" s="42" t="s">
        <v>348</v>
      </c>
      <c r="F266" s="26" t="s">
        <v>1074</v>
      </c>
      <c r="G266" s="27" t="s">
        <v>1075</v>
      </c>
      <c r="H266" s="26" t="s">
        <v>1076</v>
      </c>
      <c r="I266" s="32"/>
      <c r="J266" s="32">
        <v>8091.53</v>
      </c>
      <c r="K266" s="32">
        <f t="shared" si="9"/>
        <v>8091.53</v>
      </c>
    </row>
    <row r="267" spans="3:11" ht="19.5" customHeight="1" x14ac:dyDescent="0.2">
      <c r="C267" s="278" t="s">
        <v>422</v>
      </c>
      <c r="D267" s="279"/>
      <c r="E267" s="42" t="s">
        <v>352</v>
      </c>
      <c r="F267" s="26" t="s">
        <v>1077</v>
      </c>
      <c r="G267" s="27" t="s">
        <v>1078</v>
      </c>
      <c r="H267" s="26" t="s">
        <v>1079</v>
      </c>
      <c r="I267" s="32"/>
      <c r="J267" s="32">
        <v>7276.5</v>
      </c>
      <c r="K267" s="32">
        <f t="shared" si="9"/>
        <v>7276.5</v>
      </c>
    </row>
    <row r="268" spans="3:11" ht="19.5" customHeight="1" x14ac:dyDescent="0.2">
      <c r="C268" s="278" t="s">
        <v>423</v>
      </c>
      <c r="D268" s="279"/>
      <c r="E268" s="42" t="s">
        <v>352</v>
      </c>
      <c r="F268" s="26" t="s">
        <v>1080</v>
      </c>
      <c r="G268" s="27" t="s">
        <v>1081</v>
      </c>
      <c r="H268" s="26" t="s">
        <v>1082</v>
      </c>
      <c r="I268" s="32"/>
      <c r="J268" s="32">
        <v>5568.75</v>
      </c>
      <c r="K268" s="32">
        <f t="shared" si="9"/>
        <v>5568.75</v>
      </c>
    </row>
    <row r="269" spans="3:11" ht="19.5" customHeight="1" x14ac:dyDescent="0.2">
      <c r="C269" s="278" t="s">
        <v>424</v>
      </c>
      <c r="D269" s="279"/>
      <c r="E269" s="42" t="s">
        <v>352</v>
      </c>
      <c r="F269" s="26" t="s">
        <v>1083</v>
      </c>
      <c r="G269" s="27" t="s">
        <v>1084</v>
      </c>
      <c r="H269" s="26" t="s">
        <v>1085</v>
      </c>
      <c r="I269" s="32"/>
      <c r="J269" s="32">
        <v>1485</v>
      </c>
      <c r="K269" s="32">
        <f t="shared" si="9"/>
        <v>1485</v>
      </c>
    </row>
    <row r="270" spans="3:11" ht="19.5" customHeight="1" x14ac:dyDescent="0.2">
      <c r="C270" s="278" t="s">
        <v>425</v>
      </c>
      <c r="D270" s="279"/>
      <c r="E270" s="42" t="s">
        <v>338</v>
      </c>
      <c r="F270" s="26" t="s">
        <v>1086</v>
      </c>
      <c r="G270" s="27" t="s">
        <v>1046</v>
      </c>
      <c r="H270" s="26" t="s">
        <v>1087</v>
      </c>
      <c r="I270" s="32"/>
      <c r="J270" s="32">
        <v>8659.4</v>
      </c>
      <c r="K270" s="32">
        <f t="shared" si="9"/>
        <v>8659.4</v>
      </c>
    </row>
    <row r="271" spans="3:11" ht="19.5" customHeight="1" x14ac:dyDescent="0.2">
      <c r="C271" s="278" t="s">
        <v>426</v>
      </c>
      <c r="D271" s="279"/>
      <c r="E271" s="42" t="s">
        <v>338</v>
      </c>
      <c r="F271" s="26" t="s">
        <v>1086</v>
      </c>
      <c r="G271" s="27" t="s">
        <v>1046</v>
      </c>
      <c r="H271" s="26" t="s">
        <v>1088</v>
      </c>
      <c r="I271" s="32"/>
      <c r="J271" s="32">
        <v>8659.4</v>
      </c>
      <c r="K271" s="32">
        <f t="shared" si="9"/>
        <v>8659.4</v>
      </c>
    </row>
    <row r="272" spans="3:11" ht="19.5" customHeight="1" x14ac:dyDescent="0.2">
      <c r="C272" s="278" t="s">
        <v>427</v>
      </c>
      <c r="D272" s="279"/>
      <c r="E272" s="42" t="s">
        <v>338</v>
      </c>
      <c r="F272" s="26" t="s">
        <v>1086</v>
      </c>
      <c r="G272" s="27" t="s">
        <v>1046</v>
      </c>
      <c r="H272" s="26" t="s">
        <v>1089</v>
      </c>
      <c r="I272" s="32"/>
      <c r="J272" s="32">
        <v>4762.67</v>
      </c>
      <c r="K272" s="32">
        <f t="shared" si="9"/>
        <v>4762.67</v>
      </c>
    </row>
    <row r="273" spans="3:11" ht="19.5" customHeight="1" x14ac:dyDescent="0.2">
      <c r="C273" s="278" t="s">
        <v>428</v>
      </c>
      <c r="D273" s="279"/>
      <c r="E273" s="42" t="s">
        <v>338</v>
      </c>
      <c r="F273" s="26" t="s">
        <v>1086</v>
      </c>
      <c r="G273" s="27" t="s">
        <v>1046</v>
      </c>
      <c r="H273" s="26" t="s">
        <v>1090</v>
      </c>
      <c r="I273" s="32"/>
      <c r="J273" s="32">
        <v>8480.84</v>
      </c>
      <c r="K273" s="32">
        <f t="shared" si="9"/>
        <v>8480.84</v>
      </c>
    </row>
    <row r="274" spans="3:11" ht="19.5" customHeight="1" x14ac:dyDescent="0.2">
      <c r="C274" s="278" t="s">
        <v>429</v>
      </c>
      <c r="D274" s="279"/>
      <c r="E274" s="42" t="s">
        <v>338</v>
      </c>
      <c r="F274" s="26" t="s">
        <v>1086</v>
      </c>
      <c r="G274" s="27" t="s">
        <v>1046</v>
      </c>
      <c r="H274" s="26" t="s">
        <v>1091</v>
      </c>
      <c r="I274" s="32"/>
      <c r="J274" s="32">
        <v>7362.4</v>
      </c>
      <c r="K274" s="32">
        <f t="shared" si="9"/>
        <v>7362.4</v>
      </c>
    </row>
    <row r="275" spans="3:11" ht="19.5" customHeight="1" x14ac:dyDescent="0.2">
      <c r="C275" s="278" t="s">
        <v>430</v>
      </c>
      <c r="D275" s="279"/>
      <c r="E275" s="42" t="s">
        <v>338</v>
      </c>
      <c r="F275" s="26" t="s">
        <v>1086</v>
      </c>
      <c r="G275" s="27" t="s">
        <v>1046</v>
      </c>
      <c r="H275" s="26" t="s">
        <v>1092</v>
      </c>
      <c r="I275" s="32"/>
      <c r="J275" s="32">
        <v>446.42</v>
      </c>
      <c r="K275" s="32">
        <f t="shared" si="9"/>
        <v>446.42</v>
      </c>
    </row>
    <row r="276" spans="3:11" ht="19.5" customHeight="1" x14ac:dyDescent="0.2">
      <c r="C276" s="278" t="s">
        <v>431</v>
      </c>
      <c r="D276" s="279"/>
      <c r="E276" s="42" t="s">
        <v>352</v>
      </c>
      <c r="F276" s="26" t="s">
        <v>1093</v>
      </c>
      <c r="G276" s="27" t="s">
        <v>1094</v>
      </c>
      <c r="H276" s="26" t="s">
        <v>1095</v>
      </c>
      <c r="I276" s="32"/>
      <c r="J276" s="32">
        <v>9702</v>
      </c>
      <c r="K276" s="32">
        <f t="shared" si="9"/>
        <v>9702</v>
      </c>
    </row>
    <row r="277" spans="3:11" ht="19.5" customHeight="1" x14ac:dyDescent="0.2">
      <c r="C277" s="278" t="s">
        <v>432</v>
      </c>
      <c r="D277" s="279"/>
      <c r="E277" s="42" t="s">
        <v>352</v>
      </c>
      <c r="F277" s="26" t="s">
        <v>1096</v>
      </c>
      <c r="G277" s="27" t="s">
        <v>1081</v>
      </c>
      <c r="H277" s="26" t="s">
        <v>1097</v>
      </c>
      <c r="I277" s="32"/>
      <c r="J277" s="32">
        <v>9216.9</v>
      </c>
      <c r="K277" s="32">
        <f t="shared" si="9"/>
        <v>9216.9</v>
      </c>
    </row>
    <row r="278" spans="3:11" ht="19.5" customHeight="1" x14ac:dyDescent="0.2">
      <c r="C278" s="278" t="s">
        <v>433</v>
      </c>
      <c r="D278" s="279"/>
      <c r="E278" s="42" t="s">
        <v>352</v>
      </c>
      <c r="F278" s="26" t="s">
        <v>1098</v>
      </c>
      <c r="G278" s="27" t="s">
        <v>1099</v>
      </c>
      <c r="H278" s="26" t="s">
        <v>1100</v>
      </c>
      <c r="I278" s="32"/>
      <c r="J278" s="32">
        <v>9702</v>
      </c>
      <c r="K278" s="32">
        <f t="shared" si="9"/>
        <v>9702</v>
      </c>
    </row>
    <row r="279" spans="3:11" ht="19.5" customHeight="1" x14ac:dyDescent="0.2">
      <c r="C279" s="278" t="s">
        <v>434</v>
      </c>
      <c r="D279" s="279"/>
      <c r="E279" s="42" t="s">
        <v>340</v>
      </c>
      <c r="F279" s="26" t="s">
        <v>1101</v>
      </c>
      <c r="G279" s="27" t="s">
        <v>1102</v>
      </c>
      <c r="H279" s="26" t="s">
        <v>1002</v>
      </c>
      <c r="I279" s="32"/>
      <c r="J279" s="32">
        <v>9080</v>
      </c>
      <c r="K279" s="32">
        <f t="shared" si="9"/>
        <v>9080</v>
      </c>
    </row>
    <row r="280" spans="3:11" ht="19.5" customHeight="1" x14ac:dyDescent="0.2">
      <c r="C280" s="278" t="s">
        <v>435</v>
      </c>
      <c r="D280" s="279"/>
      <c r="E280" s="42" t="s">
        <v>338</v>
      </c>
      <c r="F280" s="26" t="s">
        <v>1103</v>
      </c>
      <c r="G280" s="27" t="s">
        <v>1078</v>
      </c>
      <c r="H280" s="26" t="s">
        <v>1104</v>
      </c>
      <c r="I280" s="32"/>
      <c r="J280" s="32">
        <v>13422.07</v>
      </c>
      <c r="K280" s="32">
        <f t="shared" si="9"/>
        <v>13422.07</v>
      </c>
    </row>
    <row r="281" spans="3:11" ht="19.5" customHeight="1" x14ac:dyDescent="0.2">
      <c r="C281" s="278" t="s">
        <v>436</v>
      </c>
      <c r="D281" s="279"/>
      <c r="E281" s="42" t="s">
        <v>338</v>
      </c>
      <c r="F281" s="26" t="s">
        <v>1103</v>
      </c>
      <c r="G281" s="27" t="s">
        <v>1078</v>
      </c>
      <c r="H281" s="26" t="s">
        <v>1105</v>
      </c>
      <c r="I281" s="32"/>
      <c r="J281" s="32">
        <v>4329.7</v>
      </c>
      <c r="K281" s="32">
        <f t="shared" si="9"/>
        <v>4329.7</v>
      </c>
    </row>
    <row r="282" spans="3:11" ht="19.5" customHeight="1" x14ac:dyDescent="0.2">
      <c r="C282" s="278" t="s">
        <v>437</v>
      </c>
      <c r="D282" s="279"/>
      <c r="E282" s="42" t="s">
        <v>338</v>
      </c>
      <c r="F282" s="26" t="s">
        <v>1103</v>
      </c>
      <c r="G282" s="27" t="s">
        <v>1078</v>
      </c>
      <c r="H282" s="26" t="s">
        <v>1106</v>
      </c>
      <c r="I282" s="32"/>
      <c r="J282" s="32">
        <v>3896.73</v>
      </c>
      <c r="K282" s="32">
        <f t="shared" si="9"/>
        <v>3896.73</v>
      </c>
    </row>
    <row r="283" spans="3:11" ht="19.5" customHeight="1" x14ac:dyDescent="0.2">
      <c r="C283" s="278" t="s">
        <v>438</v>
      </c>
      <c r="D283" s="279"/>
      <c r="E283" s="42" t="s">
        <v>338</v>
      </c>
      <c r="F283" s="26" t="s">
        <v>1103</v>
      </c>
      <c r="G283" s="27" t="s">
        <v>1078</v>
      </c>
      <c r="H283" s="26" t="s">
        <v>1107</v>
      </c>
      <c r="I283" s="32"/>
      <c r="J283" s="32">
        <v>7141.76</v>
      </c>
      <c r="K283" s="32">
        <f t="shared" si="9"/>
        <v>7141.76</v>
      </c>
    </row>
    <row r="284" spans="3:11" ht="19.5" customHeight="1" x14ac:dyDescent="0.2">
      <c r="C284" s="278" t="s">
        <v>439</v>
      </c>
      <c r="D284" s="279"/>
      <c r="E284" s="42" t="s">
        <v>338</v>
      </c>
      <c r="F284" s="26" t="s">
        <v>1103</v>
      </c>
      <c r="G284" s="27" t="s">
        <v>1078</v>
      </c>
      <c r="H284" s="26" t="s">
        <v>1108</v>
      </c>
      <c r="I284" s="32"/>
      <c r="J284" s="32">
        <v>5889.92</v>
      </c>
      <c r="K284" s="32">
        <f t="shared" si="9"/>
        <v>5889.92</v>
      </c>
    </row>
    <row r="285" spans="3:11" ht="19.5" customHeight="1" x14ac:dyDescent="0.2">
      <c r="C285" s="278" t="s">
        <v>440</v>
      </c>
      <c r="D285" s="279"/>
      <c r="E285" s="42" t="s">
        <v>338</v>
      </c>
      <c r="F285" s="26" t="s">
        <v>1103</v>
      </c>
      <c r="G285" s="27" t="s">
        <v>1078</v>
      </c>
      <c r="H285" s="26" t="s">
        <v>1109</v>
      </c>
      <c r="I285" s="32"/>
      <c r="J285" s="32">
        <v>6927.52</v>
      </c>
      <c r="K285" s="32">
        <f t="shared" si="9"/>
        <v>6927.52</v>
      </c>
    </row>
    <row r="286" spans="3:11" ht="19.5" customHeight="1" x14ac:dyDescent="0.2">
      <c r="C286" s="278" t="s">
        <v>441</v>
      </c>
      <c r="D286" s="279"/>
      <c r="E286" s="42" t="s">
        <v>338</v>
      </c>
      <c r="F286" s="26" t="s">
        <v>1103</v>
      </c>
      <c r="G286" s="27" t="s">
        <v>1078</v>
      </c>
      <c r="H286" s="26" t="s">
        <v>1110</v>
      </c>
      <c r="I286" s="32"/>
      <c r="J286" s="32">
        <v>1731.88</v>
      </c>
      <c r="K286" s="32">
        <f t="shared" si="9"/>
        <v>1731.88</v>
      </c>
    </row>
    <row r="287" spans="3:11" ht="19.5" customHeight="1" x14ac:dyDescent="0.2">
      <c r="C287" s="278" t="s">
        <v>442</v>
      </c>
      <c r="D287" s="279"/>
      <c r="E287" s="42" t="s">
        <v>338</v>
      </c>
      <c r="F287" s="26" t="s">
        <v>1103</v>
      </c>
      <c r="G287" s="27" t="s">
        <v>1078</v>
      </c>
      <c r="H287" s="26" t="s">
        <v>1111</v>
      </c>
      <c r="I287" s="32"/>
      <c r="J287" s="32">
        <v>37383.839999999997</v>
      </c>
      <c r="K287" s="32">
        <f t="shared" si="9"/>
        <v>37383.839999999997</v>
      </c>
    </row>
    <row r="288" spans="3:11" ht="19.5" customHeight="1" x14ac:dyDescent="0.2">
      <c r="C288" s="278" t="s">
        <v>443</v>
      </c>
      <c r="D288" s="279"/>
      <c r="E288" s="42" t="s">
        <v>352</v>
      </c>
      <c r="F288" s="26" t="s">
        <v>1112</v>
      </c>
      <c r="G288" s="27" t="s">
        <v>1113</v>
      </c>
      <c r="H288" s="26" t="s">
        <v>963</v>
      </c>
      <c r="I288" s="32"/>
      <c r="J288" s="32">
        <v>11508.75</v>
      </c>
      <c r="K288" s="32">
        <f t="shared" si="9"/>
        <v>11508.75</v>
      </c>
    </row>
    <row r="289" spans="3:11" ht="19.5" customHeight="1" x14ac:dyDescent="0.2">
      <c r="C289" s="278" t="s">
        <v>444</v>
      </c>
      <c r="D289" s="279"/>
      <c r="E289" s="42" t="s">
        <v>348</v>
      </c>
      <c r="F289" s="26" t="s">
        <v>1114</v>
      </c>
      <c r="G289" s="27" t="s">
        <v>1115</v>
      </c>
      <c r="H289" s="26" t="s">
        <v>1116</v>
      </c>
      <c r="I289" s="32"/>
      <c r="J289" s="32">
        <v>8517.4</v>
      </c>
      <c r="K289" s="32">
        <f t="shared" si="9"/>
        <v>8517.4</v>
      </c>
    </row>
    <row r="290" spans="3:11" ht="19.5" customHeight="1" x14ac:dyDescent="0.2">
      <c r="C290" s="278" t="s">
        <v>445</v>
      </c>
      <c r="D290" s="279"/>
      <c r="E290" s="42" t="s">
        <v>352</v>
      </c>
      <c r="F290" s="26" t="s">
        <v>1117</v>
      </c>
      <c r="G290" s="27" t="s">
        <v>1118</v>
      </c>
      <c r="H290" s="26" t="s">
        <v>1119</v>
      </c>
      <c r="I290" s="32"/>
      <c r="J290" s="32">
        <v>6682.5</v>
      </c>
      <c r="K290" s="32">
        <f t="shared" si="9"/>
        <v>6682.5</v>
      </c>
    </row>
    <row r="291" spans="3:11" ht="19.5" customHeight="1" x14ac:dyDescent="0.2">
      <c r="C291" s="278" t="s">
        <v>446</v>
      </c>
      <c r="D291" s="279"/>
      <c r="E291" s="42" t="s">
        <v>352</v>
      </c>
      <c r="F291" s="26" t="s">
        <v>1120</v>
      </c>
      <c r="G291" s="27" t="s">
        <v>1121</v>
      </c>
      <c r="H291" s="26" t="s">
        <v>1122</v>
      </c>
      <c r="I291" s="32"/>
      <c r="J291" s="32">
        <v>5940</v>
      </c>
      <c r="K291" s="32">
        <f t="shared" si="9"/>
        <v>5940</v>
      </c>
    </row>
    <row r="292" spans="3:11" ht="19.5" customHeight="1" x14ac:dyDescent="0.2">
      <c r="C292" s="278" t="s">
        <v>447</v>
      </c>
      <c r="D292" s="279"/>
      <c r="E292" s="42" t="s">
        <v>338</v>
      </c>
      <c r="F292" s="26" t="s">
        <v>1123</v>
      </c>
      <c r="G292" s="27" t="s">
        <v>1124</v>
      </c>
      <c r="H292" s="26" t="s">
        <v>1125</v>
      </c>
      <c r="I292" s="32"/>
      <c r="J292" s="32">
        <v>2596.1</v>
      </c>
      <c r="K292" s="32">
        <f t="shared" si="9"/>
        <v>2596.1</v>
      </c>
    </row>
    <row r="293" spans="3:11" ht="19.5" customHeight="1" x14ac:dyDescent="0.2">
      <c r="C293" s="278" t="s">
        <v>448</v>
      </c>
      <c r="D293" s="279"/>
      <c r="E293" s="42" t="s">
        <v>338</v>
      </c>
      <c r="F293" s="26" t="s">
        <v>1123</v>
      </c>
      <c r="G293" s="27" t="s">
        <v>1124</v>
      </c>
      <c r="H293" s="26" t="s">
        <v>1126</v>
      </c>
      <c r="I293" s="32"/>
      <c r="J293" s="32">
        <v>2164.85</v>
      </c>
      <c r="K293" s="32">
        <f t="shared" si="9"/>
        <v>2164.85</v>
      </c>
    </row>
    <row r="294" spans="3:11" ht="19.5" customHeight="1" x14ac:dyDescent="0.2">
      <c r="C294" s="278" t="s">
        <v>449</v>
      </c>
      <c r="D294" s="279"/>
      <c r="E294" s="42" t="s">
        <v>338</v>
      </c>
      <c r="F294" s="26" t="s">
        <v>1123</v>
      </c>
      <c r="G294" s="27" t="s">
        <v>1124</v>
      </c>
      <c r="H294" s="26" t="s">
        <v>1127</v>
      </c>
      <c r="I294" s="32"/>
      <c r="J294" s="32">
        <v>8226.43</v>
      </c>
      <c r="K294" s="32">
        <f t="shared" si="9"/>
        <v>8226.43</v>
      </c>
    </row>
    <row r="295" spans="3:11" ht="19.5" customHeight="1" x14ac:dyDescent="0.2">
      <c r="C295" s="278" t="s">
        <v>450</v>
      </c>
      <c r="D295" s="279"/>
      <c r="E295" s="42" t="s">
        <v>338</v>
      </c>
      <c r="F295" s="26" t="s">
        <v>1123</v>
      </c>
      <c r="G295" s="27" t="s">
        <v>1124</v>
      </c>
      <c r="H295" s="26" t="s">
        <v>1128</v>
      </c>
      <c r="I295" s="32"/>
      <c r="J295" s="32">
        <v>8659.4</v>
      </c>
      <c r="K295" s="32">
        <f t="shared" si="9"/>
        <v>8659.4</v>
      </c>
    </row>
    <row r="296" spans="3:11" ht="19.5" customHeight="1" x14ac:dyDescent="0.2">
      <c r="C296" s="278" t="s">
        <v>451</v>
      </c>
      <c r="D296" s="279"/>
      <c r="E296" s="42" t="s">
        <v>338</v>
      </c>
      <c r="F296" s="26" t="s">
        <v>1123</v>
      </c>
      <c r="G296" s="27" t="s">
        <v>1124</v>
      </c>
      <c r="H296" s="26" t="s">
        <v>1129</v>
      </c>
      <c r="I296" s="32"/>
      <c r="J296" s="32">
        <v>8659.4</v>
      </c>
      <c r="K296" s="32">
        <f t="shared" si="9"/>
        <v>8659.4</v>
      </c>
    </row>
    <row r="297" spans="3:11" ht="19.5" customHeight="1" x14ac:dyDescent="0.2">
      <c r="C297" s="278" t="s">
        <v>452</v>
      </c>
      <c r="D297" s="279"/>
      <c r="E297" s="42" t="s">
        <v>338</v>
      </c>
      <c r="F297" s="26" t="s">
        <v>1123</v>
      </c>
      <c r="G297" s="27" t="s">
        <v>1124</v>
      </c>
      <c r="H297" s="26" t="s">
        <v>1130</v>
      </c>
      <c r="I297" s="32"/>
      <c r="J297" s="32">
        <v>10384.4</v>
      </c>
      <c r="K297" s="32">
        <f t="shared" si="9"/>
        <v>10384.4</v>
      </c>
    </row>
    <row r="298" spans="3:11" ht="19.5" customHeight="1" x14ac:dyDescent="0.2">
      <c r="C298" s="278" t="s">
        <v>453</v>
      </c>
      <c r="D298" s="279"/>
      <c r="E298" s="42" t="s">
        <v>338</v>
      </c>
      <c r="F298" s="26" t="s">
        <v>1123</v>
      </c>
      <c r="G298" s="27" t="s">
        <v>1124</v>
      </c>
      <c r="H298" s="26" t="s">
        <v>1131</v>
      </c>
      <c r="I298" s="32"/>
      <c r="J298" s="32">
        <v>2591.4299999999998</v>
      </c>
      <c r="K298" s="32">
        <f t="shared" si="9"/>
        <v>2591.4299999999998</v>
      </c>
    </row>
    <row r="299" spans="3:11" ht="19.5" customHeight="1" x14ac:dyDescent="0.2">
      <c r="C299" s="278" t="s">
        <v>454</v>
      </c>
      <c r="D299" s="279"/>
      <c r="E299" s="42" t="s">
        <v>338</v>
      </c>
      <c r="F299" s="26" t="s">
        <v>1123</v>
      </c>
      <c r="G299" s="27" t="s">
        <v>1124</v>
      </c>
      <c r="H299" s="26" t="s">
        <v>1132</v>
      </c>
      <c r="I299" s="32"/>
      <c r="J299" s="32">
        <v>8659.4</v>
      </c>
      <c r="K299" s="32">
        <f t="shared" si="9"/>
        <v>8659.4</v>
      </c>
    </row>
    <row r="300" spans="3:11" ht="19.5" customHeight="1" x14ac:dyDescent="0.2">
      <c r="C300" s="278" t="s">
        <v>455</v>
      </c>
      <c r="D300" s="279"/>
      <c r="E300" s="42" t="s">
        <v>338</v>
      </c>
      <c r="F300" s="26" t="s">
        <v>1123</v>
      </c>
      <c r="G300" s="27" t="s">
        <v>1124</v>
      </c>
      <c r="H300" s="26" t="s">
        <v>1133</v>
      </c>
      <c r="I300" s="32"/>
      <c r="J300" s="32">
        <v>9865.18</v>
      </c>
      <c r="K300" s="32">
        <f t="shared" ref="K300:K363" si="10">I300+J300</f>
        <v>9865.18</v>
      </c>
    </row>
    <row r="301" spans="3:11" ht="19.5" customHeight="1" x14ac:dyDescent="0.2">
      <c r="C301" s="278" t="s">
        <v>456</v>
      </c>
      <c r="D301" s="279"/>
      <c r="E301" s="42" t="s">
        <v>338</v>
      </c>
      <c r="F301" s="26" t="s">
        <v>1123</v>
      </c>
      <c r="G301" s="27" t="s">
        <v>1124</v>
      </c>
      <c r="H301" s="26" t="s">
        <v>1134</v>
      </c>
      <c r="I301" s="32"/>
      <c r="J301" s="32">
        <v>7362.4</v>
      </c>
      <c r="K301" s="32">
        <f t="shared" si="10"/>
        <v>7362.4</v>
      </c>
    </row>
    <row r="302" spans="3:11" ht="19.5" customHeight="1" x14ac:dyDescent="0.2">
      <c r="C302" s="278" t="s">
        <v>457</v>
      </c>
      <c r="D302" s="279"/>
      <c r="E302" s="42" t="s">
        <v>338</v>
      </c>
      <c r="F302" s="26" t="s">
        <v>1123</v>
      </c>
      <c r="G302" s="27" t="s">
        <v>1124</v>
      </c>
      <c r="H302" s="26" t="s">
        <v>1135</v>
      </c>
      <c r="I302" s="32"/>
      <c r="J302" s="32">
        <v>8659.4</v>
      </c>
      <c r="K302" s="32">
        <f t="shared" si="10"/>
        <v>8659.4</v>
      </c>
    </row>
    <row r="303" spans="3:11" ht="19.5" customHeight="1" x14ac:dyDescent="0.2">
      <c r="C303" s="278" t="s">
        <v>458</v>
      </c>
      <c r="D303" s="279"/>
      <c r="E303" s="42" t="s">
        <v>338</v>
      </c>
      <c r="F303" s="26" t="s">
        <v>1123</v>
      </c>
      <c r="G303" s="27" t="s">
        <v>1124</v>
      </c>
      <c r="H303" s="26" t="s">
        <v>1136</v>
      </c>
      <c r="I303" s="32"/>
      <c r="J303" s="32">
        <v>8383.02</v>
      </c>
      <c r="K303" s="32">
        <f t="shared" si="10"/>
        <v>8383.02</v>
      </c>
    </row>
    <row r="304" spans="3:11" ht="19.5" customHeight="1" x14ac:dyDescent="0.2">
      <c r="C304" s="278" t="s">
        <v>459</v>
      </c>
      <c r="D304" s="279"/>
      <c r="E304" s="42" t="s">
        <v>338</v>
      </c>
      <c r="F304" s="26" t="s">
        <v>1123</v>
      </c>
      <c r="G304" s="27" t="s">
        <v>1124</v>
      </c>
      <c r="H304" s="26" t="s">
        <v>1137</v>
      </c>
      <c r="I304" s="32"/>
      <c r="J304" s="32">
        <v>6927.52</v>
      </c>
      <c r="K304" s="32">
        <f t="shared" si="10"/>
        <v>6927.52</v>
      </c>
    </row>
    <row r="305" spans="3:11" ht="19.5" customHeight="1" x14ac:dyDescent="0.2">
      <c r="C305" s="278" t="s">
        <v>460</v>
      </c>
      <c r="D305" s="279"/>
      <c r="E305" s="42" t="s">
        <v>167</v>
      </c>
      <c r="F305" s="26" t="s">
        <v>1138</v>
      </c>
      <c r="G305" s="27" t="s">
        <v>1032</v>
      </c>
      <c r="H305" s="26" t="s">
        <v>1139</v>
      </c>
      <c r="I305" s="32"/>
      <c r="J305" s="32">
        <v>69042.45</v>
      </c>
      <c r="K305" s="32">
        <f t="shared" si="10"/>
        <v>69042.45</v>
      </c>
    </row>
    <row r="306" spans="3:11" ht="19.5" customHeight="1" x14ac:dyDescent="0.2">
      <c r="C306" s="278" t="s">
        <v>461</v>
      </c>
      <c r="D306" s="279"/>
      <c r="E306" s="42" t="s">
        <v>162</v>
      </c>
      <c r="F306" s="26" t="s">
        <v>1140</v>
      </c>
      <c r="G306" s="27" t="s">
        <v>1141</v>
      </c>
      <c r="H306" s="26" t="s">
        <v>1142</v>
      </c>
      <c r="I306" s="32"/>
      <c r="J306" s="32">
        <v>17750.86</v>
      </c>
      <c r="K306" s="32">
        <f t="shared" si="10"/>
        <v>17750.86</v>
      </c>
    </row>
    <row r="307" spans="3:11" ht="19.5" customHeight="1" x14ac:dyDescent="0.2">
      <c r="C307" s="278" t="s">
        <v>462</v>
      </c>
      <c r="D307" s="279"/>
      <c r="E307" s="42" t="s">
        <v>167</v>
      </c>
      <c r="F307" s="26" t="s">
        <v>1143</v>
      </c>
      <c r="G307" s="27" t="s">
        <v>815</v>
      </c>
      <c r="H307" s="26" t="s">
        <v>1144</v>
      </c>
      <c r="I307" s="32"/>
      <c r="J307" s="32">
        <v>118104.69</v>
      </c>
      <c r="K307" s="32">
        <f t="shared" si="10"/>
        <v>118104.69</v>
      </c>
    </row>
    <row r="308" spans="3:11" ht="270.75" x14ac:dyDescent="0.2">
      <c r="C308" s="278" t="s">
        <v>463</v>
      </c>
      <c r="D308" s="279"/>
      <c r="E308" s="42" t="s">
        <v>162</v>
      </c>
      <c r="F308" s="26" t="s">
        <v>1145</v>
      </c>
      <c r="G308" s="27" t="s">
        <v>986</v>
      </c>
      <c r="H308" s="190" t="s">
        <v>1146</v>
      </c>
      <c r="I308" s="32"/>
      <c r="J308" s="32">
        <v>94697.94</v>
      </c>
      <c r="K308" s="32">
        <f t="shared" si="10"/>
        <v>94697.94</v>
      </c>
    </row>
    <row r="309" spans="3:11" ht="19.5" customHeight="1" x14ac:dyDescent="0.2">
      <c r="C309" s="278" t="s">
        <v>464</v>
      </c>
      <c r="D309" s="279"/>
      <c r="E309" s="42" t="s">
        <v>162</v>
      </c>
      <c r="F309" s="26" t="s">
        <v>1147</v>
      </c>
      <c r="G309" s="27" t="s">
        <v>1148</v>
      </c>
      <c r="H309" s="26" t="s">
        <v>1142</v>
      </c>
      <c r="I309" s="32"/>
      <c r="J309" s="32">
        <v>17750.86</v>
      </c>
      <c r="K309" s="32">
        <f t="shared" si="10"/>
        <v>17750.86</v>
      </c>
    </row>
    <row r="310" spans="3:11" ht="19.5" customHeight="1" x14ac:dyDescent="0.2">
      <c r="C310" s="278" t="s">
        <v>465</v>
      </c>
      <c r="D310" s="279"/>
      <c r="E310" s="42" t="s">
        <v>167</v>
      </c>
      <c r="F310" s="26" t="s">
        <v>1149</v>
      </c>
      <c r="G310" s="27" t="s">
        <v>1148</v>
      </c>
      <c r="H310" s="26" t="s">
        <v>1144</v>
      </c>
      <c r="I310" s="32"/>
      <c r="J310" s="32">
        <v>118104.84</v>
      </c>
      <c r="K310" s="32">
        <f t="shared" si="10"/>
        <v>118104.84</v>
      </c>
    </row>
    <row r="311" spans="3:11" ht="19.5" customHeight="1" x14ac:dyDescent="0.2">
      <c r="C311" s="278" t="s">
        <v>466</v>
      </c>
      <c r="D311" s="279"/>
      <c r="E311" s="42" t="s">
        <v>167</v>
      </c>
      <c r="F311" s="26" t="s">
        <v>1150</v>
      </c>
      <c r="G311" s="27" t="s">
        <v>1148</v>
      </c>
      <c r="H311" s="26" t="s">
        <v>1151</v>
      </c>
      <c r="I311" s="32"/>
      <c r="J311" s="32">
        <v>8295.81</v>
      </c>
      <c r="K311" s="32">
        <f t="shared" si="10"/>
        <v>8295.81</v>
      </c>
    </row>
    <row r="312" spans="3:11" ht="19.5" customHeight="1" x14ac:dyDescent="0.2">
      <c r="C312" s="278" t="s">
        <v>467</v>
      </c>
      <c r="D312" s="279"/>
      <c r="E312" s="42" t="s">
        <v>162</v>
      </c>
      <c r="F312" s="26" t="s">
        <v>1152</v>
      </c>
      <c r="G312" s="27" t="s">
        <v>1032</v>
      </c>
      <c r="H312" s="26" t="s">
        <v>1153</v>
      </c>
      <c r="I312" s="32"/>
      <c r="J312" s="32">
        <v>3186.3</v>
      </c>
      <c r="K312" s="32">
        <f t="shared" si="10"/>
        <v>3186.3</v>
      </c>
    </row>
    <row r="313" spans="3:11" ht="19.5" customHeight="1" x14ac:dyDescent="0.2">
      <c r="C313" s="278" t="s">
        <v>468</v>
      </c>
      <c r="D313" s="279"/>
      <c r="E313" s="42" t="s">
        <v>159</v>
      </c>
      <c r="F313" s="26" t="s">
        <v>1154</v>
      </c>
      <c r="G313" s="27" t="s">
        <v>845</v>
      </c>
      <c r="H313" s="26" t="s">
        <v>1155</v>
      </c>
      <c r="I313" s="32"/>
      <c r="J313" s="32">
        <v>3553.95</v>
      </c>
      <c r="K313" s="32">
        <f t="shared" si="10"/>
        <v>3553.95</v>
      </c>
    </row>
    <row r="314" spans="3:11" ht="19.5" customHeight="1" x14ac:dyDescent="0.2">
      <c r="C314" s="278" t="s">
        <v>469</v>
      </c>
      <c r="D314" s="279"/>
      <c r="E314" s="42" t="s">
        <v>167</v>
      </c>
      <c r="F314" s="26" t="s">
        <v>1156</v>
      </c>
      <c r="G314" s="27" t="s">
        <v>1032</v>
      </c>
      <c r="H314" s="26" t="s">
        <v>1157</v>
      </c>
      <c r="I314" s="32"/>
      <c r="J314" s="32">
        <v>123163.99</v>
      </c>
      <c r="K314" s="32">
        <f t="shared" si="10"/>
        <v>123163.99</v>
      </c>
    </row>
    <row r="315" spans="3:11" ht="19.5" customHeight="1" x14ac:dyDescent="0.2">
      <c r="C315" s="278" t="s">
        <v>470</v>
      </c>
      <c r="D315" s="279"/>
      <c r="E315" s="42" t="s">
        <v>167</v>
      </c>
      <c r="F315" s="26" t="s">
        <v>1158</v>
      </c>
      <c r="G315" s="27" t="s">
        <v>1032</v>
      </c>
      <c r="H315" s="26" t="s">
        <v>1159</v>
      </c>
      <c r="I315" s="32"/>
      <c r="J315" s="32">
        <v>1013.55</v>
      </c>
      <c r="K315" s="32">
        <f t="shared" si="10"/>
        <v>1013.55</v>
      </c>
    </row>
    <row r="316" spans="3:11" ht="19.5" customHeight="1" x14ac:dyDescent="0.2">
      <c r="C316" s="278" t="s">
        <v>471</v>
      </c>
      <c r="D316" s="279"/>
      <c r="E316" s="42" t="s">
        <v>167</v>
      </c>
      <c r="F316" s="26" t="s">
        <v>1160</v>
      </c>
      <c r="G316" s="27" t="s">
        <v>1032</v>
      </c>
      <c r="H316" s="26" t="s">
        <v>1161</v>
      </c>
      <c r="I316" s="32"/>
      <c r="J316" s="32">
        <v>11061.85</v>
      </c>
      <c r="K316" s="32">
        <f t="shared" si="10"/>
        <v>11061.85</v>
      </c>
    </row>
    <row r="317" spans="3:11" ht="19.5" customHeight="1" x14ac:dyDescent="0.2">
      <c r="C317" s="278" t="s">
        <v>472</v>
      </c>
      <c r="D317" s="279"/>
      <c r="E317" s="42" t="s">
        <v>167</v>
      </c>
      <c r="F317" s="26" t="s">
        <v>1162</v>
      </c>
      <c r="G317" s="27" t="s">
        <v>1163</v>
      </c>
      <c r="H317" s="26" t="s">
        <v>1164</v>
      </c>
      <c r="I317" s="32"/>
      <c r="J317" s="32">
        <v>1050.4000000000001</v>
      </c>
      <c r="K317" s="32">
        <f t="shared" si="10"/>
        <v>1050.4000000000001</v>
      </c>
    </row>
    <row r="318" spans="3:11" ht="19.5" customHeight="1" x14ac:dyDescent="0.2">
      <c r="C318" s="278" t="s">
        <v>473</v>
      </c>
      <c r="D318" s="279"/>
      <c r="E318" s="42" t="s">
        <v>342</v>
      </c>
      <c r="F318" s="26" t="s">
        <v>1165</v>
      </c>
      <c r="G318" s="27" t="s">
        <v>835</v>
      </c>
      <c r="H318" s="26" t="s">
        <v>1166</v>
      </c>
      <c r="I318" s="32"/>
      <c r="J318" s="32">
        <v>4800</v>
      </c>
      <c r="K318" s="32">
        <f t="shared" si="10"/>
        <v>4800</v>
      </c>
    </row>
    <row r="319" spans="3:11" ht="19.5" customHeight="1" x14ac:dyDescent="0.2">
      <c r="C319" s="278" t="s">
        <v>474</v>
      </c>
      <c r="D319" s="279"/>
      <c r="E319" s="42" t="s">
        <v>167</v>
      </c>
      <c r="F319" s="26" t="s">
        <v>1167</v>
      </c>
      <c r="G319" s="27" t="s">
        <v>856</v>
      </c>
      <c r="H319" s="26" t="s">
        <v>1159</v>
      </c>
      <c r="I319" s="32"/>
      <c r="J319" s="32">
        <v>1013.55</v>
      </c>
      <c r="K319" s="32">
        <f t="shared" si="10"/>
        <v>1013.55</v>
      </c>
    </row>
    <row r="320" spans="3:11" ht="19.5" customHeight="1" x14ac:dyDescent="0.2">
      <c r="C320" s="278" t="s">
        <v>475</v>
      </c>
      <c r="D320" s="279"/>
      <c r="E320" s="42" t="s">
        <v>167</v>
      </c>
      <c r="F320" s="26" t="s">
        <v>1168</v>
      </c>
      <c r="G320" s="27" t="s">
        <v>856</v>
      </c>
      <c r="H320" s="26" t="s">
        <v>1157</v>
      </c>
      <c r="I320" s="32"/>
      <c r="J320" s="32">
        <v>123163.98</v>
      </c>
      <c r="K320" s="32">
        <f t="shared" si="10"/>
        <v>123163.98</v>
      </c>
    </row>
    <row r="321" spans="3:11" ht="19.5" customHeight="1" x14ac:dyDescent="0.2">
      <c r="C321" s="278" t="s">
        <v>476</v>
      </c>
      <c r="D321" s="279"/>
      <c r="E321" s="42" t="s">
        <v>159</v>
      </c>
      <c r="F321" s="26" t="s">
        <v>1169</v>
      </c>
      <c r="G321" s="27" t="s">
        <v>1019</v>
      </c>
      <c r="H321" s="26" t="s">
        <v>1170</v>
      </c>
      <c r="I321" s="32"/>
      <c r="J321" s="32">
        <v>7485.83</v>
      </c>
      <c r="K321" s="32">
        <f t="shared" si="10"/>
        <v>7485.83</v>
      </c>
    </row>
    <row r="322" spans="3:11" ht="19.5" customHeight="1" x14ac:dyDescent="0.2">
      <c r="C322" s="278" t="s">
        <v>477</v>
      </c>
      <c r="D322" s="279"/>
      <c r="E322" s="42" t="s">
        <v>167</v>
      </c>
      <c r="F322" s="26" t="s">
        <v>1171</v>
      </c>
      <c r="G322" s="27" t="s">
        <v>1172</v>
      </c>
      <c r="H322" s="26" t="s">
        <v>1173</v>
      </c>
      <c r="I322" s="32"/>
      <c r="J322" s="32">
        <v>24979.38</v>
      </c>
      <c r="K322" s="32">
        <f t="shared" si="10"/>
        <v>24979.38</v>
      </c>
    </row>
    <row r="323" spans="3:11" ht="384.75" x14ac:dyDescent="0.2">
      <c r="C323" s="278" t="s">
        <v>478</v>
      </c>
      <c r="D323" s="279"/>
      <c r="E323" s="42" t="s">
        <v>162</v>
      </c>
      <c r="F323" s="26" t="s">
        <v>1174</v>
      </c>
      <c r="G323" s="27" t="s">
        <v>870</v>
      </c>
      <c r="H323" s="190" t="s">
        <v>1175</v>
      </c>
      <c r="I323" s="32"/>
      <c r="J323" s="32">
        <v>96829.36</v>
      </c>
      <c r="K323" s="32">
        <f t="shared" si="10"/>
        <v>96829.36</v>
      </c>
    </row>
    <row r="324" spans="3:11" ht="19.5" customHeight="1" x14ac:dyDescent="0.2">
      <c r="C324" s="278" t="s">
        <v>479</v>
      </c>
      <c r="D324" s="279"/>
      <c r="E324" s="42" t="s">
        <v>162</v>
      </c>
      <c r="F324" s="26" t="s">
        <v>1176</v>
      </c>
      <c r="G324" s="27" t="s">
        <v>870</v>
      </c>
      <c r="H324" s="26" t="s">
        <v>1177</v>
      </c>
      <c r="I324" s="32"/>
      <c r="J324" s="32">
        <v>17507.66</v>
      </c>
      <c r="K324" s="32">
        <f t="shared" si="10"/>
        <v>17507.66</v>
      </c>
    </row>
    <row r="325" spans="3:11" ht="19.5" customHeight="1" x14ac:dyDescent="0.2">
      <c r="C325" s="278" t="s">
        <v>480</v>
      </c>
      <c r="D325" s="279"/>
      <c r="E325" s="42" t="s">
        <v>167</v>
      </c>
      <c r="F325" s="26" t="s">
        <v>1178</v>
      </c>
      <c r="G325" s="27" t="s">
        <v>1179</v>
      </c>
      <c r="H325" s="26" t="s">
        <v>1180</v>
      </c>
      <c r="I325" s="32"/>
      <c r="J325" s="32">
        <v>123164</v>
      </c>
      <c r="K325" s="32">
        <f t="shared" si="10"/>
        <v>123164</v>
      </c>
    </row>
    <row r="326" spans="3:11" ht="19.5" customHeight="1" x14ac:dyDescent="0.2">
      <c r="C326" s="278" t="s">
        <v>481</v>
      </c>
      <c r="D326" s="279"/>
      <c r="E326" s="42" t="s">
        <v>167</v>
      </c>
      <c r="F326" s="26" t="s">
        <v>1181</v>
      </c>
      <c r="G326" s="27" t="s">
        <v>1179</v>
      </c>
      <c r="H326" s="26" t="s">
        <v>1159</v>
      </c>
      <c r="I326" s="32"/>
      <c r="J326" s="32">
        <v>1013.55</v>
      </c>
      <c r="K326" s="32">
        <f t="shared" si="10"/>
        <v>1013.55</v>
      </c>
    </row>
    <row r="327" spans="3:11" ht="19.5" customHeight="1" x14ac:dyDescent="0.2">
      <c r="C327" s="278" t="s">
        <v>482</v>
      </c>
      <c r="D327" s="279"/>
      <c r="E327" s="42" t="s">
        <v>163</v>
      </c>
      <c r="F327" s="26" t="s">
        <v>1182</v>
      </c>
      <c r="G327" s="27" t="s">
        <v>1183</v>
      </c>
      <c r="H327" s="26" t="s">
        <v>1184</v>
      </c>
      <c r="I327" s="32"/>
      <c r="J327" s="32">
        <v>3784.06</v>
      </c>
      <c r="K327" s="32">
        <f t="shared" si="10"/>
        <v>3784.06</v>
      </c>
    </row>
    <row r="328" spans="3:11" ht="19.5" customHeight="1" x14ac:dyDescent="0.2">
      <c r="C328" s="278" t="s">
        <v>483</v>
      </c>
      <c r="D328" s="279"/>
      <c r="E328" s="42" t="s">
        <v>158</v>
      </c>
      <c r="F328" s="26" t="s">
        <v>1185</v>
      </c>
      <c r="G328" s="27" t="s">
        <v>930</v>
      </c>
      <c r="H328" s="26" t="s">
        <v>298</v>
      </c>
      <c r="I328" s="32"/>
      <c r="J328" s="32">
        <v>1691.23</v>
      </c>
      <c r="K328" s="32">
        <f t="shared" si="10"/>
        <v>1691.23</v>
      </c>
    </row>
    <row r="329" spans="3:11" ht="19.5" customHeight="1" x14ac:dyDescent="0.2">
      <c r="C329" s="278" t="s">
        <v>484</v>
      </c>
      <c r="D329" s="279"/>
      <c r="E329" s="42" t="s">
        <v>158</v>
      </c>
      <c r="F329" s="26" t="s">
        <v>1186</v>
      </c>
      <c r="G329" s="27" t="s">
        <v>930</v>
      </c>
      <c r="H329" s="26" t="s">
        <v>1187</v>
      </c>
      <c r="I329" s="32"/>
      <c r="J329" s="32">
        <v>7060.85</v>
      </c>
      <c r="K329" s="32">
        <f t="shared" si="10"/>
        <v>7060.85</v>
      </c>
    </row>
    <row r="330" spans="3:11" ht="19.5" customHeight="1" x14ac:dyDescent="0.2">
      <c r="C330" s="278" t="s">
        <v>485</v>
      </c>
      <c r="D330" s="279"/>
      <c r="E330" s="42" t="s">
        <v>167</v>
      </c>
      <c r="F330" s="26" t="s">
        <v>1188</v>
      </c>
      <c r="G330" s="27" t="s">
        <v>1189</v>
      </c>
      <c r="H330" s="26" t="s">
        <v>1190</v>
      </c>
      <c r="I330" s="32"/>
      <c r="J330" s="32">
        <v>28534.959999999999</v>
      </c>
      <c r="K330" s="32">
        <f t="shared" si="10"/>
        <v>28534.959999999999</v>
      </c>
    </row>
    <row r="331" spans="3:11" ht="19.5" customHeight="1" x14ac:dyDescent="0.2">
      <c r="C331" s="278" t="s">
        <v>486</v>
      </c>
      <c r="D331" s="279"/>
      <c r="E331" s="42" t="s">
        <v>167</v>
      </c>
      <c r="F331" s="26" t="s">
        <v>1191</v>
      </c>
      <c r="G331" s="27" t="s">
        <v>1189</v>
      </c>
      <c r="H331" s="26" t="s">
        <v>1192</v>
      </c>
      <c r="I331" s="32"/>
      <c r="J331" s="32">
        <v>16754.240000000002</v>
      </c>
      <c r="K331" s="32">
        <f t="shared" si="10"/>
        <v>16754.240000000002</v>
      </c>
    </row>
    <row r="332" spans="3:11" ht="19.5" customHeight="1" x14ac:dyDescent="0.2">
      <c r="C332" s="278" t="s">
        <v>487</v>
      </c>
      <c r="D332" s="279"/>
      <c r="E332" s="42" t="s">
        <v>167</v>
      </c>
      <c r="F332" s="26" t="s">
        <v>1193</v>
      </c>
      <c r="G332" s="27" t="s">
        <v>1189</v>
      </c>
      <c r="H332" s="26" t="s">
        <v>1194</v>
      </c>
      <c r="I332" s="32"/>
      <c r="J332" s="32">
        <v>8295.82</v>
      </c>
      <c r="K332" s="32">
        <f t="shared" si="10"/>
        <v>8295.82</v>
      </c>
    </row>
    <row r="333" spans="3:11" ht="19.5" customHeight="1" x14ac:dyDescent="0.2">
      <c r="C333" s="278" t="s">
        <v>488</v>
      </c>
      <c r="D333" s="279"/>
      <c r="E333" s="42" t="s">
        <v>162</v>
      </c>
      <c r="F333" s="26" t="s">
        <v>1195</v>
      </c>
      <c r="G333" s="27" t="s">
        <v>1196</v>
      </c>
      <c r="H333" s="26" t="s">
        <v>1197</v>
      </c>
      <c r="I333" s="32"/>
      <c r="J333" s="32">
        <v>17841</v>
      </c>
      <c r="K333" s="32">
        <f t="shared" si="10"/>
        <v>17841</v>
      </c>
    </row>
    <row r="334" spans="3:11" ht="19.5" customHeight="1" x14ac:dyDescent="0.2">
      <c r="C334" s="278" t="s">
        <v>489</v>
      </c>
      <c r="D334" s="279"/>
      <c r="E334" s="42" t="s">
        <v>167</v>
      </c>
      <c r="F334" s="26" t="s">
        <v>1198</v>
      </c>
      <c r="G334" s="27" t="s">
        <v>1189</v>
      </c>
      <c r="H334" s="26" t="s">
        <v>1199</v>
      </c>
      <c r="I334" s="32"/>
      <c r="J334" s="32">
        <v>113714.31</v>
      </c>
      <c r="K334" s="32">
        <f t="shared" si="10"/>
        <v>113714.31</v>
      </c>
    </row>
    <row r="335" spans="3:11" ht="270.75" x14ac:dyDescent="0.2">
      <c r="C335" s="278" t="s">
        <v>490</v>
      </c>
      <c r="D335" s="279"/>
      <c r="E335" s="42" t="s">
        <v>162</v>
      </c>
      <c r="F335" s="26" t="s">
        <v>1200</v>
      </c>
      <c r="G335" s="27" t="s">
        <v>1196</v>
      </c>
      <c r="H335" s="190" t="s">
        <v>1201</v>
      </c>
      <c r="I335" s="32"/>
      <c r="J335" s="32">
        <v>82597.919999999998</v>
      </c>
      <c r="K335" s="32">
        <f t="shared" si="10"/>
        <v>82597.919999999998</v>
      </c>
    </row>
    <row r="336" spans="3:11" ht="19.5" customHeight="1" x14ac:dyDescent="0.2">
      <c r="C336" s="278" t="s">
        <v>491</v>
      </c>
      <c r="D336" s="279"/>
      <c r="E336" s="42" t="s">
        <v>159</v>
      </c>
      <c r="F336" s="26" t="s">
        <v>1202</v>
      </c>
      <c r="G336" s="27" t="s">
        <v>1196</v>
      </c>
      <c r="H336" s="26" t="s">
        <v>1203</v>
      </c>
      <c r="I336" s="32"/>
      <c r="J336" s="32">
        <v>11687.73</v>
      </c>
      <c r="K336" s="32">
        <f t="shared" si="10"/>
        <v>11687.73</v>
      </c>
    </row>
    <row r="337" spans="3:11" ht="19.5" customHeight="1" x14ac:dyDescent="0.2">
      <c r="C337" s="278" t="s">
        <v>492</v>
      </c>
      <c r="D337" s="279"/>
      <c r="E337" s="42" t="s">
        <v>159</v>
      </c>
      <c r="F337" s="26" t="s">
        <v>1204</v>
      </c>
      <c r="G337" s="27" t="s">
        <v>1196</v>
      </c>
      <c r="H337" s="26" t="s">
        <v>1205</v>
      </c>
      <c r="I337" s="32"/>
      <c r="J337" s="32">
        <v>3586.69</v>
      </c>
      <c r="K337" s="32">
        <f t="shared" si="10"/>
        <v>3586.69</v>
      </c>
    </row>
    <row r="338" spans="3:11" ht="19.5" customHeight="1" x14ac:dyDescent="0.2">
      <c r="C338" s="278" t="s">
        <v>493</v>
      </c>
      <c r="D338" s="279"/>
      <c r="E338" s="42" t="s">
        <v>162</v>
      </c>
      <c r="F338" s="26" t="s">
        <v>1206</v>
      </c>
      <c r="G338" s="27" t="s">
        <v>944</v>
      </c>
      <c r="H338" s="26" t="s">
        <v>1197</v>
      </c>
      <c r="I338" s="32"/>
      <c r="J338" s="32">
        <v>17841</v>
      </c>
      <c r="K338" s="32">
        <f t="shared" si="10"/>
        <v>17841</v>
      </c>
    </row>
    <row r="339" spans="3:11" ht="384.75" x14ac:dyDescent="0.2">
      <c r="C339" s="278" t="s">
        <v>494</v>
      </c>
      <c r="D339" s="279"/>
      <c r="E339" s="42" t="s">
        <v>162</v>
      </c>
      <c r="F339" s="26" t="s">
        <v>1207</v>
      </c>
      <c r="G339" s="27" t="s">
        <v>944</v>
      </c>
      <c r="H339" s="190" t="s">
        <v>1347</v>
      </c>
      <c r="I339" s="32"/>
      <c r="J339" s="32">
        <v>82597.919999999998</v>
      </c>
      <c r="K339" s="32">
        <f t="shared" si="10"/>
        <v>82597.919999999998</v>
      </c>
    </row>
    <row r="340" spans="3:11" ht="19.5" customHeight="1" x14ac:dyDescent="0.2">
      <c r="C340" s="278" t="s">
        <v>495</v>
      </c>
      <c r="D340" s="279"/>
      <c r="E340" s="42" t="s">
        <v>167</v>
      </c>
      <c r="F340" s="26" t="s">
        <v>1208</v>
      </c>
      <c r="G340" s="27" t="s">
        <v>944</v>
      </c>
      <c r="H340" s="26" t="s">
        <v>1199</v>
      </c>
      <c r="I340" s="32"/>
      <c r="J340" s="32">
        <v>113714.31</v>
      </c>
      <c r="K340" s="32">
        <f t="shared" si="10"/>
        <v>113714.31</v>
      </c>
    </row>
    <row r="341" spans="3:11" ht="19.5" customHeight="1" x14ac:dyDescent="0.2">
      <c r="C341" s="278" t="s">
        <v>496</v>
      </c>
      <c r="D341" s="279"/>
      <c r="E341" s="42" t="s">
        <v>167</v>
      </c>
      <c r="F341" s="26" t="s">
        <v>1209</v>
      </c>
      <c r="G341" s="27" t="s">
        <v>944</v>
      </c>
      <c r="H341" s="26" t="s">
        <v>1190</v>
      </c>
      <c r="I341" s="32"/>
      <c r="J341" s="32">
        <v>28533.200000000001</v>
      </c>
      <c r="K341" s="32">
        <f t="shared" si="10"/>
        <v>28533.200000000001</v>
      </c>
    </row>
    <row r="342" spans="3:11" ht="19.5" customHeight="1" x14ac:dyDescent="0.2">
      <c r="C342" s="278" t="s">
        <v>497</v>
      </c>
      <c r="D342" s="279"/>
      <c r="E342" s="42" t="s">
        <v>167</v>
      </c>
      <c r="F342" s="26" t="s">
        <v>1210</v>
      </c>
      <c r="G342" s="27" t="s">
        <v>944</v>
      </c>
      <c r="H342" s="26" t="s">
        <v>1194</v>
      </c>
      <c r="I342" s="32"/>
      <c r="J342" s="32">
        <v>8295.82</v>
      </c>
      <c r="K342" s="32">
        <f t="shared" si="10"/>
        <v>8295.82</v>
      </c>
    </row>
    <row r="343" spans="3:11" ht="19.5" customHeight="1" x14ac:dyDescent="0.2">
      <c r="C343" s="278" t="s">
        <v>498</v>
      </c>
      <c r="D343" s="279"/>
      <c r="E343" s="42" t="s">
        <v>167</v>
      </c>
      <c r="F343" s="26" t="s">
        <v>1211</v>
      </c>
      <c r="G343" s="27" t="s">
        <v>944</v>
      </c>
      <c r="H343" s="26" t="s">
        <v>1192</v>
      </c>
      <c r="I343" s="32"/>
      <c r="J343" s="32">
        <v>33508.910000000003</v>
      </c>
      <c r="K343" s="32">
        <f t="shared" si="10"/>
        <v>33508.910000000003</v>
      </c>
    </row>
    <row r="344" spans="3:11" ht="19.5" customHeight="1" x14ac:dyDescent="0.2">
      <c r="C344" s="278" t="s">
        <v>499</v>
      </c>
      <c r="D344" s="279"/>
      <c r="E344" s="42" t="s">
        <v>165</v>
      </c>
      <c r="F344" s="26" t="s">
        <v>1212</v>
      </c>
      <c r="G344" s="27" t="s">
        <v>1213</v>
      </c>
      <c r="H344" s="26" t="s">
        <v>1214</v>
      </c>
      <c r="I344" s="32"/>
      <c r="J344" s="32">
        <v>8500</v>
      </c>
      <c r="K344" s="32">
        <f t="shared" si="10"/>
        <v>8500</v>
      </c>
    </row>
    <row r="345" spans="3:11" ht="19.5" customHeight="1" x14ac:dyDescent="0.2">
      <c r="C345" s="278" t="s">
        <v>500</v>
      </c>
      <c r="D345" s="279"/>
      <c r="E345" s="42" t="s">
        <v>167</v>
      </c>
      <c r="F345" s="26" t="s">
        <v>1215</v>
      </c>
      <c r="G345" s="27" t="s">
        <v>1099</v>
      </c>
      <c r="H345" s="26" t="s">
        <v>1216</v>
      </c>
      <c r="I345" s="32"/>
      <c r="J345" s="32">
        <v>2016.28</v>
      </c>
      <c r="K345" s="32">
        <f t="shared" si="10"/>
        <v>2016.28</v>
      </c>
    </row>
    <row r="346" spans="3:11" ht="128.25" x14ac:dyDescent="0.2">
      <c r="C346" s="278" t="s">
        <v>501</v>
      </c>
      <c r="D346" s="279"/>
      <c r="E346" s="42" t="s">
        <v>161</v>
      </c>
      <c r="F346" s="26" t="s">
        <v>1217</v>
      </c>
      <c r="G346" s="27" t="s">
        <v>1070</v>
      </c>
      <c r="H346" s="190" t="s">
        <v>1218</v>
      </c>
      <c r="I346" s="32"/>
      <c r="J346" s="32">
        <v>28971.67</v>
      </c>
      <c r="K346" s="32">
        <f t="shared" si="10"/>
        <v>28971.67</v>
      </c>
    </row>
    <row r="347" spans="3:11" ht="19.5" customHeight="1" x14ac:dyDescent="0.2">
      <c r="C347" s="278" t="s">
        <v>502</v>
      </c>
      <c r="D347" s="279"/>
      <c r="E347" s="42" t="s">
        <v>167</v>
      </c>
      <c r="F347" s="26" t="s">
        <v>1219</v>
      </c>
      <c r="G347" s="27" t="s">
        <v>912</v>
      </c>
      <c r="H347" s="26" t="s">
        <v>1220</v>
      </c>
      <c r="I347" s="32"/>
      <c r="J347" s="32">
        <v>28531.59</v>
      </c>
      <c r="K347" s="32">
        <f t="shared" si="10"/>
        <v>28531.59</v>
      </c>
    </row>
    <row r="348" spans="3:11" ht="19.5" customHeight="1" x14ac:dyDescent="0.2">
      <c r="C348" s="278" t="s">
        <v>503</v>
      </c>
      <c r="D348" s="279"/>
      <c r="E348" s="42" t="s">
        <v>167</v>
      </c>
      <c r="F348" s="26" t="s">
        <v>1221</v>
      </c>
      <c r="G348" s="27" t="s">
        <v>989</v>
      </c>
      <c r="H348" s="26" t="s">
        <v>1222</v>
      </c>
      <c r="I348" s="32"/>
      <c r="J348" s="32">
        <v>8295.82</v>
      </c>
      <c r="K348" s="32">
        <f t="shared" si="10"/>
        <v>8295.82</v>
      </c>
    </row>
    <row r="349" spans="3:11" ht="19.5" customHeight="1" x14ac:dyDescent="0.2">
      <c r="C349" s="278" t="s">
        <v>504</v>
      </c>
      <c r="D349" s="279"/>
      <c r="E349" s="42" t="s">
        <v>162</v>
      </c>
      <c r="F349" s="26" t="s">
        <v>1223</v>
      </c>
      <c r="G349" s="27" t="s">
        <v>989</v>
      </c>
      <c r="H349" s="26" t="s">
        <v>1197</v>
      </c>
      <c r="I349" s="32"/>
      <c r="J349" s="32">
        <v>17841</v>
      </c>
      <c r="K349" s="32">
        <f t="shared" si="10"/>
        <v>17841</v>
      </c>
    </row>
    <row r="350" spans="3:11" ht="19.5" customHeight="1" x14ac:dyDescent="0.2">
      <c r="C350" s="278" t="s">
        <v>505</v>
      </c>
      <c r="D350" s="279"/>
      <c r="E350" s="42" t="s">
        <v>167</v>
      </c>
      <c r="F350" s="26" t="s">
        <v>1224</v>
      </c>
      <c r="G350" s="27" t="s">
        <v>989</v>
      </c>
      <c r="H350" s="26" t="s">
        <v>1199</v>
      </c>
      <c r="I350" s="32"/>
      <c r="J350" s="32">
        <v>113714.31</v>
      </c>
      <c r="K350" s="32">
        <f t="shared" si="10"/>
        <v>113714.31</v>
      </c>
    </row>
    <row r="351" spans="3:11" ht="270.75" x14ac:dyDescent="0.2">
      <c r="C351" s="278" t="s">
        <v>506</v>
      </c>
      <c r="D351" s="279"/>
      <c r="E351" s="42" t="s">
        <v>162</v>
      </c>
      <c r="F351" s="26" t="s">
        <v>1225</v>
      </c>
      <c r="G351" s="27" t="s">
        <v>989</v>
      </c>
      <c r="H351" s="190" t="s">
        <v>1226</v>
      </c>
      <c r="I351" s="32"/>
      <c r="J351" s="32">
        <v>82597.919999999998</v>
      </c>
      <c r="K351" s="32">
        <f t="shared" si="10"/>
        <v>82597.919999999998</v>
      </c>
    </row>
    <row r="352" spans="3:11" ht="19.5" customHeight="1" x14ac:dyDescent="0.2">
      <c r="C352" s="278" t="s">
        <v>507</v>
      </c>
      <c r="D352" s="279"/>
      <c r="E352" s="42" t="s">
        <v>167</v>
      </c>
      <c r="F352" s="26" t="s">
        <v>1227</v>
      </c>
      <c r="G352" s="27" t="s">
        <v>1228</v>
      </c>
      <c r="H352" s="26" t="s">
        <v>1229</v>
      </c>
      <c r="I352" s="32"/>
      <c r="J352" s="32">
        <v>114797.07</v>
      </c>
      <c r="K352" s="32">
        <f t="shared" si="10"/>
        <v>114797.07</v>
      </c>
    </row>
    <row r="353" spans="3:11" ht="213.75" x14ac:dyDescent="0.2">
      <c r="C353" s="278" t="s">
        <v>508</v>
      </c>
      <c r="D353" s="279"/>
      <c r="E353" s="42" t="s">
        <v>162</v>
      </c>
      <c r="F353" s="26" t="s">
        <v>1230</v>
      </c>
      <c r="G353" s="27" t="s">
        <v>1228</v>
      </c>
      <c r="H353" s="190" t="s">
        <v>1231</v>
      </c>
      <c r="I353" s="32"/>
      <c r="J353" s="32">
        <v>81707.92</v>
      </c>
      <c r="K353" s="32">
        <f t="shared" si="10"/>
        <v>81707.92</v>
      </c>
    </row>
    <row r="354" spans="3:11" ht="19.5" customHeight="1" x14ac:dyDescent="0.2">
      <c r="C354" s="278" t="s">
        <v>509</v>
      </c>
      <c r="D354" s="279"/>
      <c r="E354" s="42" t="s">
        <v>167</v>
      </c>
      <c r="F354" s="26" t="s">
        <v>1232</v>
      </c>
      <c r="G354" s="27" t="s">
        <v>1228</v>
      </c>
      <c r="H354" s="26" t="s">
        <v>1233</v>
      </c>
      <c r="I354" s="32"/>
      <c r="J354" s="32">
        <v>20598.990000000002</v>
      </c>
      <c r="K354" s="32">
        <f t="shared" si="10"/>
        <v>20598.990000000002</v>
      </c>
    </row>
    <row r="355" spans="3:11" ht="19.5" customHeight="1" x14ac:dyDescent="0.2">
      <c r="C355" s="278" t="s">
        <v>510</v>
      </c>
      <c r="D355" s="279"/>
      <c r="E355" s="42" t="s">
        <v>167</v>
      </c>
      <c r="F355" s="26" t="s">
        <v>1234</v>
      </c>
      <c r="G355" s="27" t="s">
        <v>1228</v>
      </c>
      <c r="H355" s="26" t="s">
        <v>1235</v>
      </c>
      <c r="I355" s="32"/>
      <c r="J355" s="32">
        <v>67384.67</v>
      </c>
      <c r="K355" s="32">
        <f t="shared" si="10"/>
        <v>67384.67</v>
      </c>
    </row>
    <row r="356" spans="3:11" ht="19.5" customHeight="1" x14ac:dyDescent="0.2">
      <c r="C356" s="278" t="s">
        <v>511</v>
      </c>
      <c r="D356" s="279"/>
      <c r="E356" s="42" t="s">
        <v>162</v>
      </c>
      <c r="F356" s="26" t="s">
        <v>1236</v>
      </c>
      <c r="G356" s="27" t="s">
        <v>1237</v>
      </c>
      <c r="H356" s="26" t="s">
        <v>1238</v>
      </c>
      <c r="I356" s="32"/>
      <c r="J356" s="32">
        <v>25979</v>
      </c>
      <c r="K356" s="32">
        <f t="shared" si="10"/>
        <v>25979</v>
      </c>
    </row>
    <row r="357" spans="3:11" ht="19.5" customHeight="1" x14ac:dyDescent="0.2">
      <c r="C357" s="278" t="s">
        <v>512</v>
      </c>
      <c r="D357" s="279"/>
      <c r="E357" s="42" t="s">
        <v>162</v>
      </c>
      <c r="F357" s="26" t="s">
        <v>1239</v>
      </c>
      <c r="G357" s="27" t="s">
        <v>1240</v>
      </c>
      <c r="H357" s="26" t="s">
        <v>1241</v>
      </c>
      <c r="I357" s="32"/>
      <c r="J357" s="32">
        <v>6096.13</v>
      </c>
      <c r="K357" s="32">
        <f t="shared" si="10"/>
        <v>6096.13</v>
      </c>
    </row>
    <row r="358" spans="3:11" ht="128.25" x14ac:dyDescent="0.2">
      <c r="C358" s="278" t="s">
        <v>513</v>
      </c>
      <c r="D358" s="279"/>
      <c r="E358" s="42" t="s">
        <v>162</v>
      </c>
      <c r="F358" s="26" t="s">
        <v>1242</v>
      </c>
      <c r="G358" s="27" t="s">
        <v>1240</v>
      </c>
      <c r="H358" s="190" t="s">
        <v>1243</v>
      </c>
      <c r="I358" s="32"/>
      <c r="J358" s="32">
        <v>8564.7800000000007</v>
      </c>
      <c r="K358" s="32">
        <f t="shared" si="10"/>
        <v>8564.7800000000007</v>
      </c>
    </row>
    <row r="359" spans="3:11" ht="19.5" customHeight="1" x14ac:dyDescent="0.2">
      <c r="C359" s="278" t="s">
        <v>514</v>
      </c>
      <c r="D359" s="279"/>
      <c r="E359" s="42" t="s">
        <v>167</v>
      </c>
      <c r="F359" s="26" t="s">
        <v>1244</v>
      </c>
      <c r="G359" s="27" t="s">
        <v>1245</v>
      </c>
      <c r="H359" s="26" t="s">
        <v>1246</v>
      </c>
      <c r="I359" s="32"/>
      <c r="J359" s="32">
        <v>33018.44</v>
      </c>
      <c r="K359" s="32">
        <f t="shared" si="10"/>
        <v>33018.44</v>
      </c>
    </row>
    <row r="360" spans="3:11" ht="19.5" customHeight="1" x14ac:dyDescent="0.2">
      <c r="C360" s="278" t="s">
        <v>515</v>
      </c>
      <c r="D360" s="279"/>
      <c r="E360" s="42" t="s">
        <v>161</v>
      </c>
      <c r="F360" s="26" t="s">
        <v>1247</v>
      </c>
      <c r="G360" s="27" t="s">
        <v>1046</v>
      </c>
      <c r="H360" s="26" t="s">
        <v>1248</v>
      </c>
      <c r="I360" s="32"/>
      <c r="J360" s="32">
        <v>73033.39</v>
      </c>
      <c r="K360" s="32">
        <f t="shared" si="10"/>
        <v>73033.39</v>
      </c>
    </row>
    <row r="361" spans="3:11" ht="19.5" customHeight="1" x14ac:dyDescent="0.2">
      <c r="C361" s="278" t="s">
        <v>516</v>
      </c>
      <c r="D361" s="279"/>
      <c r="E361" s="42" t="s">
        <v>167</v>
      </c>
      <c r="F361" s="26" t="s">
        <v>1249</v>
      </c>
      <c r="G361" s="27" t="s">
        <v>1250</v>
      </c>
      <c r="H361" s="26" t="s">
        <v>1233</v>
      </c>
      <c r="I361" s="32"/>
      <c r="J361" s="32">
        <v>12688.13</v>
      </c>
      <c r="K361" s="32">
        <f t="shared" si="10"/>
        <v>12688.13</v>
      </c>
    </row>
    <row r="362" spans="3:11" ht="19.5" customHeight="1" x14ac:dyDescent="0.2">
      <c r="C362" s="278" t="s">
        <v>517</v>
      </c>
      <c r="D362" s="279"/>
      <c r="E362" s="42" t="s">
        <v>167</v>
      </c>
      <c r="F362" s="26" t="s">
        <v>1251</v>
      </c>
      <c r="G362" s="27" t="s">
        <v>1250</v>
      </c>
      <c r="H362" s="26" t="s">
        <v>1233</v>
      </c>
      <c r="I362" s="32"/>
      <c r="J362" s="32">
        <v>28510.03</v>
      </c>
      <c r="K362" s="32">
        <f t="shared" si="10"/>
        <v>28510.03</v>
      </c>
    </row>
    <row r="363" spans="3:11" ht="19.5" customHeight="1" x14ac:dyDescent="0.2">
      <c r="C363" s="278" t="s">
        <v>518</v>
      </c>
      <c r="D363" s="279"/>
      <c r="E363" s="42" t="s">
        <v>167</v>
      </c>
      <c r="F363" s="26" t="s">
        <v>1252</v>
      </c>
      <c r="G363" s="27" t="s">
        <v>1250</v>
      </c>
      <c r="H363" s="26" t="s">
        <v>1229</v>
      </c>
      <c r="I363" s="32"/>
      <c r="J363" s="32">
        <v>114797.07</v>
      </c>
      <c r="K363" s="32">
        <f t="shared" si="10"/>
        <v>114797.07</v>
      </c>
    </row>
    <row r="364" spans="3:11" ht="19.5" customHeight="1" x14ac:dyDescent="0.2">
      <c r="C364" s="278" t="s">
        <v>519</v>
      </c>
      <c r="D364" s="279"/>
      <c r="E364" s="42" t="s">
        <v>159</v>
      </c>
      <c r="F364" s="26" t="s">
        <v>1253</v>
      </c>
      <c r="G364" s="27" t="s">
        <v>1046</v>
      </c>
      <c r="H364" s="26" t="s">
        <v>1254</v>
      </c>
      <c r="I364" s="32"/>
      <c r="J364" s="32">
        <v>10959.92</v>
      </c>
      <c r="K364" s="32">
        <f t="shared" ref="K364:K427" si="11">I364+J364</f>
        <v>10959.92</v>
      </c>
    </row>
    <row r="365" spans="3:11" ht="19.5" customHeight="1" x14ac:dyDescent="0.2">
      <c r="C365" s="278" t="s">
        <v>520</v>
      </c>
      <c r="D365" s="279"/>
      <c r="E365" s="42" t="s">
        <v>162</v>
      </c>
      <c r="F365" s="26" t="s">
        <v>1255</v>
      </c>
      <c r="G365" s="27" t="s">
        <v>1256</v>
      </c>
      <c r="H365" s="26" t="s">
        <v>1238</v>
      </c>
      <c r="I365" s="32"/>
      <c r="J365" s="32">
        <v>25979</v>
      </c>
      <c r="K365" s="32">
        <f t="shared" si="11"/>
        <v>25979</v>
      </c>
    </row>
    <row r="366" spans="3:11" ht="213.75" x14ac:dyDescent="0.2">
      <c r="C366" s="278" t="s">
        <v>521</v>
      </c>
      <c r="D366" s="279"/>
      <c r="E366" s="42" t="s">
        <v>162</v>
      </c>
      <c r="F366" s="26" t="s">
        <v>1257</v>
      </c>
      <c r="G366" s="27" t="s">
        <v>1256</v>
      </c>
      <c r="H366" s="190" t="s">
        <v>1231</v>
      </c>
      <c r="I366" s="32"/>
      <c r="J366" s="32">
        <v>81707.92</v>
      </c>
      <c r="K366" s="32">
        <f t="shared" si="11"/>
        <v>81707.92</v>
      </c>
    </row>
    <row r="367" spans="3:11" ht="19.5" customHeight="1" x14ac:dyDescent="0.2">
      <c r="C367" s="278" t="s">
        <v>522</v>
      </c>
      <c r="D367" s="279"/>
      <c r="E367" s="42" t="s">
        <v>159</v>
      </c>
      <c r="F367" s="26" t="s">
        <v>1258</v>
      </c>
      <c r="G367" s="27" t="s">
        <v>1259</v>
      </c>
      <c r="H367" s="26" t="s">
        <v>1260</v>
      </c>
      <c r="I367" s="32"/>
      <c r="J367" s="32">
        <v>5046.1000000000004</v>
      </c>
      <c r="K367" s="32">
        <f t="shared" si="11"/>
        <v>5046.1000000000004</v>
      </c>
    </row>
    <row r="368" spans="3:11" ht="19.5" customHeight="1" x14ac:dyDescent="0.2">
      <c r="C368" s="278" t="s">
        <v>523</v>
      </c>
      <c r="D368" s="279"/>
      <c r="E368" s="42" t="s">
        <v>167</v>
      </c>
      <c r="F368" s="26" t="s">
        <v>1261</v>
      </c>
      <c r="G368" s="27" t="s">
        <v>1262</v>
      </c>
      <c r="H368" s="26" t="s">
        <v>1263</v>
      </c>
      <c r="I368" s="32"/>
      <c r="J368" s="32">
        <v>8093.66</v>
      </c>
      <c r="K368" s="32">
        <f t="shared" si="11"/>
        <v>8093.66</v>
      </c>
    </row>
    <row r="369" spans="3:11" ht="19.5" customHeight="1" x14ac:dyDescent="0.2">
      <c r="C369" s="278" t="s">
        <v>524</v>
      </c>
      <c r="D369" s="279"/>
      <c r="E369" s="42" t="s">
        <v>167</v>
      </c>
      <c r="F369" s="26" t="s">
        <v>1264</v>
      </c>
      <c r="G369" s="27" t="s">
        <v>1262</v>
      </c>
      <c r="H369" s="26" t="s">
        <v>1229</v>
      </c>
      <c r="I369" s="32"/>
      <c r="J369" s="32">
        <v>114797.07</v>
      </c>
      <c r="K369" s="32">
        <f t="shared" si="11"/>
        <v>114797.07</v>
      </c>
    </row>
    <row r="370" spans="3:11" ht="19.5" customHeight="1" x14ac:dyDescent="0.2">
      <c r="C370" s="278" t="s">
        <v>525</v>
      </c>
      <c r="D370" s="279"/>
      <c r="E370" s="42" t="s">
        <v>162</v>
      </c>
      <c r="F370" s="26" t="s">
        <v>1265</v>
      </c>
      <c r="G370" s="27" t="s">
        <v>1048</v>
      </c>
      <c r="H370" s="26" t="s">
        <v>1238</v>
      </c>
      <c r="I370" s="32"/>
      <c r="J370" s="32">
        <v>25979</v>
      </c>
      <c r="K370" s="32">
        <f t="shared" si="11"/>
        <v>25979</v>
      </c>
    </row>
    <row r="371" spans="3:11" ht="213.75" x14ac:dyDescent="0.2">
      <c r="C371" s="278" t="s">
        <v>526</v>
      </c>
      <c r="D371" s="279"/>
      <c r="E371" s="42" t="s">
        <v>162</v>
      </c>
      <c r="F371" s="26" t="s">
        <v>1266</v>
      </c>
      <c r="G371" s="27" t="s">
        <v>1048</v>
      </c>
      <c r="H371" s="190" t="s">
        <v>1231</v>
      </c>
      <c r="I371" s="32"/>
      <c r="J371" s="32">
        <v>81707.92</v>
      </c>
      <c r="K371" s="32">
        <f t="shared" si="11"/>
        <v>81707.92</v>
      </c>
    </row>
    <row r="372" spans="3:11" ht="19.5" customHeight="1" x14ac:dyDescent="0.2">
      <c r="C372" s="278" t="s">
        <v>527</v>
      </c>
      <c r="D372" s="279"/>
      <c r="E372" s="42" t="s">
        <v>159</v>
      </c>
      <c r="F372" s="26" t="s">
        <v>1267</v>
      </c>
      <c r="G372" s="27" t="s">
        <v>1078</v>
      </c>
      <c r="H372" s="26" t="s">
        <v>1205</v>
      </c>
      <c r="I372" s="32"/>
      <c r="J372" s="32">
        <v>5380.26</v>
      </c>
      <c r="K372" s="32">
        <f t="shared" si="11"/>
        <v>5380.26</v>
      </c>
    </row>
    <row r="373" spans="3:11" ht="19.5" customHeight="1" x14ac:dyDescent="0.2">
      <c r="C373" s="278" t="s">
        <v>528</v>
      </c>
      <c r="D373" s="279"/>
      <c r="E373" s="42" t="s">
        <v>163</v>
      </c>
      <c r="F373" s="26" t="s">
        <v>1268</v>
      </c>
      <c r="G373" s="27" t="s">
        <v>1048</v>
      </c>
      <c r="H373" s="26" t="s">
        <v>1184</v>
      </c>
      <c r="I373" s="32"/>
      <c r="J373" s="32">
        <v>5675.94</v>
      </c>
      <c r="K373" s="32">
        <f t="shared" si="11"/>
        <v>5675.94</v>
      </c>
    </row>
    <row r="374" spans="3:11" ht="19.5" customHeight="1" x14ac:dyDescent="0.2">
      <c r="C374" s="278" t="s">
        <v>529</v>
      </c>
      <c r="D374" s="279"/>
      <c r="E374" s="42" t="s">
        <v>158</v>
      </c>
      <c r="F374" s="26" t="s">
        <v>1269</v>
      </c>
      <c r="G374" s="27" t="s">
        <v>1270</v>
      </c>
      <c r="H374" s="26" t="s">
        <v>299</v>
      </c>
      <c r="I374" s="32"/>
      <c r="J374" s="32">
        <v>5722.81</v>
      </c>
      <c r="K374" s="32">
        <f t="shared" si="11"/>
        <v>5722.81</v>
      </c>
    </row>
    <row r="375" spans="3:11" ht="19.5" customHeight="1" x14ac:dyDescent="0.2">
      <c r="C375" s="278" t="s">
        <v>530</v>
      </c>
      <c r="D375" s="279"/>
      <c r="E375" s="42" t="s">
        <v>166</v>
      </c>
      <c r="F375" s="26" t="s">
        <v>1271</v>
      </c>
      <c r="G375" s="27" t="s">
        <v>1272</v>
      </c>
      <c r="H375" s="26" t="s">
        <v>1273</v>
      </c>
      <c r="I375" s="32"/>
      <c r="J375" s="32">
        <v>323634.76</v>
      </c>
      <c r="K375" s="32">
        <f t="shared" si="11"/>
        <v>323634.76</v>
      </c>
    </row>
    <row r="376" spans="3:11" ht="19.5" customHeight="1" x14ac:dyDescent="0.2">
      <c r="C376" s="278" t="s">
        <v>531</v>
      </c>
      <c r="D376" s="279"/>
      <c r="E376" s="42" t="s">
        <v>166</v>
      </c>
      <c r="F376" s="26" t="s">
        <v>1274</v>
      </c>
      <c r="G376" s="27" t="s">
        <v>1275</v>
      </c>
      <c r="H376" s="26" t="s">
        <v>1276</v>
      </c>
      <c r="I376" s="32"/>
      <c r="J376" s="32">
        <v>323634.63</v>
      </c>
      <c r="K376" s="32">
        <f t="shared" si="11"/>
        <v>323634.63</v>
      </c>
    </row>
    <row r="377" spans="3:11" ht="19.5" customHeight="1" x14ac:dyDescent="0.2">
      <c r="C377" s="278" t="s">
        <v>532</v>
      </c>
      <c r="D377" s="279"/>
      <c r="E377" s="42" t="s">
        <v>166</v>
      </c>
      <c r="F377" s="26" t="s">
        <v>1277</v>
      </c>
      <c r="G377" s="27" t="s">
        <v>1179</v>
      </c>
      <c r="H377" s="26" t="s">
        <v>1278</v>
      </c>
      <c r="I377" s="32"/>
      <c r="J377" s="32">
        <v>325575.17</v>
      </c>
      <c r="K377" s="32">
        <f t="shared" si="11"/>
        <v>325575.17</v>
      </c>
    </row>
    <row r="378" spans="3:11" ht="21.75" customHeight="1" x14ac:dyDescent="0.2">
      <c r="C378" s="278" t="s">
        <v>533</v>
      </c>
      <c r="D378" s="279"/>
      <c r="E378" s="42" t="s">
        <v>166</v>
      </c>
      <c r="F378" s="26" t="s">
        <v>1279</v>
      </c>
      <c r="G378" s="27" t="s">
        <v>1029</v>
      </c>
      <c r="H378" s="26" t="s">
        <v>1280</v>
      </c>
      <c r="I378" s="32"/>
      <c r="J378" s="32">
        <v>144730.23999999999</v>
      </c>
      <c r="K378" s="32">
        <f t="shared" si="11"/>
        <v>144730.23999999999</v>
      </c>
    </row>
    <row r="379" spans="3:11" ht="156.75" x14ac:dyDescent="0.2">
      <c r="C379" s="278" t="s">
        <v>534</v>
      </c>
      <c r="D379" s="279"/>
      <c r="E379" s="42" t="s">
        <v>166</v>
      </c>
      <c r="F379" s="26" t="s">
        <v>1281</v>
      </c>
      <c r="G379" s="27" t="s">
        <v>1282</v>
      </c>
      <c r="H379" s="190" t="s">
        <v>1283</v>
      </c>
      <c r="I379" s="32"/>
      <c r="J379" s="32">
        <v>19958.57</v>
      </c>
      <c r="K379" s="32">
        <f t="shared" si="11"/>
        <v>19958.57</v>
      </c>
    </row>
    <row r="380" spans="3:11" ht="19.5" customHeight="1" x14ac:dyDescent="0.2">
      <c r="C380" s="278" t="s">
        <v>535</v>
      </c>
      <c r="D380" s="279"/>
      <c r="E380" s="42" t="s">
        <v>166</v>
      </c>
      <c r="F380" s="26" t="s">
        <v>1284</v>
      </c>
      <c r="G380" s="27" t="s">
        <v>1115</v>
      </c>
      <c r="H380" s="26" t="s">
        <v>1280</v>
      </c>
      <c r="I380" s="32"/>
      <c r="J380" s="32">
        <v>141739.75</v>
      </c>
      <c r="K380" s="32">
        <f t="shared" si="11"/>
        <v>141739.75</v>
      </c>
    </row>
    <row r="381" spans="3:11" ht="19.5" customHeight="1" x14ac:dyDescent="0.2">
      <c r="C381" s="278" t="s">
        <v>536</v>
      </c>
      <c r="D381" s="279"/>
      <c r="E381" s="42" t="s">
        <v>354</v>
      </c>
      <c r="F381" s="26" t="s">
        <v>1285</v>
      </c>
      <c r="G381" s="27" t="s">
        <v>1286</v>
      </c>
      <c r="H381" s="26" t="s">
        <v>1287</v>
      </c>
      <c r="I381" s="32"/>
      <c r="J381" s="32">
        <v>450.65</v>
      </c>
      <c r="K381" s="32">
        <f t="shared" si="11"/>
        <v>450.65</v>
      </c>
    </row>
    <row r="382" spans="3:11" ht="19.5" customHeight="1" x14ac:dyDescent="0.2">
      <c r="C382" s="278" t="s">
        <v>537</v>
      </c>
      <c r="D382" s="279"/>
      <c r="E382" s="42" t="s">
        <v>166</v>
      </c>
      <c r="F382" s="26" t="s">
        <v>1288</v>
      </c>
      <c r="G382" s="27" t="s">
        <v>989</v>
      </c>
      <c r="H382" s="26" t="s">
        <v>1280</v>
      </c>
      <c r="I382" s="32"/>
      <c r="J382" s="32">
        <v>138749.35</v>
      </c>
      <c r="K382" s="32">
        <f t="shared" si="11"/>
        <v>138749.35</v>
      </c>
    </row>
    <row r="383" spans="3:11" ht="19.5" customHeight="1" x14ac:dyDescent="0.2">
      <c r="C383" s="278" t="s">
        <v>538</v>
      </c>
      <c r="D383" s="279"/>
      <c r="E383" s="42" t="s">
        <v>290</v>
      </c>
      <c r="F383" s="26" t="s">
        <v>1289</v>
      </c>
      <c r="G383" s="27" t="s">
        <v>1290</v>
      </c>
      <c r="H383" s="26" t="s">
        <v>1291</v>
      </c>
      <c r="I383" s="32"/>
      <c r="J383" s="32">
        <v>1832.11</v>
      </c>
      <c r="K383" s="32">
        <f t="shared" si="11"/>
        <v>1832.11</v>
      </c>
    </row>
    <row r="384" spans="3:11" ht="19.5" customHeight="1" x14ac:dyDescent="0.2">
      <c r="C384" s="278" t="s">
        <v>539</v>
      </c>
      <c r="D384" s="279"/>
      <c r="E384" s="42" t="s">
        <v>336</v>
      </c>
      <c r="F384" s="26" t="s">
        <v>1292</v>
      </c>
      <c r="G384" s="27" t="s">
        <v>944</v>
      </c>
      <c r="H384" s="26" t="s">
        <v>1293</v>
      </c>
      <c r="I384" s="32"/>
      <c r="J384" s="32">
        <v>66671.13</v>
      </c>
      <c r="K384" s="32">
        <f t="shared" si="11"/>
        <v>66671.13</v>
      </c>
    </row>
    <row r="385" spans="3:11" ht="19.5" customHeight="1" x14ac:dyDescent="0.2">
      <c r="C385" s="278" t="s">
        <v>540</v>
      </c>
      <c r="D385" s="279"/>
      <c r="E385" s="42" t="s">
        <v>336</v>
      </c>
      <c r="F385" s="26" t="s">
        <v>1294</v>
      </c>
      <c r="G385" s="27" t="s">
        <v>887</v>
      </c>
      <c r="H385" s="26" t="s">
        <v>1295</v>
      </c>
      <c r="I385" s="32"/>
      <c r="J385" s="32">
        <v>166677.78</v>
      </c>
      <c r="K385" s="32">
        <f t="shared" si="11"/>
        <v>166677.78</v>
      </c>
    </row>
    <row r="386" spans="3:11" ht="19.5" customHeight="1" x14ac:dyDescent="0.2">
      <c r="C386" s="278" t="s">
        <v>541</v>
      </c>
      <c r="D386" s="279"/>
      <c r="E386" s="42" t="s">
        <v>354</v>
      </c>
      <c r="F386" s="26" t="s">
        <v>1296</v>
      </c>
      <c r="G386" s="27" t="s">
        <v>1121</v>
      </c>
      <c r="H386" s="26" t="s">
        <v>1297</v>
      </c>
      <c r="I386" s="32"/>
      <c r="J386" s="32">
        <v>2257</v>
      </c>
      <c r="K386" s="32">
        <f t="shared" si="11"/>
        <v>2257</v>
      </c>
    </row>
    <row r="387" spans="3:11" ht="19.5" customHeight="1" x14ac:dyDescent="0.2">
      <c r="C387" s="278" t="s">
        <v>542</v>
      </c>
      <c r="D387" s="279"/>
      <c r="E387" s="42" t="s">
        <v>336</v>
      </c>
      <c r="F387" s="26" t="s">
        <v>1298</v>
      </c>
      <c r="G387" s="27" t="s">
        <v>1299</v>
      </c>
      <c r="H387" s="26" t="s">
        <v>1300</v>
      </c>
      <c r="I387" s="32"/>
      <c r="J387" s="32">
        <v>66671.13</v>
      </c>
      <c r="K387" s="32">
        <f t="shared" si="11"/>
        <v>66671.13</v>
      </c>
    </row>
    <row r="388" spans="3:11" ht="19.5" customHeight="1" x14ac:dyDescent="0.2">
      <c r="C388" s="278" t="s">
        <v>543</v>
      </c>
      <c r="D388" s="279"/>
      <c r="E388" s="42" t="s">
        <v>164</v>
      </c>
      <c r="F388" s="26" t="s">
        <v>1301</v>
      </c>
      <c r="G388" s="27" t="s">
        <v>1213</v>
      </c>
      <c r="H388" s="26" t="s">
        <v>1302</v>
      </c>
      <c r="I388" s="32"/>
      <c r="J388" s="32">
        <v>6191.62</v>
      </c>
      <c r="K388" s="32">
        <f t="shared" si="11"/>
        <v>6191.62</v>
      </c>
    </row>
    <row r="389" spans="3:11" ht="19.5" customHeight="1" x14ac:dyDescent="0.2">
      <c r="C389" s="278" t="s">
        <v>544</v>
      </c>
      <c r="D389" s="279"/>
      <c r="E389" s="42" t="s">
        <v>164</v>
      </c>
      <c r="F389" s="26" t="s">
        <v>1303</v>
      </c>
      <c r="G389" s="27" t="s">
        <v>912</v>
      </c>
      <c r="H389" s="26" t="s">
        <v>1304</v>
      </c>
      <c r="I389" s="32"/>
      <c r="J389" s="32">
        <v>2111.13</v>
      </c>
      <c r="K389" s="32">
        <f t="shared" si="11"/>
        <v>2111.13</v>
      </c>
    </row>
    <row r="390" spans="3:11" ht="19.5" customHeight="1" x14ac:dyDescent="0.2">
      <c r="C390" s="278" t="s">
        <v>545</v>
      </c>
      <c r="D390" s="279"/>
      <c r="E390" s="42" t="s">
        <v>354</v>
      </c>
      <c r="F390" s="26" t="s">
        <v>1305</v>
      </c>
      <c r="G390" s="27" t="s">
        <v>1306</v>
      </c>
      <c r="H390" s="26" t="s">
        <v>1307</v>
      </c>
      <c r="I390" s="32"/>
      <c r="J390" s="32">
        <v>6789.01</v>
      </c>
      <c r="K390" s="32">
        <f t="shared" si="11"/>
        <v>6789.01</v>
      </c>
    </row>
    <row r="391" spans="3:11" ht="19.5" customHeight="1" x14ac:dyDescent="0.2">
      <c r="C391" s="278" t="s">
        <v>546</v>
      </c>
      <c r="D391" s="279"/>
      <c r="E391" s="42" t="s">
        <v>336</v>
      </c>
      <c r="F391" s="26" t="s">
        <v>1308</v>
      </c>
      <c r="G391" s="27" t="s">
        <v>1309</v>
      </c>
      <c r="H391" s="26" t="s">
        <v>1310</v>
      </c>
      <c r="I391" s="32"/>
      <c r="J391" s="32">
        <v>66671.13</v>
      </c>
      <c r="K391" s="32">
        <f t="shared" si="11"/>
        <v>66671.13</v>
      </c>
    </row>
    <row r="392" spans="3:11" ht="57" x14ac:dyDescent="0.2">
      <c r="C392" s="278" t="s">
        <v>547</v>
      </c>
      <c r="D392" s="279"/>
      <c r="E392" s="42" t="s">
        <v>336</v>
      </c>
      <c r="F392" s="26" t="s">
        <v>1311</v>
      </c>
      <c r="G392" s="27" t="s">
        <v>1312</v>
      </c>
      <c r="H392" s="190" t="s">
        <v>1313</v>
      </c>
      <c r="I392" s="32"/>
      <c r="J392" s="32">
        <v>133342.26</v>
      </c>
      <c r="K392" s="32">
        <f t="shared" si="11"/>
        <v>133342.26</v>
      </c>
    </row>
    <row r="393" spans="3:11" ht="19.5" customHeight="1" x14ac:dyDescent="0.2">
      <c r="C393" s="278" t="s">
        <v>548</v>
      </c>
      <c r="D393" s="279"/>
      <c r="E393" s="42" t="s">
        <v>167</v>
      </c>
      <c r="F393" s="26" t="s">
        <v>1314</v>
      </c>
      <c r="G393" s="27" t="s">
        <v>1315</v>
      </c>
      <c r="H393" s="26" t="s">
        <v>1316</v>
      </c>
      <c r="I393" s="32"/>
      <c r="J393" s="32">
        <v>30769.360000000001</v>
      </c>
      <c r="K393" s="32">
        <f t="shared" si="11"/>
        <v>30769.360000000001</v>
      </c>
    </row>
    <row r="394" spans="3:11" ht="19.5" customHeight="1" x14ac:dyDescent="0.2">
      <c r="C394" s="278" t="s">
        <v>549</v>
      </c>
      <c r="D394" s="279"/>
      <c r="E394" s="42" t="s">
        <v>164</v>
      </c>
      <c r="F394" s="26" t="s">
        <v>1317</v>
      </c>
      <c r="G394" s="27" t="s">
        <v>1318</v>
      </c>
      <c r="H394" s="26" t="s">
        <v>300</v>
      </c>
      <c r="I394" s="32"/>
      <c r="J394" s="32">
        <v>8409.09</v>
      </c>
      <c r="K394" s="32">
        <f t="shared" si="11"/>
        <v>8409.09</v>
      </c>
    </row>
    <row r="395" spans="3:11" ht="19.5" customHeight="1" x14ac:dyDescent="0.2">
      <c r="C395" s="278" t="s">
        <v>550</v>
      </c>
      <c r="D395" s="279"/>
      <c r="E395" s="42" t="s">
        <v>338</v>
      </c>
      <c r="F395" s="26" t="s">
        <v>1319</v>
      </c>
      <c r="G395" s="27" t="s">
        <v>1320</v>
      </c>
      <c r="H395" s="26" t="s">
        <v>1321</v>
      </c>
      <c r="I395" s="32"/>
      <c r="J395" s="32">
        <v>92990</v>
      </c>
      <c r="K395" s="32">
        <f t="shared" si="11"/>
        <v>92990</v>
      </c>
    </row>
    <row r="396" spans="3:11" ht="356.25" x14ac:dyDescent="0.2">
      <c r="C396" s="278" t="s">
        <v>551</v>
      </c>
      <c r="D396" s="279"/>
      <c r="E396" s="42" t="s">
        <v>162</v>
      </c>
      <c r="F396" s="26" t="s">
        <v>1322</v>
      </c>
      <c r="G396" s="27" t="s">
        <v>1323</v>
      </c>
      <c r="H396" s="190" t="s">
        <v>1324</v>
      </c>
      <c r="I396" s="32"/>
      <c r="J396" s="32">
        <v>94698.17</v>
      </c>
      <c r="K396" s="32">
        <f t="shared" si="11"/>
        <v>94698.17</v>
      </c>
    </row>
    <row r="397" spans="3:11" ht="299.25" x14ac:dyDescent="0.2">
      <c r="C397" s="278" t="s">
        <v>552</v>
      </c>
      <c r="D397" s="279"/>
      <c r="E397" s="42" t="s">
        <v>162</v>
      </c>
      <c r="F397" s="26" t="s">
        <v>1325</v>
      </c>
      <c r="G397" s="27" t="s">
        <v>840</v>
      </c>
      <c r="H397" s="190" t="s">
        <v>1326</v>
      </c>
      <c r="I397" s="32"/>
      <c r="J397" s="32">
        <v>96829.46</v>
      </c>
      <c r="K397" s="32">
        <f t="shared" si="11"/>
        <v>96829.46</v>
      </c>
    </row>
    <row r="398" spans="3:11" ht="242.25" x14ac:dyDescent="0.2">
      <c r="C398" s="278" t="s">
        <v>553</v>
      </c>
      <c r="D398" s="279"/>
      <c r="E398" s="42" t="s">
        <v>162</v>
      </c>
      <c r="F398" s="26" t="s">
        <v>1327</v>
      </c>
      <c r="G398" s="27" t="s">
        <v>1328</v>
      </c>
      <c r="H398" s="190" t="s">
        <v>1329</v>
      </c>
      <c r="I398" s="32"/>
      <c r="J398" s="32">
        <v>96829.56</v>
      </c>
      <c r="K398" s="32">
        <f t="shared" si="11"/>
        <v>96829.56</v>
      </c>
    </row>
    <row r="399" spans="3:11" ht="19.5" customHeight="1" x14ac:dyDescent="0.2">
      <c r="C399" s="278" t="s">
        <v>554</v>
      </c>
      <c r="D399" s="279"/>
      <c r="E399" s="42" t="s">
        <v>162</v>
      </c>
      <c r="F399" s="26" t="s">
        <v>1330</v>
      </c>
      <c r="G399" s="27" t="s">
        <v>1328</v>
      </c>
      <c r="H399" s="26" t="s">
        <v>1177</v>
      </c>
      <c r="I399" s="32"/>
      <c r="J399" s="32">
        <v>17507.66</v>
      </c>
      <c r="K399" s="32">
        <f t="shared" si="11"/>
        <v>17507.66</v>
      </c>
    </row>
    <row r="400" spans="3:11" ht="19.5" customHeight="1" x14ac:dyDescent="0.2">
      <c r="C400" s="278" t="s">
        <v>555</v>
      </c>
      <c r="D400" s="279"/>
      <c r="E400" s="42" t="s">
        <v>167</v>
      </c>
      <c r="F400" s="26" t="s">
        <v>1331</v>
      </c>
      <c r="G400" s="27" t="s">
        <v>1163</v>
      </c>
      <c r="H400" s="26" t="s">
        <v>1332</v>
      </c>
      <c r="I400" s="32"/>
      <c r="J400" s="32">
        <v>21728.2</v>
      </c>
      <c r="K400" s="32">
        <f t="shared" si="11"/>
        <v>21728.2</v>
      </c>
    </row>
    <row r="401" spans="3:11" ht="19.5" customHeight="1" x14ac:dyDescent="0.2">
      <c r="C401" s="278" t="s">
        <v>556</v>
      </c>
      <c r="D401" s="279"/>
      <c r="E401" s="42" t="s">
        <v>162</v>
      </c>
      <c r="F401" s="26" t="s">
        <v>1333</v>
      </c>
      <c r="G401" s="27" t="s">
        <v>1334</v>
      </c>
      <c r="H401" s="26" t="s">
        <v>1177</v>
      </c>
      <c r="I401" s="32"/>
      <c r="J401" s="32">
        <v>17507.66</v>
      </c>
      <c r="K401" s="32">
        <f t="shared" si="11"/>
        <v>17507.66</v>
      </c>
    </row>
    <row r="402" spans="3:11" ht="71.25" x14ac:dyDescent="0.2">
      <c r="C402" s="278" t="s">
        <v>557</v>
      </c>
      <c r="D402" s="279"/>
      <c r="E402" s="42" t="s">
        <v>162</v>
      </c>
      <c r="F402" s="26" t="s">
        <v>1335</v>
      </c>
      <c r="G402" s="27" t="s">
        <v>1163</v>
      </c>
      <c r="H402" s="190" t="s">
        <v>1336</v>
      </c>
      <c r="I402" s="32"/>
      <c r="J402" s="32">
        <v>17568.28</v>
      </c>
      <c r="K402" s="32">
        <f t="shared" si="11"/>
        <v>17568.28</v>
      </c>
    </row>
    <row r="403" spans="3:11" ht="19.5" customHeight="1" x14ac:dyDescent="0.2">
      <c r="C403" s="278" t="s">
        <v>558</v>
      </c>
      <c r="D403" s="279"/>
      <c r="E403" s="42" t="s">
        <v>167</v>
      </c>
      <c r="F403" s="26" t="s">
        <v>1337</v>
      </c>
      <c r="G403" s="27" t="s">
        <v>856</v>
      </c>
      <c r="H403" s="26" t="s">
        <v>1338</v>
      </c>
      <c r="I403" s="32"/>
      <c r="J403" s="32">
        <v>16591.900000000001</v>
      </c>
      <c r="K403" s="32">
        <f t="shared" si="11"/>
        <v>16591.900000000001</v>
      </c>
    </row>
    <row r="404" spans="3:11" ht="19.5" customHeight="1" x14ac:dyDescent="0.2">
      <c r="C404" s="278" t="s">
        <v>559</v>
      </c>
      <c r="D404" s="279"/>
      <c r="E404" s="42" t="s">
        <v>167</v>
      </c>
      <c r="F404" s="26" t="s">
        <v>1339</v>
      </c>
      <c r="G404" s="27" t="s">
        <v>856</v>
      </c>
      <c r="H404" s="26" t="s">
        <v>1161</v>
      </c>
      <c r="I404" s="32"/>
      <c r="J404" s="32">
        <v>22123.79</v>
      </c>
      <c r="K404" s="32">
        <f t="shared" si="11"/>
        <v>22123.79</v>
      </c>
    </row>
    <row r="405" spans="3:11" ht="19.5" customHeight="1" x14ac:dyDescent="0.2">
      <c r="C405" s="278" t="s">
        <v>560</v>
      </c>
      <c r="D405" s="279"/>
      <c r="E405" s="42" t="s">
        <v>294</v>
      </c>
      <c r="F405" s="26" t="s">
        <v>1340</v>
      </c>
      <c r="G405" s="27">
        <v>44914</v>
      </c>
      <c r="H405" s="26" t="s">
        <v>823</v>
      </c>
      <c r="I405" s="32"/>
      <c r="J405" s="32">
        <v>7352.6</v>
      </c>
      <c r="K405" s="32">
        <f t="shared" si="11"/>
        <v>7352.6</v>
      </c>
    </row>
    <row r="406" spans="3:11" ht="19.5" customHeight="1" x14ac:dyDescent="0.2">
      <c r="C406" s="278" t="s">
        <v>561</v>
      </c>
      <c r="D406" s="279"/>
      <c r="E406" s="42" t="s">
        <v>288</v>
      </c>
      <c r="F406" s="26" t="s">
        <v>1341</v>
      </c>
      <c r="G406" s="27">
        <v>44742</v>
      </c>
      <c r="H406" s="26" t="s">
        <v>1342</v>
      </c>
      <c r="I406" s="32"/>
      <c r="J406" s="32">
        <v>9289.3799999999992</v>
      </c>
      <c r="K406" s="32">
        <f t="shared" si="11"/>
        <v>9289.3799999999992</v>
      </c>
    </row>
    <row r="407" spans="3:11" ht="19.5" customHeight="1" x14ac:dyDescent="0.2">
      <c r="C407" s="278" t="s">
        <v>562</v>
      </c>
      <c r="D407" s="279"/>
      <c r="E407" s="42" t="s">
        <v>294</v>
      </c>
      <c r="F407" s="26" t="s">
        <v>1343</v>
      </c>
      <c r="G407" s="27">
        <v>44914</v>
      </c>
      <c r="H407" s="26" t="s">
        <v>823</v>
      </c>
      <c r="I407" s="32"/>
      <c r="J407" s="32">
        <v>6249.71</v>
      </c>
      <c r="K407" s="32">
        <f t="shared" si="11"/>
        <v>6249.71</v>
      </c>
    </row>
    <row r="408" spans="3:11" ht="19.5" customHeight="1" x14ac:dyDescent="0.2">
      <c r="C408" s="278" t="s">
        <v>563</v>
      </c>
      <c r="D408" s="279"/>
      <c r="E408" s="42" t="s">
        <v>294</v>
      </c>
      <c r="F408" s="26" t="s">
        <v>1344</v>
      </c>
      <c r="G408" s="27">
        <v>44914</v>
      </c>
      <c r="H408" s="26" t="s">
        <v>819</v>
      </c>
      <c r="I408" s="32"/>
      <c r="J408" s="32">
        <v>6617.34</v>
      </c>
      <c r="K408" s="32">
        <f t="shared" si="11"/>
        <v>6617.34</v>
      </c>
    </row>
    <row r="409" spans="3:11" ht="19.5" customHeight="1" x14ac:dyDescent="0.2">
      <c r="C409" s="278" t="s">
        <v>564</v>
      </c>
      <c r="D409" s="279"/>
      <c r="E409" s="42" t="s">
        <v>294</v>
      </c>
      <c r="F409" s="26" t="s">
        <v>1345</v>
      </c>
      <c r="G409" s="27">
        <v>44914</v>
      </c>
      <c r="H409" s="26" t="s">
        <v>821</v>
      </c>
      <c r="I409" s="32"/>
      <c r="J409" s="32">
        <v>8768.7999999999993</v>
      </c>
      <c r="K409" s="32">
        <f t="shared" si="11"/>
        <v>8768.7999999999993</v>
      </c>
    </row>
    <row r="410" spans="3:11" ht="19.5" customHeight="1" thickBot="1" x14ac:dyDescent="0.25">
      <c r="C410" s="278" t="s">
        <v>565</v>
      </c>
      <c r="D410" s="279"/>
      <c r="E410" s="42" t="s">
        <v>294</v>
      </c>
      <c r="F410" s="26" t="s">
        <v>1346</v>
      </c>
      <c r="G410" s="27">
        <v>44914</v>
      </c>
      <c r="H410" s="26" t="s">
        <v>825</v>
      </c>
      <c r="I410" s="32"/>
      <c r="J410" s="32">
        <v>7368.12</v>
      </c>
      <c r="K410" s="32">
        <f t="shared" si="11"/>
        <v>7368.12</v>
      </c>
    </row>
    <row r="411" spans="3:11" ht="19.5" hidden="1" customHeight="1" x14ac:dyDescent="0.2">
      <c r="C411" s="278" t="s">
        <v>566</v>
      </c>
      <c r="D411" s="279"/>
      <c r="E411" s="42"/>
      <c r="F411" s="26"/>
      <c r="G411" s="27"/>
      <c r="H411" s="26"/>
      <c r="I411" s="32"/>
      <c r="J411" s="32"/>
      <c r="K411" s="32">
        <f t="shared" si="11"/>
        <v>0</v>
      </c>
    </row>
    <row r="412" spans="3:11" ht="19.5" hidden="1" customHeight="1" x14ac:dyDescent="0.2">
      <c r="C412" s="278" t="s">
        <v>567</v>
      </c>
      <c r="D412" s="279"/>
      <c r="E412" s="42"/>
      <c r="F412" s="26"/>
      <c r="G412" s="27"/>
      <c r="H412" s="26"/>
      <c r="I412" s="32"/>
      <c r="J412" s="32"/>
      <c r="K412" s="32">
        <f t="shared" si="11"/>
        <v>0</v>
      </c>
    </row>
    <row r="413" spans="3:11" ht="19.5" hidden="1" customHeight="1" x14ac:dyDescent="0.2">
      <c r="C413" s="278" t="s">
        <v>568</v>
      </c>
      <c r="D413" s="279"/>
      <c r="E413" s="42"/>
      <c r="F413" s="26"/>
      <c r="G413" s="27"/>
      <c r="H413" s="26"/>
      <c r="I413" s="32"/>
      <c r="J413" s="32"/>
      <c r="K413" s="32">
        <f t="shared" si="11"/>
        <v>0</v>
      </c>
    </row>
    <row r="414" spans="3:11" ht="19.5" hidden="1" customHeight="1" x14ac:dyDescent="0.2">
      <c r="C414" s="278" t="s">
        <v>569</v>
      </c>
      <c r="D414" s="279"/>
      <c r="E414" s="42"/>
      <c r="F414" s="26"/>
      <c r="G414" s="27"/>
      <c r="H414" s="26"/>
      <c r="I414" s="32"/>
      <c r="J414" s="32"/>
      <c r="K414" s="32">
        <f t="shared" si="11"/>
        <v>0</v>
      </c>
    </row>
    <row r="415" spans="3:11" ht="19.5" hidden="1" customHeight="1" x14ac:dyDescent="0.2">
      <c r="C415" s="278" t="s">
        <v>570</v>
      </c>
      <c r="D415" s="279"/>
      <c r="E415" s="42"/>
      <c r="F415" s="26"/>
      <c r="G415" s="27"/>
      <c r="H415" s="26"/>
      <c r="I415" s="32"/>
      <c r="J415" s="32"/>
      <c r="K415" s="32">
        <f t="shared" si="11"/>
        <v>0</v>
      </c>
    </row>
    <row r="416" spans="3:11" ht="19.5" hidden="1" customHeight="1" x14ac:dyDescent="0.2">
      <c r="C416" s="278" t="s">
        <v>571</v>
      </c>
      <c r="D416" s="279"/>
      <c r="E416" s="42"/>
      <c r="F416" s="26"/>
      <c r="G416" s="27"/>
      <c r="H416" s="26"/>
      <c r="I416" s="32"/>
      <c r="J416" s="32"/>
      <c r="K416" s="32">
        <f t="shared" si="11"/>
        <v>0</v>
      </c>
    </row>
    <row r="417" spans="3:11" ht="19.5" hidden="1" customHeight="1" x14ac:dyDescent="0.2">
      <c r="C417" s="278" t="s">
        <v>572</v>
      </c>
      <c r="D417" s="279"/>
      <c r="E417" s="42"/>
      <c r="F417" s="26"/>
      <c r="G417" s="27"/>
      <c r="H417" s="26"/>
      <c r="I417" s="32"/>
      <c r="J417" s="32"/>
      <c r="K417" s="32">
        <f t="shared" si="11"/>
        <v>0</v>
      </c>
    </row>
    <row r="418" spans="3:11" ht="19.5" hidden="1" customHeight="1" x14ac:dyDescent="0.2">
      <c r="C418" s="278" t="s">
        <v>573</v>
      </c>
      <c r="D418" s="279"/>
      <c r="E418" s="42"/>
      <c r="F418" s="26"/>
      <c r="G418" s="27"/>
      <c r="H418" s="26"/>
      <c r="I418" s="32"/>
      <c r="J418" s="32"/>
      <c r="K418" s="32">
        <f t="shared" si="11"/>
        <v>0</v>
      </c>
    </row>
    <row r="419" spans="3:11" ht="19.5" hidden="1" customHeight="1" x14ac:dyDescent="0.2">
      <c r="C419" s="278" t="s">
        <v>574</v>
      </c>
      <c r="D419" s="279"/>
      <c r="E419" s="42"/>
      <c r="F419" s="26"/>
      <c r="G419" s="27"/>
      <c r="H419" s="26"/>
      <c r="I419" s="32"/>
      <c r="J419" s="32"/>
      <c r="K419" s="32">
        <f t="shared" si="11"/>
        <v>0</v>
      </c>
    </row>
    <row r="420" spans="3:11" ht="19.5" hidden="1" customHeight="1" x14ac:dyDescent="0.2">
      <c r="C420" s="278" t="s">
        <v>575</v>
      </c>
      <c r="D420" s="279"/>
      <c r="E420" s="42"/>
      <c r="F420" s="26"/>
      <c r="G420" s="27"/>
      <c r="H420" s="26"/>
      <c r="I420" s="32"/>
      <c r="J420" s="32"/>
      <c r="K420" s="32">
        <f t="shared" si="11"/>
        <v>0</v>
      </c>
    </row>
    <row r="421" spans="3:11" ht="19.5" hidden="1" customHeight="1" x14ac:dyDescent="0.2">
      <c r="C421" s="278" t="s">
        <v>576</v>
      </c>
      <c r="D421" s="279"/>
      <c r="E421" s="42"/>
      <c r="F421" s="26"/>
      <c r="G421" s="27"/>
      <c r="H421" s="26"/>
      <c r="I421" s="32"/>
      <c r="J421" s="32"/>
      <c r="K421" s="32">
        <f t="shared" si="11"/>
        <v>0</v>
      </c>
    </row>
    <row r="422" spans="3:11" ht="19.5" hidden="1" customHeight="1" x14ac:dyDescent="0.2">
      <c r="C422" s="278" t="s">
        <v>577</v>
      </c>
      <c r="D422" s="279"/>
      <c r="E422" s="42"/>
      <c r="F422" s="26"/>
      <c r="G422" s="27"/>
      <c r="H422" s="26"/>
      <c r="I422" s="32"/>
      <c r="J422" s="32"/>
      <c r="K422" s="32">
        <f t="shared" si="11"/>
        <v>0</v>
      </c>
    </row>
    <row r="423" spans="3:11" ht="19.5" hidden="1" customHeight="1" x14ac:dyDescent="0.2">
      <c r="C423" s="278" t="s">
        <v>578</v>
      </c>
      <c r="D423" s="279"/>
      <c r="E423" s="42"/>
      <c r="F423" s="26"/>
      <c r="G423" s="27"/>
      <c r="H423" s="26"/>
      <c r="I423" s="32"/>
      <c r="J423" s="32"/>
      <c r="K423" s="32">
        <f t="shared" si="11"/>
        <v>0</v>
      </c>
    </row>
    <row r="424" spans="3:11" ht="19.5" hidden="1" customHeight="1" x14ac:dyDescent="0.2">
      <c r="C424" s="278" t="s">
        <v>579</v>
      </c>
      <c r="D424" s="279"/>
      <c r="E424" s="42"/>
      <c r="F424" s="26"/>
      <c r="G424" s="27"/>
      <c r="H424" s="26"/>
      <c r="I424" s="32"/>
      <c r="J424" s="32"/>
      <c r="K424" s="32">
        <f t="shared" si="11"/>
        <v>0</v>
      </c>
    </row>
    <row r="425" spans="3:11" ht="19.5" hidden="1" customHeight="1" x14ac:dyDescent="0.2">
      <c r="C425" s="278" t="s">
        <v>580</v>
      </c>
      <c r="D425" s="279"/>
      <c r="E425" s="42"/>
      <c r="F425" s="26"/>
      <c r="G425" s="27"/>
      <c r="H425" s="26"/>
      <c r="I425" s="32"/>
      <c r="J425" s="32"/>
      <c r="K425" s="32">
        <f t="shared" si="11"/>
        <v>0</v>
      </c>
    </row>
    <row r="426" spans="3:11" ht="19.5" hidden="1" customHeight="1" x14ac:dyDescent="0.2">
      <c r="C426" s="278" t="s">
        <v>581</v>
      </c>
      <c r="D426" s="279"/>
      <c r="E426" s="42"/>
      <c r="F426" s="26"/>
      <c r="G426" s="27"/>
      <c r="H426" s="26"/>
      <c r="I426" s="32"/>
      <c r="J426" s="32"/>
      <c r="K426" s="32">
        <f t="shared" si="11"/>
        <v>0</v>
      </c>
    </row>
    <row r="427" spans="3:11" ht="19.5" hidden="1" customHeight="1" x14ac:dyDescent="0.2">
      <c r="C427" s="278" t="s">
        <v>582</v>
      </c>
      <c r="D427" s="279"/>
      <c r="E427" s="42"/>
      <c r="F427" s="26"/>
      <c r="G427" s="27"/>
      <c r="H427" s="26"/>
      <c r="I427" s="32"/>
      <c r="J427" s="32"/>
      <c r="K427" s="32">
        <f t="shared" si="11"/>
        <v>0</v>
      </c>
    </row>
    <row r="428" spans="3:11" ht="19.5" hidden="1" customHeight="1" x14ac:dyDescent="0.2">
      <c r="C428" s="278" t="s">
        <v>583</v>
      </c>
      <c r="D428" s="279"/>
      <c r="E428" s="42"/>
      <c r="F428" s="26"/>
      <c r="G428" s="27"/>
      <c r="H428" s="26"/>
      <c r="I428" s="32"/>
      <c r="J428" s="32"/>
      <c r="K428" s="32">
        <f t="shared" ref="K428:K491" si="12">I428+J428</f>
        <v>0</v>
      </c>
    </row>
    <row r="429" spans="3:11" ht="19.5" hidden="1" customHeight="1" x14ac:dyDescent="0.2">
      <c r="C429" s="278" t="s">
        <v>584</v>
      </c>
      <c r="D429" s="279"/>
      <c r="E429" s="42"/>
      <c r="F429" s="26"/>
      <c r="G429" s="27"/>
      <c r="H429" s="26"/>
      <c r="I429" s="32"/>
      <c r="J429" s="32"/>
      <c r="K429" s="32">
        <f t="shared" si="12"/>
        <v>0</v>
      </c>
    </row>
    <row r="430" spans="3:11" ht="19.5" hidden="1" customHeight="1" x14ac:dyDescent="0.2">
      <c r="C430" s="278" t="s">
        <v>585</v>
      </c>
      <c r="D430" s="279"/>
      <c r="E430" s="42"/>
      <c r="F430" s="26"/>
      <c r="G430" s="27"/>
      <c r="H430" s="26"/>
      <c r="I430" s="32"/>
      <c r="J430" s="32"/>
      <c r="K430" s="32">
        <f t="shared" si="12"/>
        <v>0</v>
      </c>
    </row>
    <row r="431" spans="3:11" ht="19.5" hidden="1" customHeight="1" x14ac:dyDescent="0.2">
      <c r="C431" s="278" t="s">
        <v>586</v>
      </c>
      <c r="D431" s="279"/>
      <c r="E431" s="42"/>
      <c r="F431" s="26"/>
      <c r="G431" s="27"/>
      <c r="H431" s="26"/>
      <c r="I431" s="32"/>
      <c r="J431" s="32"/>
      <c r="K431" s="32">
        <f t="shared" si="12"/>
        <v>0</v>
      </c>
    </row>
    <row r="432" spans="3:11" ht="19.5" hidden="1" customHeight="1" x14ac:dyDescent="0.2">
      <c r="C432" s="278" t="s">
        <v>587</v>
      </c>
      <c r="D432" s="279"/>
      <c r="E432" s="42"/>
      <c r="F432" s="26"/>
      <c r="G432" s="27"/>
      <c r="H432" s="26"/>
      <c r="I432" s="32"/>
      <c r="J432" s="32"/>
      <c r="K432" s="32">
        <f t="shared" si="12"/>
        <v>0</v>
      </c>
    </row>
    <row r="433" spans="3:11" ht="19.5" hidden="1" customHeight="1" x14ac:dyDescent="0.2">
      <c r="C433" s="278" t="s">
        <v>588</v>
      </c>
      <c r="D433" s="279"/>
      <c r="E433" s="42"/>
      <c r="F433" s="26"/>
      <c r="G433" s="27"/>
      <c r="H433" s="26"/>
      <c r="I433" s="32"/>
      <c r="J433" s="32"/>
      <c r="K433" s="32">
        <f t="shared" si="12"/>
        <v>0</v>
      </c>
    </row>
    <row r="434" spans="3:11" ht="19.5" hidden="1" customHeight="1" x14ac:dyDescent="0.2">
      <c r="C434" s="278" t="s">
        <v>589</v>
      </c>
      <c r="D434" s="279"/>
      <c r="E434" s="42"/>
      <c r="F434" s="26"/>
      <c r="G434" s="27"/>
      <c r="H434" s="26"/>
      <c r="I434" s="32"/>
      <c r="J434" s="32"/>
      <c r="K434" s="32">
        <f t="shared" si="12"/>
        <v>0</v>
      </c>
    </row>
    <row r="435" spans="3:11" ht="19.5" hidden="1" customHeight="1" x14ac:dyDescent="0.2">
      <c r="C435" s="278" t="s">
        <v>590</v>
      </c>
      <c r="D435" s="279"/>
      <c r="E435" s="42"/>
      <c r="F435" s="26"/>
      <c r="G435" s="27"/>
      <c r="H435" s="26"/>
      <c r="I435" s="32"/>
      <c r="J435" s="32"/>
      <c r="K435" s="32">
        <f t="shared" si="12"/>
        <v>0</v>
      </c>
    </row>
    <row r="436" spans="3:11" ht="19.5" hidden="1" customHeight="1" x14ac:dyDescent="0.2">
      <c r="C436" s="278" t="s">
        <v>591</v>
      </c>
      <c r="D436" s="279"/>
      <c r="E436" s="42"/>
      <c r="F436" s="26"/>
      <c r="G436" s="27"/>
      <c r="H436" s="26"/>
      <c r="I436" s="32"/>
      <c r="J436" s="32"/>
      <c r="K436" s="32">
        <f t="shared" si="12"/>
        <v>0</v>
      </c>
    </row>
    <row r="437" spans="3:11" ht="19.5" hidden="1" customHeight="1" x14ac:dyDescent="0.2">
      <c r="C437" s="278" t="s">
        <v>592</v>
      </c>
      <c r="D437" s="279"/>
      <c r="E437" s="42"/>
      <c r="F437" s="26"/>
      <c r="G437" s="27"/>
      <c r="H437" s="26"/>
      <c r="I437" s="32"/>
      <c r="J437" s="32"/>
      <c r="K437" s="32">
        <f t="shared" si="12"/>
        <v>0</v>
      </c>
    </row>
    <row r="438" spans="3:11" ht="19.5" hidden="1" customHeight="1" x14ac:dyDescent="0.2">
      <c r="C438" s="278" t="s">
        <v>593</v>
      </c>
      <c r="D438" s="279"/>
      <c r="E438" s="42"/>
      <c r="F438" s="26"/>
      <c r="G438" s="27"/>
      <c r="H438" s="26"/>
      <c r="I438" s="32"/>
      <c r="J438" s="32"/>
      <c r="K438" s="32">
        <f t="shared" si="12"/>
        <v>0</v>
      </c>
    </row>
    <row r="439" spans="3:11" ht="19.5" hidden="1" customHeight="1" x14ac:dyDescent="0.2">
      <c r="C439" s="278" t="s">
        <v>594</v>
      </c>
      <c r="D439" s="279"/>
      <c r="E439" s="42"/>
      <c r="F439" s="26"/>
      <c r="G439" s="27"/>
      <c r="H439" s="26"/>
      <c r="I439" s="32"/>
      <c r="J439" s="32"/>
      <c r="K439" s="32">
        <f t="shared" si="12"/>
        <v>0</v>
      </c>
    </row>
    <row r="440" spans="3:11" ht="19.5" hidden="1" customHeight="1" x14ac:dyDescent="0.2">
      <c r="C440" s="278" t="s">
        <v>595</v>
      </c>
      <c r="D440" s="279"/>
      <c r="E440" s="42"/>
      <c r="F440" s="26"/>
      <c r="G440" s="27"/>
      <c r="H440" s="26"/>
      <c r="I440" s="32"/>
      <c r="J440" s="32"/>
      <c r="K440" s="32">
        <f t="shared" si="12"/>
        <v>0</v>
      </c>
    </row>
    <row r="441" spans="3:11" ht="19.5" hidden="1" customHeight="1" x14ac:dyDescent="0.2">
      <c r="C441" s="278" t="s">
        <v>596</v>
      </c>
      <c r="D441" s="279"/>
      <c r="E441" s="42"/>
      <c r="F441" s="26"/>
      <c r="G441" s="27"/>
      <c r="H441" s="26"/>
      <c r="I441" s="32"/>
      <c r="J441" s="32"/>
      <c r="K441" s="32">
        <f t="shared" si="12"/>
        <v>0</v>
      </c>
    </row>
    <row r="442" spans="3:11" ht="19.5" hidden="1" customHeight="1" x14ac:dyDescent="0.2">
      <c r="C442" s="278" t="s">
        <v>597</v>
      </c>
      <c r="D442" s="279"/>
      <c r="E442" s="42"/>
      <c r="F442" s="26"/>
      <c r="G442" s="27"/>
      <c r="H442" s="26"/>
      <c r="I442" s="32"/>
      <c r="J442" s="32"/>
      <c r="K442" s="32">
        <f t="shared" si="12"/>
        <v>0</v>
      </c>
    </row>
    <row r="443" spans="3:11" ht="19.5" hidden="1" customHeight="1" x14ac:dyDescent="0.2">
      <c r="C443" s="278" t="s">
        <v>598</v>
      </c>
      <c r="D443" s="279"/>
      <c r="E443" s="42"/>
      <c r="F443" s="26"/>
      <c r="G443" s="27"/>
      <c r="H443" s="26"/>
      <c r="I443" s="32"/>
      <c r="J443" s="32"/>
      <c r="K443" s="32">
        <f t="shared" si="12"/>
        <v>0</v>
      </c>
    </row>
    <row r="444" spans="3:11" ht="19.5" hidden="1" customHeight="1" x14ac:dyDescent="0.2">
      <c r="C444" s="278" t="s">
        <v>599</v>
      </c>
      <c r="D444" s="279"/>
      <c r="E444" s="42"/>
      <c r="F444" s="26"/>
      <c r="G444" s="27"/>
      <c r="H444" s="26"/>
      <c r="I444" s="32"/>
      <c r="J444" s="32"/>
      <c r="K444" s="32">
        <f t="shared" si="12"/>
        <v>0</v>
      </c>
    </row>
    <row r="445" spans="3:11" ht="19.5" hidden="1" customHeight="1" x14ac:dyDescent="0.2">
      <c r="C445" s="278" t="s">
        <v>600</v>
      </c>
      <c r="D445" s="279"/>
      <c r="E445" s="42"/>
      <c r="F445" s="26"/>
      <c r="G445" s="27"/>
      <c r="H445" s="26"/>
      <c r="I445" s="32"/>
      <c r="J445" s="32"/>
      <c r="K445" s="32">
        <f t="shared" si="12"/>
        <v>0</v>
      </c>
    </row>
    <row r="446" spans="3:11" ht="19.5" hidden="1" customHeight="1" x14ac:dyDescent="0.2">
      <c r="C446" s="278" t="s">
        <v>601</v>
      </c>
      <c r="D446" s="279"/>
      <c r="E446" s="42"/>
      <c r="F446" s="26"/>
      <c r="G446" s="27"/>
      <c r="H446" s="26"/>
      <c r="I446" s="32"/>
      <c r="J446" s="32"/>
      <c r="K446" s="32">
        <f t="shared" si="12"/>
        <v>0</v>
      </c>
    </row>
    <row r="447" spans="3:11" ht="19.5" hidden="1" customHeight="1" x14ac:dyDescent="0.2">
      <c r="C447" s="278" t="s">
        <v>602</v>
      </c>
      <c r="D447" s="279"/>
      <c r="E447" s="42"/>
      <c r="F447" s="26"/>
      <c r="G447" s="27"/>
      <c r="H447" s="26"/>
      <c r="I447" s="32"/>
      <c r="J447" s="32"/>
      <c r="K447" s="32">
        <f t="shared" si="12"/>
        <v>0</v>
      </c>
    </row>
    <row r="448" spans="3:11" ht="19.5" hidden="1" customHeight="1" x14ac:dyDescent="0.2">
      <c r="C448" s="278" t="s">
        <v>603</v>
      </c>
      <c r="D448" s="279"/>
      <c r="E448" s="42"/>
      <c r="F448" s="26"/>
      <c r="G448" s="27"/>
      <c r="H448" s="26"/>
      <c r="I448" s="32"/>
      <c r="J448" s="32"/>
      <c r="K448" s="32">
        <f t="shared" si="12"/>
        <v>0</v>
      </c>
    </row>
    <row r="449" spans="3:11" ht="19.5" hidden="1" customHeight="1" x14ac:dyDescent="0.2">
      <c r="C449" s="278" t="s">
        <v>604</v>
      </c>
      <c r="D449" s="279"/>
      <c r="E449" s="42"/>
      <c r="F449" s="26"/>
      <c r="G449" s="27"/>
      <c r="H449" s="26"/>
      <c r="I449" s="32"/>
      <c r="J449" s="32"/>
      <c r="K449" s="32">
        <f t="shared" si="12"/>
        <v>0</v>
      </c>
    </row>
    <row r="450" spans="3:11" ht="19.5" hidden="1" customHeight="1" x14ac:dyDescent="0.2">
      <c r="C450" s="278" t="s">
        <v>605</v>
      </c>
      <c r="D450" s="279"/>
      <c r="E450" s="42"/>
      <c r="F450" s="26"/>
      <c r="G450" s="27"/>
      <c r="H450" s="26"/>
      <c r="I450" s="32"/>
      <c r="J450" s="32"/>
      <c r="K450" s="32">
        <f t="shared" si="12"/>
        <v>0</v>
      </c>
    </row>
    <row r="451" spans="3:11" ht="19.5" hidden="1" customHeight="1" x14ac:dyDescent="0.2">
      <c r="C451" s="278" t="s">
        <v>606</v>
      </c>
      <c r="D451" s="279"/>
      <c r="E451" s="42"/>
      <c r="F451" s="26"/>
      <c r="G451" s="27"/>
      <c r="H451" s="26"/>
      <c r="I451" s="32"/>
      <c r="J451" s="32"/>
      <c r="K451" s="32">
        <f t="shared" si="12"/>
        <v>0</v>
      </c>
    </row>
    <row r="452" spans="3:11" ht="19.5" hidden="1" customHeight="1" x14ac:dyDescent="0.2">
      <c r="C452" s="278" t="s">
        <v>607</v>
      </c>
      <c r="D452" s="279"/>
      <c r="E452" s="42"/>
      <c r="F452" s="26"/>
      <c r="G452" s="27"/>
      <c r="H452" s="26"/>
      <c r="I452" s="32"/>
      <c r="J452" s="32"/>
      <c r="K452" s="32">
        <f t="shared" si="12"/>
        <v>0</v>
      </c>
    </row>
    <row r="453" spans="3:11" ht="19.5" hidden="1" customHeight="1" x14ac:dyDescent="0.2">
      <c r="C453" s="278" t="s">
        <v>608</v>
      </c>
      <c r="D453" s="279"/>
      <c r="E453" s="42"/>
      <c r="F453" s="26"/>
      <c r="G453" s="27"/>
      <c r="H453" s="26"/>
      <c r="I453" s="32"/>
      <c r="J453" s="32"/>
      <c r="K453" s="32">
        <f t="shared" si="12"/>
        <v>0</v>
      </c>
    </row>
    <row r="454" spans="3:11" ht="19.5" hidden="1" customHeight="1" x14ac:dyDescent="0.2">
      <c r="C454" s="278" t="s">
        <v>609</v>
      </c>
      <c r="D454" s="279"/>
      <c r="E454" s="42"/>
      <c r="F454" s="26"/>
      <c r="G454" s="27"/>
      <c r="H454" s="26"/>
      <c r="I454" s="32"/>
      <c r="J454" s="32"/>
      <c r="K454" s="32">
        <f t="shared" si="12"/>
        <v>0</v>
      </c>
    </row>
    <row r="455" spans="3:11" ht="19.5" hidden="1" customHeight="1" x14ac:dyDescent="0.2">
      <c r="C455" s="278" t="s">
        <v>610</v>
      </c>
      <c r="D455" s="279"/>
      <c r="E455" s="42"/>
      <c r="F455" s="26"/>
      <c r="G455" s="27"/>
      <c r="H455" s="26"/>
      <c r="I455" s="32"/>
      <c r="J455" s="32"/>
      <c r="K455" s="32">
        <f t="shared" si="12"/>
        <v>0</v>
      </c>
    </row>
    <row r="456" spans="3:11" ht="19.5" hidden="1" customHeight="1" x14ac:dyDescent="0.2">
      <c r="C456" s="278" t="s">
        <v>611</v>
      </c>
      <c r="D456" s="279"/>
      <c r="E456" s="42"/>
      <c r="F456" s="26"/>
      <c r="G456" s="27"/>
      <c r="H456" s="26"/>
      <c r="I456" s="32"/>
      <c r="J456" s="32"/>
      <c r="K456" s="32">
        <f t="shared" si="12"/>
        <v>0</v>
      </c>
    </row>
    <row r="457" spans="3:11" ht="19.5" hidden="1" customHeight="1" x14ac:dyDescent="0.2">
      <c r="C457" s="278" t="s">
        <v>612</v>
      </c>
      <c r="D457" s="279"/>
      <c r="E457" s="42"/>
      <c r="F457" s="26"/>
      <c r="G457" s="27"/>
      <c r="H457" s="26"/>
      <c r="I457" s="32"/>
      <c r="J457" s="32"/>
      <c r="K457" s="32">
        <f t="shared" si="12"/>
        <v>0</v>
      </c>
    </row>
    <row r="458" spans="3:11" ht="19.5" hidden="1" customHeight="1" x14ac:dyDescent="0.2">
      <c r="C458" s="278" t="s">
        <v>613</v>
      </c>
      <c r="D458" s="279"/>
      <c r="E458" s="42"/>
      <c r="F458" s="26"/>
      <c r="G458" s="27"/>
      <c r="H458" s="26"/>
      <c r="I458" s="32"/>
      <c r="J458" s="32"/>
      <c r="K458" s="32">
        <f t="shared" si="12"/>
        <v>0</v>
      </c>
    </row>
    <row r="459" spans="3:11" ht="19.5" hidden="1" customHeight="1" x14ac:dyDescent="0.2">
      <c r="C459" s="278" t="s">
        <v>614</v>
      </c>
      <c r="D459" s="279"/>
      <c r="E459" s="42"/>
      <c r="F459" s="26"/>
      <c r="G459" s="27"/>
      <c r="H459" s="26"/>
      <c r="I459" s="32"/>
      <c r="J459" s="32"/>
      <c r="K459" s="32">
        <f t="shared" si="12"/>
        <v>0</v>
      </c>
    </row>
    <row r="460" spans="3:11" ht="19.5" hidden="1" customHeight="1" x14ac:dyDescent="0.2">
      <c r="C460" s="278" t="s">
        <v>615</v>
      </c>
      <c r="D460" s="279"/>
      <c r="E460" s="42"/>
      <c r="F460" s="26"/>
      <c r="G460" s="27"/>
      <c r="H460" s="26"/>
      <c r="I460" s="32"/>
      <c r="J460" s="32"/>
      <c r="K460" s="32">
        <f t="shared" si="12"/>
        <v>0</v>
      </c>
    </row>
    <row r="461" spans="3:11" ht="19.5" hidden="1" customHeight="1" x14ac:dyDescent="0.2">
      <c r="C461" s="278" t="s">
        <v>616</v>
      </c>
      <c r="D461" s="279"/>
      <c r="E461" s="42"/>
      <c r="F461" s="26"/>
      <c r="G461" s="27"/>
      <c r="H461" s="26"/>
      <c r="I461" s="32"/>
      <c r="J461" s="32"/>
      <c r="K461" s="32">
        <f t="shared" si="12"/>
        <v>0</v>
      </c>
    </row>
    <row r="462" spans="3:11" ht="19.5" hidden="1" customHeight="1" x14ac:dyDescent="0.2">
      <c r="C462" s="278" t="s">
        <v>617</v>
      </c>
      <c r="D462" s="279"/>
      <c r="E462" s="42"/>
      <c r="F462" s="26"/>
      <c r="G462" s="27"/>
      <c r="H462" s="26"/>
      <c r="I462" s="32"/>
      <c r="J462" s="32"/>
      <c r="K462" s="32">
        <f t="shared" si="12"/>
        <v>0</v>
      </c>
    </row>
    <row r="463" spans="3:11" ht="19.5" hidden="1" customHeight="1" x14ac:dyDescent="0.2">
      <c r="C463" s="278" t="s">
        <v>618</v>
      </c>
      <c r="D463" s="279"/>
      <c r="E463" s="42"/>
      <c r="F463" s="26"/>
      <c r="G463" s="27"/>
      <c r="H463" s="26"/>
      <c r="I463" s="32"/>
      <c r="J463" s="32"/>
      <c r="K463" s="32">
        <f t="shared" si="12"/>
        <v>0</v>
      </c>
    </row>
    <row r="464" spans="3:11" ht="19.5" hidden="1" customHeight="1" x14ac:dyDescent="0.2">
      <c r="C464" s="278" t="s">
        <v>619</v>
      </c>
      <c r="D464" s="279"/>
      <c r="E464" s="42"/>
      <c r="F464" s="26"/>
      <c r="G464" s="27"/>
      <c r="H464" s="26"/>
      <c r="I464" s="32"/>
      <c r="J464" s="32"/>
      <c r="K464" s="32">
        <f t="shared" si="12"/>
        <v>0</v>
      </c>
    </row>
    <row r="465" spans="3:11" ht="19.5" hidden="1" customHeight="1" x14ac:dyDescent="0.2">
      <c r="C465" s="278" t="s">
        <v>620</v>
      </c>
      <c r="D465" s="279"/>
      <c r="E465" s="42"/>
      <c r="F465" s="26"/>
      <c r="G465" s="27"/>
      <c r="H465" s="26"/>
      <c r="I465" s="32"/>
      <c r="J465" s="32"/>
      <c r="K465" s="32">
        <f t="shared" si="12"/>
        <v>0</v>
      </c>
    </row>
    <row r="466" spans="3:11" ht="19.5" hidden="1" customHeight="1" x14ac:dyDescent="0.2">
      <c r="C466" s="278" t="s">
        <v>621</v>
      </c>
      <c r="D466" s="279"/>
      <c r="E466" s="42"/>
      <c r="F466" s="26"/>
      <c r="G466" s="27"/>
      <c r="H466" s="26"/>
      <c r="I466" s="32"/>
      <c r="J466" s="32"/>
      <c r="K466" s="32">
        <f t="shared" si="12"/>
        <v>0</v>
      </c>
    </row>
    <row r="467" spans="3:11" ht="19.5" hidden="1" customHeight="1" x14ac:dyDescent="0.2">
      <c r="C467" s="278" t="s">
        <v>622</v>
      </c>
      <c r="D467" s="279"/>
      <c r="E467" s="42"/>
      <c r="F467" s="26"/>
      <c r="G467" s="27"/>
      <c r="H467" s="26"/>
      <c r="I467" s="32"/>
      <c r="J467" s="32"/>
      <c r="K467" s="32">
        <f t="shared" si="12"/>
        <v>0</v>
      </c>
    </row>
    <row r="468" spans="3:11" ht="19.5" hidden="1" customHeight="1" x14ac:dyDescent="0.2">
      <c r="C468" s="278" t="s">
        <v>623</v>
      </c>
      <c r="D468" s="279"/>
      <c r="E468" s="42"/>
      <c r="F468" s="26"/>
      <c r="G468" s="27"/>
      <c r="H468" s="26"/>
      <c r="I468" s="32"/>
      <c r="J468" s="32"/>
      <c r="K468" s="32">
        <f t="shared" si="12"/>
        <v>0</v>
      </c>
    </row>
    <row r="469" spans="3:11" ht="19.5" hidden="1" customHeight="1" x14ac:dyDescent="0.2">
      <c r="C469" s="278" t="s">
        <v>624</v>
      </c>
      <c r="D469" s="279"/>
      <c r="E469" s="42"/>
      <c r="F469" s="26"/>
      <c r="G469" s="27"/>
      <c r="H469" s="26"/>
      <c r="I469" s="32"/>
      <c r="J469" s="32"/>
      <c r="K469" s="32">
        <f t="shared" si="12"/>
        <v>0</v>
      </c>
    </row>
    <row r="470" spans="3:11" ht="19.5" hidden="1" customHeight="1" x14ac:dyDescent="0.2">
      <c r="C470" s="278" t="s">
        <v>625</v>
      </c>
      <c r="D470" s="279"/>
      <c r="E470" s="42"/>
      <c r="F470" s="26"/>
      <c r="G470" s="27"/>
      <c r="H470" s="26"/>
      <c r="I470" s="32"/>
      <c r="J470" s="32"/>
      <c r="K470" s="32">
        <f t="shared" si="12"/>
        <v>0</v>
      </c>
    </row>
    <row r="471" spans="3:11" ht="19.5" hidden="1" customHeight="1" x14ac:dyDescent="0.2">
      <c r="C471" s="278" t="s">
        <v>626</v>
      </c>
      <c r="D471" s="279"/>
      <c r="E471" s="42"/>
      <c r="F471" s="26"/>
      <c r="G471" s="27"/>
      <c r="H471" s="26"/>
      <c r="I471" s="32"/>
      <c r="J471" s="32"/>
      <c r="K471" s="32">
        <f t="shared" si="12"/>
        <v>0</v>
      </c>
    </row>
    <row r="472" spans="3:11" ht="19.5" hidden="1" customHeight="1" x14ac:dyDescent="0.2">
      <c r="C472" s="278" t="s">
        <v>627</v>
      </c>
      <c r="D472" s="279"/>
      <c r="E472" s="42"/>
      <c r="F472" s="26"/>
      <c r="G472" s="27"/>
      <c r="H472" s="26"/>
      <c r="I472" s="32"/>
      <c r="J472" s="32"/>
      <c r="K472" s="32">
        <f t="shared" si="12"/>
        <v>0</v>
      </c>
    </row>
    <row r="473" spans="3:11" ht="19.5" hidden="1" customHeight="1" x14ac:dyDescent="0.2">
      <c r="C473" s="278" t="s">
        <v>628</v>
      </c>
      <c r="D473" s="279"/>
      <c r="E473" s="42"/>
      <c r="F473" s="26"/>
      <c r="G473" s="27"/>
      <c r="H473" s="26"/>
      <c r="I473" s="32"/>
      <c r="J473" s="32"/>
      <c r="K473" s="32">
        <f t="shared" si="12"/>
        <v>0</v>
      </c>
    </row>
    <row r="474" spans="3:11" ht="19.5" hidden="1" customHeight="1" x14ac:dyDescent="0.2">
      <c r="C474" s="278" t="s">
        <v>629</v>
      </c>
      <c r="D474" s="279"/>
      <c r="E474" s="42"/>
      <c r="F474" s="26"/>
      <c r="G474" s="27"/>
      <c r="H474" s="26"/>
      <c r="I474" s="32"/>
      <c r="J474" s="32"/>
      <c r="K474" s="32">
        <f t="shared" si="12"/>
        <v>0</v>
      </c>
    </row>
    <row r="475" spans="3:11" ht="19.5" hidden="1" customHeight="1" x14ac:dyDescent="0.2">
      <c r="C475" s="278" t="s">
        <v>630</v>
      </c>
      <c r="D475" s="279"/>
      <c r="E475" s="42"/>
      <c r="F475" s="26"/>
      <c r="G475" s="27"/>
      <c r="H475" s="26"/>
      <c r="I475" s="32"/>
      <c r="J475" s="32"/>
      <c r="K475" s="32">
        <f t="shared" si="12"/>
        <v>0</v>
      </c>
    </row>
    <row r="476" spans="3:11" ht="19.5" hidden="1" customHeight="1" x14ac:dyDescent="0.2">
      <c r="C476" s="278" t="s">
        <v>631</v>
      </c>
      <c r="D476" s="279"/>
      <c r="E476" s="42"/>
      <c r="F476" s="26"/>
      <c r="G476" s="27"/>
      <c r="H476" s="26"/>
      <c r="I476" s="32"/>
      <c r="J476" s="32"/>
      <c r="K476" s="32">
        <f t="shared" si="12"/>
        <v>0</v>
      </c>
    </row>
    <row r="477" spans="3:11" ht="19.5" hidden="1" customHeight="1" x14ac:dyDescent="0.2">
      <c r="C477" s="278" t="s">
        <v>632</v>
      </c>
      <c r="D477" s="279"/>
      <c r="E477" s="42"/>
      <c r="F477" s="26"/>
      <c r="G477" s="27"/>
      <c r="H477" s="26"/>
      <c r="I477" s="32"/>
      <c r="J477" s="32"/>
      <c r="K477" s="32">
        <f t="shared" si="12"/>
        <v>0</v>
      </c>
    </row>
    <row r="478" spans="3:11" ht="19.5" hidden="1" customHeight="1" x14ac:dyDescent="0.2">
      <c r="C478" s="278" t="s">
        <v>633</v>
      </c>
      <c r="D478" s="279"/>
      <c r="E478" s="42"/>
      <c r="F478" s="26"/>
      <c r="G478" s="27"/>
      <c r="H478" s="26"/>
      <c r="I478" s="32"/>
      <c r="J478" s="32"/>
      <c r="K478" s="32">
        <f t="shared" si="12"/>
        <v>0</v>
      </c>
    </row>
    <row r="479" spans="3:11" ht="19.5" hidden="1" customHeight="1" x14ac:dyDescent="0.2">
      <c r="C479" s="278" t="s">
        <v>634</v>
      </c>
      <c r="D479" s="279"/>
      <c r="E479" s="42"/>
      <c r="F479" s="26"/>
      <c r="G479" s="27"/>
      <c r="H479" s="26"/>
      <c r="I479" s="32"/>
      <c r="J479" s="32"/>
      <c r="K479" s="32">
        <f t="shared" si="12"/>
        <v>0</v>
      </c>
    </row>
    <row r="480" spans="3:11" ht="19.5" hidden="1" customHeight="1" x14ac:dyDescent="0.2">
      <c r="C480" s="278" t="s">
        <v>635</v>
      </c>
      <c r="D480" s="279"/>
      <c r="E480" s="42"/>
      <c r="F480" s="26"/>
      <c r="G480" s="27"/>
      <c r="H480" s="26"/>
      <c r="I480" s="32"/>
      <c r="J480" s="32"/>
      <c r="K480" s="32">
        <f t="shared" si="12"/>
        <v>0</v>
      </c>
    </row>
    <row r="481" spans="3:11" ht="19.5" hidden="1" customHeight="1" x14ac:dyDescent="0.2">
      <c r="C481" s="278" t="s">
        <v>636</v>
      </c>
      <c r="D481" s="279"/>
      <c r="E481" s="42"/>
      <c r="F481" s="26"/>
      <c r="G481" s="27"/>
      <c r="H481" s="26"/>
      <c r="I481" s="32"/>
      <c r="J481" s="32"/>
      <c r="K481" s="32">
        <f t="shared" si="12"/>
        <v>0</v>
      </c>
    </row>
    <row r="482" spans="3:11" ht="19.5" hidden="1" customHeight="1" x14ac:dyDescent="0.2">
      <c r="C482" s="278" t="s">
        <v>637</v>
      </c>
      <c r="D482" s="279"/>
      <c r="E482" s="42"/>
      <c r="F482" s="26"/>
      <c r="G482" s="27"/>
      <c r="H482" s="26"/>
      <c r="I482" s="32"/>
      <c r="J482" s="32"/>
      <c r="K482" s="32">
        <f t="shared" si="12"/>
        <v>0</v>
      </c>
    </row>
    <row r="483" spans="3:11" ht="19.5" hidden="1" customHeight="1" x14ac:dyDescent="0.2">
      <c r="C483" s="278" t="s">
        <v>638</v>
      </c>
      <c r="D483" s="279"/>
      <c r="E483" s="42"/>
      <c r="F483" s="26"/>
      <c r="G483" s="27"/>
      <c r="H483" s="26"/>
      <c r="I483" s="32"/>
      <c r="J483" s="32"/>
      <c r="K483" s="32">
        <f t="shared" si="12"/>
        <v>0</v>
      </c>
    </row>
    <row r="484" spans="3:11" ht="19.5" hidden="1" customHeight="1" x14ac:dyDescent="0.2">
      <c r="C484" s="278" t="s">
        <v>639</v>
      </c>
      <c r="D484" s="279"/>
      <c r="E484" s="42"/>
      <c r="F484" s="26"/>
      <c r="G484" s="27"/>
      <c r="H484" s="26"/>
      <c r="I484" s="32"/>
      <c r="J484" s="32"/>
      <c r="K484" s="32">
        <f t="shared" si="12"/>
        <v>0</v>
      </c>
    </row>
    <row r="485" spans="3:11" ht="19.5" hidden="1" customHeight="1" x14ac:dyDescent="0.2">
      <c r="C485" s="278" t="s">
        <v>640</v>
      </c>
      <c r="D485" s="279"/>
      <c r="E485" s="42"/>
      <c r="F485" s="26"/>
      <c r="G485" s="27"/>
      <c r="H485" s="26"/>
      <c r="I485" s="32"/>
      <c r="J485" s="32"/>
      <c r="K485" s="32">
        <f t="shared" si="12"/>
        <v>0</v>
      </c>
    </row>
    <row r="486" spans="3:11" ht="19.5" hidden="1" customHeight="1" x14ac:dyDescent="0.2">
      <c r="C486" s="278" t="s">
        <v>641</v>
      </c>
      <c r="D486" s="279"/>
      <c r="E486" s="42"/>
      <c r="F486" s="26"/>
      <c r="G486" s="27"/>
      <c r="H486" s="26"/>
      <c r="I486" s="32"/>
      <c r="J486" s="32"/>
      <c r="K486" s="32">
        <f t="shared" si="12"/>
        <v>0</v>
      </c>
    </row>
    <row r="487" spans="3:11" ht="19.5" hidden="1" customHeight="1" x14ac:dyDescent="0.2">
      <c r="C487" s="278" t="s">
        <v>642</v>
      </c>
      <c r="D487" s="279"/>
      <c r="E487" s="42"/>
      <c r="F487" s="26"/>
      <c r="G487" s="27"/>
      <c r="H487" s="26"/>
      <c r="I487" s="32"/>
      <c r="J487" s="32"/>
      <c r="K487" s="32">
        <f t="shared" si="12"/>
        <v>0</v>
      </c>
    </row>
    <row r="488" spans="3:11" ht="19.5" hidden="1" customHeight="1" x14ac:dyDescent="0.2">
      <c r="C488" s="278" t="s">
        <v>643</v>
      </c>
      <c r="D488" s="279"/>
      <c r="E488" s="42"/>
      <c r="F488" s="26"/>
      <c r="G488" s="27"/>
      <c r="H488" s="26"/>
      <c r="I488" s="32"/>
      <c r="J488" s="32"/>
      <c r="K488" s="32">
        <f t="shared" si="12"/>
        <v>0</v>
      </c>
    </row>
    <row r="489" spans="3:11" ht="19.5" hidden="1" customHeight="1" x14ac:dyDescent="0.2">
      <c r="C489" s="278" t="s">
        <v>644</v>
      </c>
      <c r="D489" s="279"/>
      <c r="E489" s="42"/>
      <c r="F489" s="26"/>
      <c r="G489" s="27"/>
      <c r="H489" s="26"/>
      <c r="I489" s="32"/>
      <c r="J489" s="32"/>
      <c r="K489" s="32">
        <f t="shared" si="12"/>
        <v>0</v>
      </c>
    </row>
    <row r="490" spans="3:11" ht="19.5" hidden="1" customHeight="1" x14ac:dyDescent="0.2">
      <c r="C490" s="278" t="s">
        <v>645</v>
      </c>
      <c r="D490" s="279"/>
      <c r="E490" s="42"/>
      <c r="F490" s="26"/>
      <c r="G490" s="27"/>
      <c r="H490" s="26"/>
      <c r="I490" s="32"/>
      <c r="J490" s="32"/>
      <c r="K490" s="32">
        <f t="shared" si="12"/>
        <v>0</v>
      </c>
    </row>
    <row r="491" spans="3:11" ht="19.5" hidden="1" customHeight="1" x14ac:dyDescent="0.2">
      <c r="C491" s="278" t="s">
        <v>646</v>
      </c>
      <c r="D491" s="279"/>
      <c r="E491" s="42"/>
      <c r="F491" s="26"/>
      <c r="G491" s="27"/>
      <c r="H491" s="26"/>
      <c r="I491" s="32"/>
      <c r="J491" s="32"/>
      <c r="K491" s="32">
        <f t="shared" si="12"/>
        <v>0</v>
      </c>
    </row>
    <row r="492" spans="3:11" ht="19.5" hidden="1" customHeight="1" x14ac:dyDescent="0.2">
      <c r="C492" s="278" t="s">
        <v>647</v>
      </c>
      <c r="D492" s="279"/>
      <c r="E492" s="42"/>
      <c r="F492" s="26"/>
      <c r="G492" s="27"/>
      <c r="H492" s="26"/>
      <c r="I492" s="32"/>
      <c r="J492" s="32"/>
      <c r="K492" s="32">
        <f t="shared" ref="K492:K555" si="13">I492+J492</f>
        <v>0</v>
      </c>
    </row>
    <row r="493" spans="3:11" ht="19.5" hidden="1" customHeight="1" x14ac:dyDescent="0.2">
      <c r="C493" s="278" t="s">
        <v>648</v>
      </c>
      <c r="D493" s="279"/>
      <c r="E493" s="42"/>
      <c r="F493" s="26"/>
      <c r="G493" s="27"/>
      <c r="H493" s="26"/>
      <c r="I493" s="32"/>
      <c r="J493" s="32"/>
      <c r="K493" s="32">
        <f t="shared" si="13"/>
        <v>0</v>
      </c>
    </row>
    <row r="494" spans="3:11" ht="19.5" hidden="1" customHeight="1" x14ac:dyDescent="0.2">
      <c r="C494" s="278" t="s">
        <v>649</v>
      </c>
      <c r="D494" s="279"/>
      <c r="E494" s="42"/>
      <c r="F494" s="26"/>
      <c r="G494" s="27"/>
      <c r="H494" s="26"/>
      <c r="I494" s="32"/>
      <c r="J494" s="32"/>
      <c r="K494" s="32">
        <f t="shared" si="13"/>
        <v>0</v>
      </c>
    </row>
    <row r="495" spans="3:11" ht="19.5" hidden="1" customHeight="1" x14ac:dyDescent="0.2">
      <c r="C495" s="278" t="s">
        <v>650</v>
      </c>
      <c r="D495" s="279"/>
      <c r="E495" s="42"/>
      <c r="F495" s="26"/>
      <c r="G495" s="27"/>
      <c r="H495" s="26"/>
      <c r="I495" s="32"/>
      <c r="J495" s="32"/>
      <c r="K495" s="32">
        <f t="shared" si="13"/>
        <v>0</v>
      </c>
    </row>
    <row r="496" spans="3:11" ht="19.5" hidden="1" customHeight="1" x14ac:dyDescent="0.2">
      <c r="C496" s="278" t="s">
        <v>651</v>
      </c>
      <c r="D496" s="279"/>
      <c r="E496" s="42"/>
      <c r="F496" s="26"/>
      <c r="G496" s="27"/>
      <c r="H496" s="26"/>
      <c r="I496" s="32"/>
      <c r="J496" s="32"/>
      <c r="K496" s="32">
        <f t="shared" si="13"/>
        <v>0</v>
      </c>
    </row>
    <row r="497" spans="3:11" ht="19.5" hidden="1" customHeight="1" x14ac:dyDescent="0.2">
      <c r="C497" s="278" t="s">
        <v>652</v>
      </c>
      <c r="D497" s="279"/>
      <c r="E497" s="42"/>
      <c r="F497" s="26"/>
      <c r="G497" s="27"/>
      <c r="H497" s="26"/>
      <c r="I497" s="32"/>
      <c r="J497" s="32"/>
      <c r="K497" s="32">
        <f t="shared" si="13"/>
        <v>0</v>
      </c>
    </row>
    <row r="498" spans="3:11" ht="19.5" hidden="1" customHeight="1" x14ac:dyDescent="0.2">
      <c r="C498" s="278" t="s">
        <v>653</v>
      </c>
      <c r="D498" s="279"/>
      <c r="E498" s="42"/>
      <c r="F498" s="26"/>
      <c r="G498" s="27"/>
      <c r="H498" s="26"/>
      <c r="I498" s="32"/>
      <c r="J498" s="32"/>
      <c r="K498" s="32">
        <f t="shared" si="13"/>
        <v>0</v>
      </c>
    </row>
    <row r="499" spans="3:11" ht="19.5" hidden="1" customHeight="1" x14ac:dyDescent="0.2">
      <c r="C499" s="278" t="s">
        <v>654</v>
      </c>
      <c r="D499" s="279"/>
      <c r="E499" s="42"/>
      <c r="F499" s="26"/>
      <c r="G499" s="27"/>
      <c r="H499" s="26"/>
      <c r="I499" s="32"/>
      <c r="J499" s="32"/>
      <c r="K499" s="32">
        <f t="shared" si="13"/>
        <v>0</v>
      </c>
    </row>
    <row r="500" spans="3:11" ht="19.5" hidden="1" customHeight="1" x14ac:dyDescent="0.2">
      <c r="C500" s="278" t="s">
        <v>655</v>
      </c>
      <c r="D500" s="279"/>
      <c r="E500" s="42"/>
      <c r="F500" s="26"/>
      <c r="G500" s="27"/>
      <c r="H500" s="26"/>
      <c r="I500" s="32"/>
      <c r="J500" s="32"/>
      <c r="K500" s="32">
        <f t="shared" si="13"/>
        <v>0</v>
      </c>
    </row>
    <row r="501" spans="3:11" ht="19.5" hidden="1" customHeight="1" x14ac:dyDescent="0.2">
      <c r="C501" s="278" t="s">
        <v>656</v>
      </c>
      <c r="D501" s="279"/>
      <c r="E501" s="42"/>
      <c r="F501" s="26"/>
      <c r="G501" s="27"/>
      <c r="H501" s="26"/>
      <c r="I501" s="32"/>
      <c r="J501" s="32"/>
      <c r="K501" s="32">
        <f t="shared" si="13"/>
        <v>0</v>
      </c>
    </row>
    <row r="502" spans="3:11" ht="19.5" hidden="1" customHeight="1" x14ac:dyDescent="0.2">
      <c r="C502" s="278" t="s">
        <v>657</v>
      </c>
      <c r="D502" s="279"/>
      <c r="E502" s="42"/>
      <c r="F502" s="26"/>
      <c r="G502" s="27"/>
      <c r="H502" s="26"/>
      <c r="I502" s="32"/>
      <c r="J502" s="32"/>
      <c r="K502" s="32">
        <f t="shared" si="13"/>
        <v>0</v>
      </c>
    </row>
    <row r="503" spans="3:11" ht="19.5" hidden="1" customHeight="1" x14ac:dyDescent="0.2">
      <c r="C503" s="278" t="s">
        <v>658</v>
      </c>
      <c r="D503" s="279"/>
      <c r="E503" s="42"/>
      <c r="F503" s="26"/>
      <c r="G503" s="27"/>
      <c r="H503" s="26"/>
      <c r="I503" s="32"/>
      <c r="J503" s="32"/>
      <c r="K503" s="32">
        <f t="shared" si="13"/>
        <v>0</v>
      </c>
    </row>
    <row r="504" spans="3:11" ht="19.5" hidden="1" customHeight="1" x14ac:dyDescent="0.2">
      <c r="C504" s="278" t="s">
        <v>659</v>
      </c>
      <c r="D504" s="279"/>
      <c r="E504" s="42"/>
      <c r="F504" s="26"/>
      <c r="G504" s="27"/>
      <c r="H504" s="26"/>
      <c r="I504" s="32"/>
      <c r="J504" s="32"/>
      <c r="K504" s="32">
        <f t="shared" si="13"/>
        <v>0</v>
      </c>
    </row>
    <row r="505" spans="3:11" ht="19.5" hidden="1" customHeight="1" x14ac:dyDescent="0.2">
      <c r="C505" s="278" t="s">
        <v>660</v>
      </c>
      <c r="D505" s="279"/>
      <c r="E505" s="42"/>
      <c r="F505" s="26"/>
      <c r="G505" s="27"/>
      <c r="H505" s="26"/>
      <c r="I505" s="32"/>
      <c r="J505" s="32"/>
      <c r="K505" s="32">
        <f t="shared" si="13"/>
        <v>0</v>
      </c>
    </row>
    <row r="506" spans="3:11" ht="19.5" hidden="1" customHeight="1" x14ac:dyDescent="0.2">
      <c r="C506" s="278" t="s">
        <v>661</v>
      </c>
      <c r="D506" s="279"/>
      <c r="E506" s="42"/>
      <c r="F506" s="26"/>
      <c r="G506" s="27"/>
      <c r="H506" s="26"/>
      <c r="I506" s="32"/>
      <c r="J506" s="32"/>
      <c r="K506" s="32">
        <f t="shared" si="13"/>
        <v>0</v>
      </c>
    </row>
    <row r="507" spans="3:11" ht="19.5" hidden="1" customHeight="1" x14ac:dyDescent="0.2">
      <c r="C507" s="278" t="s">
        <v>662</v>
      </c>
      <c r="D507" s="279"/>
      <c r="E507" s="42"/>
      <c r="F507" s="26"/>
      <c r="G507" s="27"/>
      <c r="H507" s="26"/>
      <c r="I507" s="32"/>
      <c r="J507" s="32"/>
      <c r="K507" s="32">
        <f t="shared" si="13"/>
        <v>0</v>
      </c>
    </row>
    <row r="508" spans="3:11" ht="19.5" hidden="1" customHeight="1" x14ac:dyDescent="0.2">
      <c r="C508" s="278" t="s">
        <v>663</v>
      </c>
      <c r="D508" s="279"/>
      <c r="E508" s="42"/>
      <c r="F508" s="26"/>
      <c r="G508" s="27"/>
      <c r="H508" s="26"/>
      <c r="I508" s="32"/>
      <c r="J508" s="32"/>
      <c r="K508" s="32">
        <f t="shared" si="13"/>
        <v>0</v>
      </c>
    </row>
    <row r="509" spans="3:11" ht="19.5" hidden="1" customHeight="1" x14ac:dyDescent="0.2">
      <c r="C509" s="278" t="s">
        <v>664</v>
      </c>
      <c r="D509" s="279"/>
      <c r="E509" s="42"/>
      <c r="F509" s="26"/>
      <c r="G509" s="27"/>
      <c r="H509" s="26"/>
      <c r="I509" s="32"/>
      <c r="J509" s="32"/>
      <c r="K509" s="32">
        <f t="shared" si="13"/>
        <v>0</v>
      </c>
    </row>
    <row r="510" spans="3:11" ht="19.5" hidden="1" customHeight="1" x14ac:dyDescent="0.2">
      <c r="C510" s="278" t="s">
        <v>665</v>
      </c>
      <c r="D510" s="279"/>
      <c r="E510" s="42"/>
      <c r="F510" s="26"/>
      <c r="G510" s="27"/>
      <c r="H510" s="26"/>
      <c r="I510" s="32"/>
      <c r="J510" s="32"/>
      <c r="K510" s="32">
        <f t="shared" si="13"/>
        <v>0</v>
      </c>
    </row>
    <row r="511" spans="3:11" ht="19.5" hidden="1" customHeight="1" x14ac:dyDescent="0.2">
      <c r="C511" s="278" t="s">
        <v>666</v>
      </c>
      <c r="D511" s="279"/>
      <c r="E511" s="42"/>
      <c r="F511" s="26"/>
      <c r="G511" s="27"/>
      <c r="H511" s="26"/>
      <c r="I511" s="32"/>
      <c r="J511" s="32"/>
      <c r="K511" s="32">
        <f t="shared" si="13"/>
        <v>0</v>
      </c>
    </row>
    <row r="512" spans="3:11" ht="19.5" hidden="1" customHeight="1" x14ac:dyDescent="0.2">
      <c r="C512" s="278" t="s">
        <v>667</v>
      </c>
      <c r="D512" s="279"/>
      <c r="E512" s="42"/>
      <c r="F512" s="26"/>
      <c r="G512" s="27"/>
      <c r="H512" s="26"/>
      <c r="I512" s="32"/>
      <c r="J512" s="32"/>
      <c r="K512" s="32">
        <f t="shared" si="13"/>
        <v>0</v>
      </c>
    </row>
    <row r="513" spans="3:11" ht="19.5" hidden="1" customHeight="1" x14ac:dyDescent="0.2">
      <c r="C513" s="278" t="s">
        <v>668</v>
      </c>
      <c r="D513" s="279"/>
      <c r="E513" s="42"/>
      <c r="F513" s="26"/>
      <c r="G513" s="27"/>
      <c r="H513" s="26"/>
      <c r="I513" s="32"/>
      <c r="J513" s="32"/>
      <c r="K513" s="32">
        <f t="shared" si="13"/>
        <v>0</v>
      </c>
    </row>
    <row r="514" spans="3:11" ht="19.5" hidden="1" customHeight="1" x14ac:dyDescent="0.2">
      <c r="C514" s="278" t="s">
        <v>669</v>
      </c>
      <c r="D514" s="279"/>
      <c r="E514" s="42"/>
      <c r="F514" s="26"/>
      <c r="G514" s="27"/>
      <c r="H514" s="26"/>
      <c r="I514" s="32"/>
      <c r="J514" s="32"/>
      <c r="K514" s="32">
        <f t="shared" si="13"/>
        <v>0</v>
      </c>
    </row>
    <row r="515" spans="3:11" ht="19.5" hidden="1" customHeight="1" x14ac:dyDescent="0.2">
      <c r="C515" s="278" t="s">
        <v>670</v>
      </c>
      <c r="D515" s="279"/>
      <c r="E515" s="42"/>
      <c r="F515" s="26"/>
      <c r="G515" s="27"/>
      <c r="H515" s="26"/>
      <c r="I515" s="32"/>
      <c r="J515" s="32"/>
      <c r="K515" s="32">
        <f t="shared" si="13"/>
        <v>0</v>
      </c>
    </row>
    <row r="516" spans="3:11" ht="19.5" hidden="1" customHeight="1" x14ac:dyDescent="0.2">
      <c r="C516" s="278" t="s">
        <v>671</v>
      </c>
      <c r="D516" s="279"/>
      <c r="E516" s="42"/>
      <c r="F516" s="26"/>
      <c r="G516" s="27"/>
      <c r="H516" s="26"/>
      <c r="I516" s="32"/>
      <c r="J516" s="32"/>
      <c r="K516" s="32">
        <f t="shared" si="13"/>
        <v>0</v>
      </c>
    </row>
    <row r="517" spans="3:11" ht="19.5" hidden="1" customHeight="1" x14ac:dyDescent="0.2">
      <c r="C517" s="278" t="s">
        <v>672</v>
      </c>
      <c r="D517" s="279"/>
      <c r="E517" s="42"/>
      <c r="F517" s="26"/>
      <c r="G517" s="27"/>
      <c r="H517" s="26"/>
      <c r="I517" s="32"/>
      <c r="J517" s="32"/>
      <c r="K517" s="32">
        <f t="shared" si="13"/>
        <v>0</v>
      </c>
    </row>
    <row r="518" spans="3:11" ht="19.5" hidden="1" customHeight="1" x14ac:dyDescent="0.2">
      <c r="C518" s="278" t="s">
        <v>673</v>
      </c>
      <c r="D518" s="279"/>
      <c r="E518" s="42"/>
      <c r="F518" s="26"/>
      <c r="G518" s="27"/>
      <c r="H518" s="26"/>
      <c r="I518" s="32"/>
      <c r="J518" s="32"/>
      <c r="K518" s="32">
        <f t="shared" si="13"/>
        <v>0</v>
      </c>
    </row>
    <row r="519" spans="3:11" ht="19.5" hidden="1" customHeight="1" x14ac:dyDescent="0.2">
      <c r="C519" s="278" t="s">
        <v>674</v>
      </c>
      <c r="D519" s="279"/>
      <c r="E519" s="42"/>
      <c r="F519" s="26"/>
      <c r="G519" s="27"/>
      <c r="H519" s="26"/>
      <c r="I519" s="32"/>
      <c r="J519" s="32"/>
      <c r="K519" s="32">
        <f t="shared" si="13"/>
        <v>0</v>
      </c>
    </row>
    <row r="520" spans="3:11" ht="19.5" hidden="1" customHeight="1" x14ac:dyDescent="0.2">
      <c r="C520" s="278" t="s">
        <v>675</v>
      </c>
      <c r="D520" s="279"/>
      <c r="E520" s="42"/>
      <c r="F520" s="26"/>
      <c r="G520" s="27"/>
      <c r="H520" s="26"/>
      <c r="I520" s="32"/>
      <c r="J520" s="32"/>
      <c r="K520" s="32">
        <f t="shared" si="13"/>
        <v>0</v>
      </c>
    </row>
    <row r="521" spans="3:11" ht="19.5" hidden="1" customHeight="1" x14ac:dyDescent="0.2">
      <c r="C521" s="278" t="s">
        <v>676</v>
      </c>
      <c r="D521" s="279"/>
      <c r="E521" s="42"/>
      <c r="F521" s="26"/>
      <c r="G521" s="27"/>
      <c r="H521" s="26"/>
      <c r="I521" s="32"/>
      <c r="J521" s="32"/>
      <c r="K521" s="32">
        <f t="shared" si="13"/>
        <v>0</v>
      </c>
    </row>
    <row r="522" spans="3:11" ht="19.5" hidden="1" customHeight="1" x14ac:dyDescent="0.2">
      <c r="C522" s="278" t="s">
        <v>677</v>
      </c>
      <c r="D522" s="279"/>
      <c r="E522" s="42"/>
      <c r="F522" s="26"/>
      <c r="G522" s="27"/>
      <c r="H522" s="26"/>
      <c r="I522" s="32"/>
      <c r="J522" s="32"/>
      <c r="K522" s="32">
        <f t="shared" si="13"/>
        <v>0</v>
      </c>
    </row>
    <row r="523" spans="3:11" ht="19.5" hidden="1" customHeight="1" x14ac:dyDescent="0.2">
      <c r="C523" s="278" t="s">
        <v>678</v>
      </c>
      <c r="D523" s="279"/>
      <c r="E523" s="42"/>
      <c r="F523" s="26"/>
      <c r="G523" s="27"/>
      <c r="H523" s="26"/>
      <c r="I523" s="32"/>
      <c r="J523" s="32"/>
      <c r="K523" s="32">
        <f t="shared" si="13"/>
        <v>0</v>
      </c>
    </row>
    <row r="524" spans="3:11" ht="19.5" hidden="1" customHeight="1" x14ac:dyDescent="0.2">
      <c r="C524" s="278" t="s">
        <v>679</v>
      </c>
      <c r="D524" s="279"/>
      <c r="E524" s="42"/>
      <c r="F524" s="26"/>
      <c r="G524" s="27"/>
      <c r="H524" s="26"/>
      <c r="I524" s="32"/>
      <c r="J524" s="32"/>
      <c r="K524" s="32">
        <f t="shared" si="13"/>
        <v>0</v>
      </c>
    </row>
    <row r="525" spans="3:11" ht="19.5" hidden="1" customHeight="1" x14ac:dyDescent="0.2">
      <c r="C525" s="278" t="s">
        <v>680</v>
      </c>
      <c r="D525" s="279"/>
      <c r="E525" s="42"/>
      <c r="F525" s="26"/>
      <c r="G525" s="27"/>
      <c r="H525" s="26"/>
      <c r="I525" s="32"/>
      <c r="J525" s="32"/>
      <c r="K525" s="32">
        <f t="shared" si="13"/>
        <v>0</v>
      </c>
    </row>
    <row r="526" spans="3:11" ht="19.5" hidden="1" customHeight="1" x14ac:dyDescent="0.2">
      <c r="C526" s="278" t="s">
        <v>681</v>
      </c>
      <c r="D526" s="279"/>
      <c r="E526" s="42"/>
      <c r="F526" s="26"/>
      <c r="G526" s="27"/>
      <c r="H526" s="26"/>
      <c r="I526" s="32"/>
      <c r="J526" s="32"/>
      <c r="K526" s="32">
        <f t="shared" si="13"/>
        <v>0</v>
      </c>
    </row>
    <row r="527" spans="3:11" ht="19.5" hidden="1" customHeight="1" x14ac:dyDescent="0.2">
      <c r="C527" s="278" t="s">
        <v>682</v>
      </c>
      <c r="D527" s="279"/>
      <c r="E527" s="42"/>
      <c r="F527" s="26"/>
      <c r="G527" s="27"/>
      <c r="H527" s="26"/>
      <c r="I527" s="32"/>
      <c r="J527" s="32"/>
      <c r="K527" s="32">
        <f t="shared" si="13"/>
        <v>0</v>
      </c>
    </row>
    <row r="528" spans="3:11" ht="19.5" hidden="1" customHeight="1" x14ac:dyDescent="0.2">
      <c r="C528" s="278" t="s">
        <v>683</v>
      </c>
      <c r="D528" s="279"/>
      <c r="E528" s="42"/>
      <c r="F528" s="26"/>
      <c r="G528" s="27"/>
      <c r="H528" s="26"/>
      <c r="I528" s="32"/>
      <c r="J528" s="32"/>
      <c r="K528" s="32">
        <f t="shared" si="13"/>
        <v>0</v>
      </c>
    </row>
    <row r="529" spans="3:11" ht="19.5" hidden="1" customHeight="1" x14ac:dyDescent="0.2">
      <c r="C529" s="278" t="s">
        <v>684</v>
      </c>
      <c r="D529" s="279"/>
      <c r="E529" s="42"/>
      <c r="F529" s="26"/>
      <c r="G529" s="27"/>
      <c r="H529" s="26"/>
      <c r="I529" s="32"/>
      <c r="J529" s="32"/>
      <c r="K529" s="32">
        <f t="shared" si="13"/>
        <v>0</v>
      </c>
    </row>
    <row r="530" spans="3:11" ht="19.5" hidden="1" customHeight="1" x14ac:dyDescent="0.2">
      <c r="C530" s="278" t="s">
        <v>685</v>
      </c>
      <c r="D530" s="279"/>
      <c r="E530" s="42"/>
      <c r="F530" s="26"/>
      <c r="G530" s="27"/>
      <c r="H530" s="26"/>
      <c r="I530" s="32"/>
      <c r="J530" s="32"/>
      <c r="K530" s="32">
        <f t="shared" si="13"/>
        <v>0</v>
      </c>
    </row>
    <row r="531" spans="3:11" ht="19.5" hidden="1" customHeight="1" x14ac:dyDescent="0.2">
      <c r="C531" s="278" t="s">
        <v>686</v>
      </c>
      <c r="D531" s="279"/>
      <c r="E531" s="42"/>
      <c r="F531" s="26"/>
      <c r="G531" s="27"/>
      <c r="H531" s="26"/>
      <c r="I531" s="32"/>
      <c r="J531" s="32"/>
      <c r="K531" s="32">
        <f t="shared" si="13"/>
        <v>0</v>
      </c>
    </row>
    <row r="532" spans="3:11" ht="19.5" hidden="1" customHeight="1" x14ac:dyDescent="0.2">
      <c r="C532" s="278" t="s">
        <v>687</v>
      </c>
      <c r="D532" s="279"/>
      <c r="E532" s="42"/>
      <c r="F532" s="26"/>
      <c r="G532" s="27"/>
      <c r="H532" s="26"/>
      <c r="I532" s="32"/>
      <c r="J532" s="32"/>
      <c r="K532" s="32">
        <f t="shared" si="13"/>
        <v>0</v>
      </c>
    </row>
    <row r="533" spans="3:11" ht="15" hidden="1" x14ac:dyDescent="0.2">
      <c r="C533" s="278" t="s">
        <v>688</v>
      </c>
      <c r="D533" s="279"/>
      <c r="E533" s="42"/>
      <c r="F533" s="26"/>
      <c r="G533" s="27"/>
      <c r="H533" s="190"/>
      <c r="I533" s="32"/>
      <c r="J533" s="32"/>
      <c r="K533" s="32">
        <f t="shared" si="13"/>
        <v>0</v>
      </c>
    </row>
    <row r="534" spans="3:11" ht="19.5" hidden="1" customHeight="1" x14ac:dyDescent="0.2">
      <c r="C534" s="278" t="s">
        <v>689</v>
      </c>
      <c r="D534" s="279"/>
      <c r="E534" s="42"/>
      <c r="F534" s="26"/>
      <c r="G534" s="27"/>
      <c r="H534" s="26"/>
      <c r="I534" s="32"/>
      <c r="J534" s="32"/>
      <c r="K534" s="32">
        <f t="shared" si="13"/>
        <v>0</v>
      </c>
    </row>
    <row r="535" spans="3:11" ht="19.5" hidden="1" customHeight="1" x14ac:dyDescent="0.2">
      <c r="C535" s="278" t="s">
        <v>690</v>
      </c>
      <c r="D535" s="279"/>
      <c r="E535" s="42"/>
      <c r="F535" s="26"/>
      <c r="G535" s="27"/>
      <c r="H535" s="26"/>
      <c r="I535" s="32"/>
      <c r="J535" s="32"/>
      <c r="K535" s="32">
        <f t="shared" si="13"/>
        <v>0</v>
      </c>
    </row>
    <row r="536" spans="3:11" ht="19.5" hidden="1" customHeight="1" x14ac:dyDescent="0.2">
      <c r="C536" s="278" t="s">
        <v>691</v>
      </c>
      <c r="D536" s="279"/>
      <c r="E536" s="42"/>
      <c r="F536" s="26"/>
      <c r="G536" s="27"/>
      <c r="H536" s="26"/>
      <c r="I536" s="32"/>
      <c r="J536" s="32"/>
      <c r="K536" s="32">
        <f t="shared" si="13"/>
        <v>0</v>
      </c>
    </row>
    <row r="537" spans="3:11" ht="19.5" hidden="1" customHeight="1" x14ac:dyDescent="0.2">
      <c r="C537" s="278" t="s">
        <v>692</v>
      </c>
      <c r="D537" s="279"/>
      <c r="E537" s="42"/>
      <c r="F537" s="26"/>
      <c r="G537" s="27"/>
      <c r="H537" s="26"/>
      <c r="I537" s="32"/>
      <c r="J537" s="32"/>
      <c r="K537" s="32">
        <f t="shared" si="13"/>
        <v>0</v>
      </c>
    </row>
    <row r="538" spans="3:11" ht="19.5" hidden="1" customHeight="1" x14ac:dyDescent="0.2">
      <c r="C538" s="278" t="s">
        <v>693</v>
      </c>
      <c r="D538" s="279"/>
      <c r="E538" s="42"/>
      <c r="F538" s="26"/>
      <c r="G538" s="27"/>
      <c r="H538" s="26"/>
      <c r="I538" s="32"/>
      <c r="J538" s="32"/>
      <c r="K538" s="32">
        <f t="shared" si="13"/>
        <v>0</v>
      </c>
    </row>
    <row r="539" spans="3:11" ht="19.5" hidden="1" customHeight="1" x14ac:dyDescent="0.2">
      <c r="C539" s="278" t="s">
        <v>694</v>
      </c>
      <c r="D539" s="279"/>
      <c r="E539" s="42"/>
      <c r="F539" s="26"/>
      <c r="G539" s="27"/>
      <c r="H539" s="26"/>
      <c r="I539" s="32"/>
      <c r="J539" s="32"/>
      <c r="K539" s="32">
        <f t="shared" si="13"/>
        <v>0</v>
      </c>
    </row>
    <row r="540" spans="3:11" ht="19.5" hidden="1" customHeight="1" x14ac:dyDescent="0.2">
      <c r="C540" s="278" t="s">
        <v>695</v>
      </c>
      <c r="D540" s="279"/>
      <c r="E540" s="42"/>
      <c r="F540" s="26"/>
      <c r="G540" s="27"/>
      <c r="H540" s="26"/>
      <c r="I540" s="32"/>
      <c r="J540" s="32"/>
      <c r="K540" s="32">
        <f t="shared" si="13"/>
        <v>0</v>
      </c>
    </row>
    <row r="541" spans="3:11" ht="19.5" hidden="1" customHeight="1" x14ac:dyDescent="0.2">
      <c r="C541" s="278" t="s">
        <v>696</v>
      </c>
      <c r="D541" s="279"/>
      <c r="E541" s="42"/>
      <c r="F541" s="26"/>
      <c r="G541" s="27"/>
      <c r="H541" s="26"/>
      <c r="I541" s="32"/>
      <c r="J541" s="32"/>
      <c r="K541" s="32">
        <f t="shared" si="13"/>
        <v>0</v>
      </c>
    </row>
    <row r="542" spans="3:11" ht="19.5" hidden="1" customHeight="1" x14ac:dyDescent="0.2">
      <c r="C542" s="278" t="s">
        <v>697</v>
      </c>
      <c r="D542" s="279"/>
      <c r="E542" s="42"/>
      <c r="F542" s="26"/>
      <c r="G542" s="27"/>
      <c r="H542" s="26"/>
      <c r="I542" s="32"/>
      <c r="J542" s="32"/>
      <c r="K542" s="32">
        <f t="shared" si="13"/>
        <v>0</v>
      </c>
    </row>
    <row r="543" spans="3:11" ht="15" hidden="1" x14ac:dyDescent="0.2">
      <c r="C543" s="278" t="s">
        <v>698</v>
      </c>
      <c r="D543" s="279"/>
      <c r="E543" s="42"/>
      <c r="F543" s="26"/>
      <c r="G543" s="27"/>
      <c r="H543" s="26"/>
      <c r="I543" s="32"/>
      <c r="J543" s="32"/>
      <c r="K543" s="32">
        <f t="shared" si="13"/>
        <v>0</v>
      </c>
    </row>
    <row r="544" spans="3:11" ht="19.5" hidden="1" customHeight="1" x14ac:dyDescent="0.2">
      <c r="C544" s="278" t="s">
        <v>699</v>
      </c>
      <c r="D544" s="279"/>
      <c r="E544" s="42"/>
      <c r="F544" s="26"/>
      <c r="G544" s="27"/>
      <c r="H544" s="26"/>
      <c r="I544" s="32"/>
      <c r="J544" s="32"/>
      <c r="K544" s="32">
        <f t="shared" si="13"/>
        <v>0</v>
      </c>
    </row>
    <row r="545" spans="3:11" ht="15" hidden="1" x14ac:dyDescent="0.2">
      <c r="C545" s="278" t="s">
        <v>700</v>
      </c>
      <c r="D545" s="279"/>
      <c r="E545" s="42"/>
      <c r="F545" s="26"/>
      <c r="G545" s="27"/>
      <c r="H545" s="190"/>
      <c r="I545" s="32"/>
      <c r="J545" s="32"/>
      <c r="K545" s="32">
        <f t="shared" si="13"/>
        <v>0</v>
      </c>
    </row>
    <row r="546" spans="3:11" ht="15" hidden="1" x14ac:dyDescent="0.2">
      <c r="C546" s="278" t="s">
        <v>701</v>
      </c>
      <c r="D546" s="279"/>
      <c r="E546" s="42"/>
      <c r="F546" s="26"/>
      <c r="G546" s="27"/>
      <c r="H546" s="26"/>
      <c r="I546" s="32"/>
      <c r="J546" s="32"/>
      <c r="K546" s="32">
        <f t="shared" si="13"/>
        <v>0</v>
      </c>
    </row>
    <row r="547" spans="3:11" ht="15" hidden="1" x14ac:dyDescent="0.2">
      <c r="C547" s="278" t="s">
        <v>702</v>
      </c>
      <c r="D547" s="279"/>
      <c r="E547" s="42"/>
      <c r="F547" s="26"/>
      <c r="G547" s="27"/>
      <c r="H547" s="190"/>
      <c r="I547" s="32"/>
      <c r="J547" s="32"/>
      <c r="K547" s="32">
        <f t="shared" si="13"/>
        <v>0</v>
      </c>
    </row>
    <row r="548" spans="3:11" ht="15" hidden="1" x14ac:dyDescent="0.2">
      <c r="C548" s="278" t="s">
        <v>703</v>
      </c>
      <c r="D548" s="279"/>
      <c r="E548" s="42"/>
      <c r="F548" s="26"/>
      <c r="G548" s="27"/>
      <c r="H548" s="26"/>
      <c r="I548" s="32"/>
      <c r="J548" s="32"/>
      <c r="K548" s="32">
        <f t="shared" si="13"/>
        <v>0</v>
      </c>
    </row>
    <row r="549" spans="3:11" ht="19.5" hidden="1" customHeight="1" x14ac:dyDescent="0.2">
      <c r="C549" s="278" t="s">
        <v>704</v>
      </c>
      <c r="D549" s="279"/>
      <c r="E549" s="42"/>
      <c r="F549" s="26"/>
      <c r="G549" s="27"/>
      <c r="H549" s="26"/>
      <c r="I549" s="32"/>
      <c r="J549" s="32"/>
      <c r="K549" s="32">
        <f t="shared" si="13"/>
        <v>0</v>
      </c>
    </row>
    <row r="550" spans="3:11" ht="19.5" hidden="1" customHeight="1" x14ac:dyDescent="0.2">
      <c r="C550" s="278" t="s">
        <v>705</v>
      </c>
      <c r="D550" s="279"/>
      <c r="E550" s="42"/>
      <c r="F550" s="26"/>
      <c r="G550" s="27"/>
      <c r="H550" s="26"/>
      <c r="I550" s="32"/>
      <c r="J550" s="32"/>
      <c r="K550" s="32">
        <f t="shared" si="13"/>
        <v>0</v>
      </c>
    </row>
    <row r="551" spans="3:11" ht="15" hidden="1" x14ac:dyDescent="0.2">
      <c r="C551" s="278" t="s">
        <v>706</v>
      </c>
      <c r="D551" s="279"/>
      <c r="E551" s="42"/>
      <c r="F551" s="26"/>
      <c r="G551" s="27"/>
      <c r="H551" s="26"/>
      <c r="I551" s="32"/>
      <c r="J551" s="32"/>
      <c r="K551" s="32">
        <f t="shared" si="13"/>
        <v>0</v>
      </c>
    </row>
    <row r="552" spans="3:11" ht="15" hidden="1" x14ac:dyDescent="0.2">
      <c r="C552" s="278" t="s">
        <v>707</v>
      </c>
      <c r="D552" s="279"/>
      <c r="E552" s="42"/>
      <c r="F552" s="26"/>
      <c r="G552" s="27"/>
      <c r="H552" s="26"/>
      <c r="I552" s="32"/>
      <c r="J552" s="32"/>
      <c r="K552" s="32">
        <f t="shared" si="13"/>
        <v>0</v>
      </c>
    </row>
    <row r="553" spans="3:11" ht="19.5" hidden="1" customHeight="1" x14ac:dyDescent="0.2">
      <c r="C553" s="278" t="s">
        <v>708</v>
      </c>
      <c r="D553" s="279"/>
      <c r="E553" s="42"/>
      <c r="F553" s="26"/>
      <c r="G553" s="27"/>
      <c r="H553" s="26"/>
      <c r="I553" s="32"/>
      <c r="J553" s="32"/>
      <c r="K553" s="32">
        <f t="shared" si="13"/>
        <v>0</v>
      </c>
    </row>
    <row r="554" spans="3:11" ht="15" hidden="1" x14ac:dyDescent="0.2">
      <c r="C554" s="278" t="s">
        <v>709</v>
      </c>
      <c r="D554" s="279"/>
      <c r="E554" s="42"/>
      <c r="F554" s="26"/>
      <c r="G554" s="27"/>
      <c r="H554" s="26"/>
      <c r="I554" s="32"/>
      <c r="J554" s="32"/>
      <c r="K554" s="32">
        <f t="shared" si="13"/>
        <v>0</v>
      </c>
    </row>
    <row r="555" spans="3:11" ht="19.5" hidden="1" customHeight="1" x14ac:dyDescent="0.2">
      <c r="C555" s="278" t="s">
        <v>710</v>
      </c>
      <c r="D555" s="279"/>
      <c r="E555" s="42"/>
      <c r="F555" s="26"/>
      <c r="G555" s="27"/>
      <c r="H555" s="26"/>
      <c r="I555" s="32"/>
      <c r="J555" s="32"/>
      <c r="K555" s="32">
        <f t="shared" si="13"/>
        <v>0</v>
      </c>
    </row>
    <row r="556" spans="3:11" ht="19.5" hidden="1" customHeight="1" x14ac:dyDescent="0.2">
      <c r="C556" s="278" t="s">
        <v>711</v>
      </c>
      <c r="D556" s="279"/>
      <c r="E556" s="42"/>
      <c r="F556" s="26"/>
      <c r="G556" s="27"/>
      <c r="H556" s="26"/>
      <c r="I556" s="32"/>
      <c r="J556" s="32"/>
      <c r="K556" s="32">
        <f t="shared" ref="K556:K619" si="14">I556+J556</f>
        <v>0</v>
      </c>
    </row>
    <row r="557" spans="3:11" ht="19.5" hidden="1" customHeight="1" x14ac:dyDescent="0.2">
      <c r="C557" s="278" t="s">
        <v>712</v>
      </c>
      <c r="D557" s="279"/>
      <c r="E557" s="42"/>
      <c r="F557" s="26"/>
      <c r="G557" s="27"/>
      <c r="H557" s="26"/>
      <c r="I557" s="32"/>
      <c r="J557" s="32"/>
      <c r="K557" s="32">
        <f t="shared" si="14"/>
        <v>0</v>
      </c>
    </row>
    <row r="558" spans="3:11" ht="19.5" hidden="1" customHeight="1" x14ac:dyDescent="0.2">
      <c r="C558" s="278" t="s">
        <v>713</v>
      </c>
      <c r="D558" s="279"/>
      <c r="E558" s="42"/>
      <c r="F558" s="26"/>
      <c r="G558" s="27"/>
      <c r="H558" s="26"/>
      <c r="I558" s="32"/>
      <c r="J558" s="32"/>
      <c r="K558" s="32">
        <f t="shared" si="14"/>
        <v>0</v>
      </c>
    </row>
    <row r="559" spans="3:11" ht="19.5" hidden="1" customHeight="1" x14ac:dyDescent="0.2">
      <c r="C559" s="278" t="s">
        <v>714</v>
      </c>
      <c r="D559" s="279"/>
      <c r="E559" s="42"/>
      <c r="F559" s="26"/>
      <c r="G559" s="27"/>
      <c r="H559" s="26"/>
      <c r="I559" s="32"/>
      <c r="J559" s="32"/>
      <c r="K559" s="32">
        <f t="shared" si="14"/>
        <v>0</v>
      </c>
    </row>
    <row r="560" spans="3:11" ht="19.5" hidden="1" customHeight="1" x14ac:dyDescent="0.2">
      <c r="C560" s="278" t="s">
        <v>715</v>
      </c>
      <c r="D560" s="279"/>
      <c r="E560" s="42"/>
      <c r="F560" s="26"/>
      <c r="G560" s="27"/>
      <c r="H560" s="26"/>
      <c r="I560" s="32"/>
      <c r="J560" s="32"/>
      <c r="K560" s="32">
        <f t="shared" si="14"/>
        <v>0</v>
      </c>
    </row>
    <row r="561" spans="3:11" ht="19.5" hidden="1" customHeight="1" x14ac:dyDescent="0.2">
      <c r="C561" s="278" t="s">
        <v>716</v>
      </c>
      <c r="D561" s="279"/>
      <c r="E561" s="42"/>
      <c r="F561" s="26"/>
      <c r="G561" s="27"/>
      <c r="H561" s="26"/>
      <c r="I561" s="32"/>
      <c r="J561" s="32"/>
      <c r="K561" s="32">
        <f t="shared" si="14"/>
        <v>0</v>
      </c>
    </row>
    <row r="562" spans="3:11" ht="19.5" hidden="1" customHeight="1" x14ac:dyDescent="0.2">
      <c r="C562" s="278" t="s">
        <v>717</v>
      </c>
      <c r="D562" s="279"/>
      <c r="E562" s="42"/>
      <c r="F562" s="26"/>
      <c r="G562" s="27"/>
      <c r="H562" s="26"/>
      <c r="I562" s="32"/>
      <c r="J562" s="32"/>
      <c r="K562" s="32">
        <f t="shared" si="14"/>
        <v>0</v>
      </c>
    </row>
    <row r="563" spans="3:11" ht="15" hidden="1" x14ac:dyDescent="0.2">
      <c r="C563" s="278" t="s">
        <v>718</v>
      </c>
      <c r="D563" s="279"/>
      <c r="E563" s="42"/>
      <c r="F563" s="26"/>
      <c r="G563" s="27"/>
      <c r="H563" s="190"/>
      <c r="I563" s="32"/>
      <c r="J563" s="32"/>
      <c r="K563" s="32">
        <f t="shared" si="14"/>
        <v>0</v>
      </c>
    </row>
    <row r="564" spans="3:11" ht="15" hidden="1" x14ac:dyDescent="0.2">
      <c r="C564" s="278" t="s">
        <v>719</v>
      </c>
      <c r="D564" s="279"/>
      <c r="E564" s="42"/>
      <c r="F564" s="26"/>
      <c r="G564" s="27"/>
      <c r="H564" s="26"/>
      <c r="I564" s="32"/>
      <c r="J564" s="32"/>
      <c r="K564" s="32">
        <f t="shared" si="14"/>
        <v>0</v>
      </c>
    </row>
    <row r="565" spans="3:11" ht="19.5" hidden="1" customHeight="1" x14ac:dyDescent="0.2">
      <c r="C565" s="278" t="s">
        <v>720</v>
      </c>
      <c r="D565" s="279"/>
      <c r="E565" s="42"/>
      <c r="F565" s="26"/>
      <c r="G565" s="27"/>
      <c r="H565" s="26"/>
      <c r="I565" s="32"/>
      <c r="J565" s="32"/>
      <c r="K565" s="32">
        <f t="shared" si="14"/>
        <v>0</v>
      </c>
    </row>
    <row r="566" spans="3:11" ht="19.5" hidden="1" customHeight="1" x14ac:dyDescent="0.2">
      <c r="C566" s="278" t="s">
        <v>721</v>
      </c>
      <c r="D566" s="279"/>
      <c r="E566" s="42"/>
      <c r="F566" s="26"/>
      <c r="G566" s="27"/>
      <c r="H566" s="26"/>
      <c r="I566" s="32"/>
      <c r="J566" s="32"/>
      <c r="K566" s="32">
        <f t="shared" si="14"/>
        <v>0</v>
      </c>
    </row>
    <row r="567" spans="3:11" ht="15" hidden="1" x14ac:dyDescent="0.2">
      <c r="C567" s="278" t="s">
        <v>722</v>
      </c>
      <c r="D567" s="279"/>
      <c r="E567" s="42"/>
      <c r="F567" s="26"/>
      <c r="G567" s="27"/>
      <c r="H567" s="190"/>
      <c r="I567" s="32"/>
      <c r="J567" s="32"/>
      <c r="K567" s="32">
        <f t="shared" si="14"/>
        <v>0</v>
      </c>
    </row>
    <row r="568" spans="3:11" ht="19.5" hidden="1" customHeight="1" x14ac:dyDescent="0.2">
      <c r="C568" s="278" t="s">
        <v>723</v>
      </c>
      <c r="D568" s="279"/>
      <c r="E568" s="42"/>
      <c r="F568" s="26"/>
      <c r="G568" s="27"/>
      <c r="H568" s="26"/>
      <c r="I568" s="32"/>
      <c r="J568" s="32"/>
      <c r="K568" s="32">
        <f t="shared" si="14"/>
        <v>0</v>
      </c>
    </row>
    <row r="569" spans="3:11" ht="19.5" hidden="1" customHeight="1" x14ac:dyDescent="0.2">
      <c r="C569" s="278" t="s">
        <v>724</v>
      </c>
      <c r="D569" s="279"/>
      <c r="E569" s="42"/>
      <c r="F569" s="26"/>
      <c r="G569" s="27"/>
      <c r="H569" s="26"/>
      <c r="I569" s="32"/>
      <c r="J569" s="32"/>
      <c r="K569" s="32">
        <f t="shared" si="14"/>
        <v>0</v>
      </c>
    </row>
    <row r="570" spans="3:11" ht="15" hidden="1" x14ac:dyDescent="0.2">
      <c r="C570" s="278" t="s">
        <v>725</v>
      </c>
      <c r="D570" s="279"/>
      <c r="E570" s="42"/>
      <c r="F570" s="26"/>
      <c r="G570" s="27"/>
      <c r="H570" s="26"/>
      <c r="I570" s="32"/>
      <c r="J570" s="32"/>
      <c r="K570" s="32">
        <f t="shared" si="14"/>
        <v>0</v>
      </c>
    </row>
    <row r="571" spans="3:11" ht="19.5" hidden="1" customHeight="1" x14ac:dyDescent="0.2">
      <c r="C571" s="278" t="s">
        <v>726</v>
      </c>
      <c r="D571" s="279"/>
      <c r="E571" s="42"/>
      <c r="F571" s="26"/>
      <c r="G571" s="27"/>
      <c r="H571" s="26"/>
      <c r="I571" s="32"/>
      <c r="J571" s="32"/>
      <c r="K571" s="32">
        <f t="shared" si="14"/>
        <v>0</v>
      </c>
    </row>
    <row r="572" spans="3:11" ht="19.5" hidden="1" customHeight="1" x14ac:dyDescent="0.2">
      <c r="C572" s="278" t="s">
        <v>727</v>
      </c>
      <c r="D572" s="279"/>
      <c r="E572" s="42"/>
      <c r="F572" s="26"/>
      <c r="G572" s="27"/>
      <c r="H572" s="26"/>
      <c r="I572" s="32"/>
      <c r="J572" s="32"/>
      <c r="K572" s="32">
        <f t="shared" si="14"/>
        <v>0</v>
      </c>
    </row>
    <row r="573" spans="3:11" ht="19.5" hidden="1" customHeight="1" x14ac:dyDescent="0.2">
      <c r="C573" s="278" t="s">
        <v>728</v>
      </c>
      <c r="D573" s="279"/>
      <c r="E573" s="42"/>
      <c r="F573" s="26"/>
      <c r="G573" s="27"/>
      <c r="H573" s="26"/>
      <c r="I573" s="32"/>
      <c r="J573" s="32"/>
      <c r="K573" s="32">
        <f t="shared" si="14"/>
        <v>0</v>
      </c>
    </row>
    <row r="574" spans="3:11" ht="15" hidden="1" x14ac:dyDescent="0.2">
      <c r="C574" s="278" t="s">
        <v>729</v>
      </c>
      <c r="D574" s="279"/>
      <c r="E574" s="42"/>
      <c r="F574" s="26"/>
      <c r="G574" s="27"/>
      <c r="H574" s="190"/>
      <c r="I574" s="32"/>
      <c r="J574" s="32"/>
      <c r="K574" s="32">
        <f t="shared" si="14"/>
        <v>0</v>
      </c>
    </row>
    <row r="575" spans="3:11" ht="15" hidden="1" x14ac:dyDescent="0.2">
      <c r="C575" s="278" t="s">
        <v>730</v>
      </c>
      <c r="D575" s="279"/>
      <c r="E575" s="42"/>
      <c r="F575" s="26"/>
      <c r="G575" s="27"/>
      <c r="H575" s="190"/>
      <c r="I575" s="32"/>
      <c r="J575" s="32"/>
      <c r="K575" s="32">
        <f t="shared" si="14"/>
        <v>0</v>
      </c>
    </row>
    <row r="576" spans="3:11" ht="15" hidden="1" x14ac:dyDescent="0.2">
      <c r="C576" s="278" t="s">
        <v>731</v>
      </c>
      <c r="D576" s="279"/>
      <c r="E576" s="42"/>
      <c r="F576" s="26"/>
      <c r="G576" s="27"/>
      <c r="H576" s="190"/>
      <c r="I576" s="32"/>
      <c r="J576" s="32"/>
      <c r="K576" s="32">
        <f t="shared" si="14"/>
        <v>0</v>
      </c>
    </row>
    <row r="577" spans="3:11" ht="15" hidden="1" x14ac:dyDescent="0.2">
      <c r="C577" s="278" t="s">
        <v>732</v>
      </c>
      <c r="D577" s="279"/>
      <c r="E577" s="42"/>
      <c r="F577" s="26"/>
      <c r="G577" s="27"/>
      <c r="H577" s="190"/>
      <c r="I577" s="32"/>
      <c r="J577" s="32"/>
      <c r="K577" s="32">
        <f t="shared" si="14"/>
        <v>0</v>
      </c>
    </row>
    <row r="578" spans="3:11" ht="15" hidden="1" x14ac:dyDescent="0.2">
      <c r="C578" s="278" t="s">
        <v>733</v>
      </c>
      <c r="D578" s="279"/>
      <c r="E578" s="42"/>
      <c r="F578" s="26"/>
      <c r="G578" s="27"/>
      <c r="H578" s="190"/>
      <c r="I578" s="32"/>
      <c r="J578" s="32"/>
      <c r="K578" s="32">
        <f t="shared" si="14"/>
        <v>0</v>
      </c>
    </row>
    <row r="579" spans="3:11" ht="19.5" hidden="1" customHeight="1" x14ac:dyDescent="0.2">
      <c r="C579" s="278" t="s">
        <v>734</v>
      </c>
      <c r="D579" s="279"/>
      <c r="E579" s="42"/>
      <c r="F579" s="26"/>
      <c r="G579" s="27"/>
      <c r="H579" s="26"/>
      <c r="I579" s="32"/>
      <c r="J579" s="32"/>
      <c r="K579" s="32">
        <f t="shared" si="14"/>
        <v>0</v>
      </c>
    </row>
    <row r="580" spans="3:11" ht="15" hidden="1" x14ac:dyDescent="0.2">
      <c r="C580" s="278" t="s">
        <v>735</v>
      </c>
      <c r="D580" s="279"/>
      <c r="E580" s="42"/>
      <c r="F580" s="26"/>
      <c r="G580" s="27"/>
      <c r="H580" s="190"/>
      <c r="I580" s="32"/>
      <c r="J580" s="32"/>
      <c r="K580" s="32">
        <f t="shared" si="14"/>
        <v>0</v>
      </c>
    </row>
    <row r="581" spans="3:11" ht="19.5" hidden="1" customHeight="1" x14ac:dyDescent="0.2">
      <c r="C581" s="278" t="s">
        <v>736</v>
      </c>
      <c r="D581" s="279"/>
      <c r="E581" s="42"/>
      <c r="F581" s="26"/>
      <c r="G581" s="27"/>
      <c r="H581" s="26"/>
      <c r="I581" s="32"/>
      <c r="J581" s="32"/>
      <c r="K581" s="32">
        <f t="shared" si="14"/>
        <v>0</v>
      </c>
    </row>
    <row r="582" spans="3:11" ht="15" hidden="1" x14ac:dyDescent="0.2">
      <c r="C582" s="278" t="s">
        <v>737</v>
      </c>
      <c r="D582" s="279"/>
      <c r="E582" s="42"/>
      <c r="F582" s="26"/>
      <c r="G582" s="27"/>
      <c r="H582" s="26"/>
      <c r="I582" s="32"/>
      <c r="J582" s="32"/>
      <c r="K582" s="32">
        <f t="shared" si="14"/>
        <v>0</v>
      </c>
    </row>
    <row r="583" spans="3:11" ht="19.5" hidden="1" customHeight="1" x14ac:dyDescent="0.2">
      <c r="C583" s="278" t="s">
        <v>738</v>
      </c>
      <c r="D583" s="279"/>
      <c r="E583" s="42"/>
      <c r="F583" s="26"/>
      <c r="G583" s="27"/>
      <c r="H583" s="26"/>
      <c r="I583" s="32"/>
      <c r="J583" s="32"/>
      <c r="K583" s="32">
        <f t="shared" si="14"/>
        <v>0</v>
      </c>
    </row>
    <row r="584" spans="3:11" ht="15" hidden="1" x14ac:dyDescent="0.2">
      <c r="C584" s="278" t="s">
        <v>739</v>
      </c>
      <c r="D584" s="279"/>
      <c r="E584" s="42"/>
      <c r="F584" s="26"/>
      <c r="G584" s="27"/>
      <c r="H584" s="190"/>
      <c r="I584" s="32"/>
      <c r="J584" s="32"/>
      <c r="K584" s="32">
        <f t="shared" si="14"/>
        <v>0</v>
      </c>
    </row>
    <row r="585" spans="3:11" ht="15" hidden="1" x14ac:dyDescent="0.2">
      <c r="C585" s="278" t="s">
        <v>740</v>
      </c>
      <c r="D585" s="279"/>
      <c r="E585" s="42"/>
      <c r="F585" s="26"/>
      <c r="G585" s="27"/>
      <c r="H585" s="26"/>
      <c r="I585" s="32"/>
      <c r="J585" s="32"/>
      <c r="K585" s="32">
        <f t="shared" si="14"/>
        <v>0</v>
      </c>
    </row>
    <row r="586" spans="3:11" ht="15" hidden="1" x14ac:dyDescent="0.2">
      <c r="C586" s="278" t="s">
        <v>741</v>
      </c>
      <c r="D586" s="279"/>
      <c r="E586" s="42"/>
      <c r="F586" s="26"/>
      <c r="G586" s="27"/>
      <c r="H586" s="190"/>
      <c r="I586" s="32"/>
      <c r="J586" s="32"/>
      <c r="K586" s="32">
        <f t="shared" si="14"/>
        <v>0</v>
      </c>
    </row>
    <row r="587" spans="3:11" ht="19.5" hidden="1" customHeight="1" x14ac:dyDescent="0.2">
      <c r="C587" s="278" t="s">
        <v>742</v>
      </c>
      <c r="D587" s="279"/>
      <c r="E587" s="42"/>
      <c r="F587" s="26"/>
      <c r="G587" s="27"/>
      <c r="H587" s="26"/>
      <c r="I587" s="32"/>
      <c r="J587" s="32"/>
      <c r="K587" s="32">
        <f t="shared" si="14"/>
        <v>0</v>
      </c>
    </row>
    <row r="588" spans="3:11" ht="15" hidden="1" x14ac:dyDescent="0.2">
      <c r="C588" s="278" t="s">
        <v>743</v>
      </c>
      <c r="D588" s="279"/>
      <c r="E588" s="42"/>
      <c r="F588" s="26"/>
      <c r="G588" s="27"/>
      <c r="H588" s="26"/>
      <c r="I588" s="32"/>
      <c r="J588" s="32"/>
      <c r="K588" s="32">
        <f t="shared" si="14"/>
        <v>0</v>
      </c>
    </row>
    <row r="589" spans="3:11" ht="15" hidden="1" x14ac:dyDescent="0.2">
      <c r="C589" s="278" t="s">
        <v>744</v>
      </c>
      <c r="D589" s="279"/>
      <c r="E589" s="42"/>
      <c r="F589" s="26"/>
      <c r="G589" s="27"/>
      <c r="H589" s="26"/>
      <c r="I589" s="32"/>
      <c r="J589" s="32"/>
      <c r="K589" s="32">
        <f t="shared" si="14"/>
        <v>0</v>
      </c>
    </row>
    <row r="590" spans="3:11" ht="15" hidden="1" x14ac:dyDescent="0.2">
      <c r="C590" s="278" t="s">
        <v>745</v>
      </c>
      <c r="D590" s="279"/>
      <c r="E590" s="42"/>
      <c r="F590" s="26"/>
      <c r="G590" s="27"/>
      <c r="H590" s="26"/>
      <c r="I590" s="32"/>
      <c r="J590" s="32"/>
      <c r="K590" s="32">
        <f t="shared" si="14"/>
        <v>0</v>
      </c>
    </row>
    <row r="591" spans="3:11" ht="15" hidden="1" x14ac:dyDescent="0.2">
      <c r="C591" s="278" t="s">
        <v>746</v>
      </c>
      <c r="D591" s="279"/>
      <c r="E591" s="42"/>
      <c r="F591" s="26"/>
      <c r="G591" s="27"/>
      <c r="H591" s="190"/>
      <c r="I591" s="32"/>
      <c r="J591" s="32"/>
      <c r="K591" s="32">
        <f t="shared" si="14"/>
        <v>0</v>
      </c>
    </row>
    <row r="592" spans="3:11" ht="15" hidden="1" x14ac:dyDescent="0.2">
      <c r="C592" s="278" t="s">
        <v>747</v>
      </c>
      <c r="D592" s="279"/>
      <c r="E592" s="42"/>
      <c r="F592" s="26"/>
      <c r="G592" s="27"/>
      <c r="H592" s="190"/>
      <c r="I592" s="32"/>
      <c r="J592" s="32"/>
      <c r="K592" s="32">
        <f t="shared" si="14"/>
        <v>0</v>
      </c>
    </row>
    <row r="593" spans="3:11" ht="15" hidden="1" x14ac:dyDescent="0.2">
      <c r="C593" s="278" t="s">
        <v>748</v>
      </c>
      <c r="D593" s="279"/>
      <c r="E593" s="42"/>
      <c r="F593" s="26"/>
      <c r="G593" s="27"/>
      <c r="H593" s="26"/>
      <c r="I593" s="32"/>
      <c r="J593" s="32"/>
      <c r="K593" s="32">
        <f t="shared" si="14"/>
        <v>0</v>
      </c>
    </row>
    <row r="594" spans="3:11" ht="15" hidden="1" x14ac:dyDescent="0.2">
      <c r="C594" s="278" t="s">
        <v>749</v>
      </c>
      <c r="D594" s="279"/>
      <c r="E594" s="42"/>
      <c r="F594" s="26"/>
      <c r="G594" s="27"/>
      <c r="H594" s="26"/>
      <c r="I594" s="32"/>
      <c r="J594" s="32"/>
      <c r="K594" s="32">
        <f t="shared" si="14"/>
        <v>0</v>
      </c>
    </row>
    <row r="595" spans="3:11" ht="15" hidden="1" x14ac:dyDescent="0.2">
      <c r="C595" s="278" t="s">
        <v>750</v>
      </c>
      <c r="D595" s="279"/>
      <c r="E595" s="42"/>
      <c r="F595" s="26"/>
      <c r="G595" s="27"/>
      <c r="H595" s="26"/>
      <c r="I595" s="32"/>
      <c r="J595" s="32"/>
      <c r="K595" s="32">
        <f t="shared" si="14"/>
        <v>0</v>
      </c>
    </row>
    <row r="596" spans="3:11" ht="15" hidden="1" x14ac:dyDescent="0.2">
      <c r="C596" s="278" t="s">
        <v>751</v>
      </c>
      <c r="D596" s="279"/>
      <c r="E596" s="42"/>
      <c r="F596" s="26"/>
      <c r="G596" s="27"/>
      <c r="H596" s="26"/>
      <c r="I596" s="32"/>
      <c r="J596" s="32"/>
      <c r="K596" s="32">
        <f t="shared" si="14"/>
        <v>0</v>
      </c>
    </row>
    <row r="597" spans="3:11" ht="15" hidden="1" x14ac:dyDescent="0.2">
      <c r="C597" s="278" t="s">
        <v>752</v>
      </c>
      <c r="D597" s="279"/>
      <c r="E597" s="42"/>
      <c r="F597" s="26"/>
      <c r="G597" s="27"/>
      <c r="H597" s="190"/>
      <c r="I597" s="32"/>
      <c r="J597" s="32"/>
      <c r="K597" s="32">
        <f t="shared" si="14"/>
        <v>0</v>
      </c>
    </row>
    <row r="598" spans="3:11" ht="15" hidden="1" x14ac:dyDescent="0.2">
      <c r="C598" s="278" t="s">
        <v>753</v>
      </c>
      <c r="D598" s="279"/>
      <c r="E598" s="42"/>
      <c r="F598" s="26"/>
      <c r="G598" s="27"/>
      <c r="H598" s="26"/>
      <c r="I598" s="32"/>
      <c r="J598" s="32"/>
      <c r="K598" s="32">
        <f t="shared" si="14"/>
        <v>0</v>
      </c>
    </row>
    <row r="599" spans="3:11" ht="15" hidden="1" x14ac:dyDescent="0.2">
      <c r="C599" s="278" t="s">
        <v>754</v>
      </c>
      <c r="D599" s="279"/>
      <c r="E599" s="42"/>
      <c r="F599" s="26"/>
      <c r="G599" s="27"/>
      <c r="H599" s="26"/>
      <c r="I599" s="32"/>
      <c r="J599" s="32"/>
      <c r="K599" s="32">
        <f t="shared" si="14"/>
        <v>0</v>
      </c>
    </row>
    <row r="600" spans="3:11" ht="15" hidden="1" x14ac:dyDescent="0.2">
      <c r="C600" s="278" t="s">
        <v>755</v>
      </c>
      <c r="D600" s="279"/>
      <c r="E600" s="42"/>
      <c r="F600" s="26"/>
      <c r="G600" s="27"/>
      <c r="H600" s="26"/>
      <c r="I600" s="32"/>
      <c r="J600" s="32"/>
      <c r="K600" s="32">
        <f t="shared" si="14"/>
        <v>0</v>
      </c>
    </row>
    <row r="601" spans="3:11" ht="15" hidden="1" x14ac:dyDescent="0.2">
      <c r="C601" s="278" t="s">
        <v>756</v>
      </c>
      <c r="D601" s="279"/>
      <c r="E601" s="42"/>
      <c r="F601" s="26"/>
      <c r="G601" s="27"/>
      <c r="H601" s="26"/>
      <c r="I601" s="32"/>
      <c r="J601" s="32"/>
      <c r="K601" s="32">
        <f t="shared" si="14"/>
        <v>0</v>
      </c>
    </row>
    <row r="602" spans="3:11" ht="15" hidden="1" x14ac:dyDescent="0.2">
      <c r="C602" s="278" t="s">
        <v>757</v>
      </c>
      <c r="D602" s="279"/>
      <c r="E602" s="42"/>
      <c r="F602" s="26"/>
      <c r="G602" s="27"/>
      <c r="H602" s="26"/>
      <c r="I602" s="32"/>
      <c r="J602" s="32"/>
      <c r="K602" s="32">
        <f t="shared" si="14"/>
        <v>0</v>
      </c>
    </row>
    <row r="603" spans="3:11" ht="15" hidden="1" x14ac:dyDescent="0.2">
      <c r="C603" s="278" t="s">
        <v>758</v>
      </c>
      <c r="D603" s="279"/>
      <c r="E603" s="42"/>
      <c r="F603" s="26"/>
      <c r="G603" s="27"/>
      <c r="H603" s="26"/>
      <c r="I603" s="32"/>
      <c r="J603" s="32"/>
      <c r="K603" s="32">
        <f t="shared" si="14"/>
        <v>0</v>
      </c>
    </row>
    <row r="604" spans="3:11" ht="15" hidden="1" x14ac:dyDescent="0.2">
      <c r="C604" s="278" t="s">
        <v>759</v>
      </c>
      <c r="D604" s="279"/>
      <c r="E604" s="42"/>
      <c r="F604" s="26"/>
      <c r="G604" s="27"/>
      <c r="H604" s="26"/>
      <c r="I604" s="32"/>
      <c r="J604" s="32"/>
      <c r="K604" s="32">
        <f t="shared" si="14"/>
        <v>0</v>
      </c>
    </row>
    <row r="605" spans="3:11" ht="15" hidden="1" x14ac:dyDescent="0.2">
      <c r="C605" s="278" t="s">
        <v>760</v>
      </c>
      <c r="D605" s="279"/>
      <c r="E605" s="42"/>
      <c r="F605" s="26"/>
      <c r="G605" s="27"/>
      <c r="H605" s="190"/>
      <c r="I605" s="32"/>
      <c r="J605" s="32"/>
      <c r="K605" s="32">
        <f t="shared" si="14"/>
        <v>0</v>
      </c>
    </row>
    <row r="606" spans="3:11" ht="15" hidden="1" x14ac:dyDescent="0.2">
      <c r="C606" s="278" t="s">
        <v>761</v>
      </c>
      <c r="D606" s="279"/>
      <c r="E606" s="42"/>
      <c r="F606" s="26"/>
      <c r="G606" s="27"/>
      <c r="H606" s="190"/>
      <c r="I606" s="32"/>
      <c r="J606" s="32"/>
      <c r="K606" s="32">
        <f t="shared" si="14"/>
        <v>0</v>
      </c>
    </row>
    <row r="607" spans="3:11" ht="15" hidden="1" x14ac:dyDescent="0.2">
      <c r="C607" s="278" t="s">
        <v>762</v>
      </c>
      <c r="D607" s="279"/>
      <c r="E607" s="42"/>
      <c r="F607" s="26"/>
      <c r="G607" s="27"/>
      <c r="H607" s="26"/>
      <c r="I607" s="32"/>
      <c r="J607" s="32"/>
      <c r="K607" s="32">
        <f t="shared" si="14"/>
        <v>0</v>
      </c>
    </row>
    <row r="608" spans="3:11" ht="15" hidden="1" x14ac:dyDescent="0.2">
      <c r="C608" s="278" t="s">
        <v>763</v>
      </c>
      <c r="D608" s="279"/>
      <c r="E608" s="42"/>
      <c r="F608" s="26"/>
      <c r="G608" s="27"/>
      <c r="H608" s="26"/>
      <c r="I608" s="32"/>
      <c r="J608" s="32"/>
      <c r="K608" s="32">
        <f t="shared" si="14"/>
        <v>0</v>
      </c>
    </row>
    <row r="609" spans="3:11" ht="15" hidden="1" x14ac:dyDescent="0.2">
      <c r="C609" s="278" t="s">
        <v>764</v>
      </c>
      <c r="D609" s="279"/>
      <c r="E609" s="42"/>
      <c r="F609" s="26"/>
      <c r="G609" s="27"/>
      <c r="H609" s="26"/>
      <c r="I609" s="32"/>
      <c r="J609" s="32"/>
      <c r="K609" s="32">
        <f t="shared" si="14"/>
        <v>0</v>
      </c>
    </row>
    <row r="610" spans="3:11" ht="23.25" hidden="1" customHeight="1" x14ac:dyDescent="0.2">
      <c r="C610" s="278" t="s">
        <v>765</v>
      </c>
      <c r="D610" s="279"/>
      <c r="E610" s="42"/>
      <c r="F610" s="26"/>
      <c r="G610" s="27"/>
      <c r="H610" s="26"/>
      <c r="I610" s="32"/>
      <c r="J610" s="32"/>
      <c r="K610" s="32">
        <f t="shared" si="14"/>
        <v>0</v>
      </c>
    </row>
    <row r="611" spans="3:11" ht="15" hidden="1" x14ac:dyDescent="0.2">
      <c r="C611" s="278" t="s">
        <v>766</v>
      </c>
      <c r="D611" s="279"/>
      <c r="E611" s="42"/>
      <c r="F611" s="26"/>
      <c r="G611" s="27"/>
      <c r="H611" s="26"/>
      <c r="I611" s="32"/>
      <c r="J611" s="32"/>
      <c r="K611" s="32">
        <f t="shared" si="14"/>
        <v>0</v>
      </c>
    </row>
    <row r="612" spans="3:11" ht="15" hidden="1" x14ac:dyDescent="0.2">
      <c r="C612" s="278" t="s">
        <v>767</v>
      </c>
      <c r="D612" s="279"/>
      <c r="E612" s="42"/>
      <c r="F612" s="26"/>
      <c r="G612" s="27"/>
      <c r="H612" s="190"/>
      <c r="I612" s="32"/>
      <c r="J612" s="32"/>
      <c r="K612" s="32">
        <f t="shared" si="14"/>
        <v>0</v>
      </c>
    </row>
    <row r="613" spans="3:11" ht="15" hidden="1" x14ac:dyDescent="0.2">
      <c r="C613" s="278" t="s">
        <v>768</v>
      </c>
      <c r="D613" s="279"/>
      <c r="E613" s="42"/>
      <c r="F613" s="26"/>
      <c r="G613" s="27"/>
      <c r="H613" s="190"/>
      <c r="I613" s="32"/>
      <c r="J613" s="32"/>
      <c r="K613" s="32">
        <f t="shared" si="14"/>
        <v>0</v>
      </c>
    </row>
    <row r="614" spans="3:11" ht="15" hidden="1" x14ac:dyDescent="0.2">
      <c r="C614" s="278" t="s">
        <v>769</v>
      </c>
      <c r="D614" s="279"/>
      <c r="E614" s="42"/>
      <c r="F614" s="26"/>
      <c r="G614" s="27"/>
      <c r="H614" s="26"/>
      <c r="I614" s="32"/>
      <c r="J614" s="32"/>
      <c r="K614" s="32">
        <f t="shared" si="14"/>
        <v>0</v>
      </c>
    </row>
    <row r="615" spans="3:11" ht="15" hidden="1" x14ac:dyDescent="0.2">
      <c r="C615" s="278" t="s">
        <v>770</v>
      </c>
      <c r="D615" s="279"/>
      <c r="E615" s="42"/>
      <c r="F615" s="26"/>
      <c r="G615" s="27"/>
      <c r="H615" s="26"/>
      <c r="I615" s="32"/>
      <c r="J615" s="32"/>
      <c r="K615" s="32">
        <f t="shared" si="14"/>
        <v>0</v>
      </c>
    </row>
    <row r="616" spans="3:11" ht="15" hidden="1" x14ac:dyDescent="0.2">
      <c r="C616" s="278" t="s">
        <v>771</v>
      </c>
      <c r="D616" s="279"/>
      <c r="E616" s="42"/>
      <c r="F616" s="26"/>
      <c r="G616" s="27"/>
      <c r="H616" s="26"/>
      <c r="I616" s="32"/>
      <c r="J616" s="32"/>
      <c r="K616" s="32">
        <f t="shared" si="14"/>
        <v>0</v>
      </c>
    </row>
    <row r="617" spans="3:11" ht="15" hidden="1" x14ac:dyDescent="0.2">
      <c r="C617" s="278" t="s">
        <v>772</v>
      </c>
      <c r="D617" s="279"/>
      <c r="E617" s="42"/>
      <c r="F617" s="26"/>
      <c r="G617" s="27"/>
      <c r="H617" s="190"/>
      <c r="I617" s="32"/>
      <c r="J617" s="32"/>
      <c r="K617" s="32">
        <f t="shared" si="14"/>
        <v>0</v>
      </c>
    </row>
    <row r="618" spans="3:11" ht="15" hidden="1" x14ac:dyDescent="0.2">
      <c r="C618" s="278" t="s">
        <v>773</v>
      </c>
      <c r="D618" s="279"/>
      <c r="E618" s="42"/>
      <c r="F618" s="26"/>
      <c r="G618" s="27"/>
      <c r="H618" s="26"/>
      <c r="I618" s="32"/>
      <c r="J618" s="32"/>
      <c r="K618" s="32">
        <f t="shared" si="14"/>
        <v>0</v>
      </c>
    </row>
    <row r="619" spans="3:11" ht="15" hidden="1" x14ac:dyDescent="0.2">
      <c r="C619" s="278" t="s">
        <v>774</v>
      </c>
      <c r="D619" s="279"/>
      <c r="E619" s="42"/>
      <c r="F619" s="26"/>
      <c r="G619" s="27"/>
      <c r="H619" s="26"/>
      <c r="I619" s="32"/>
      <c r="J619" s="32"/>
      <c r="K619" s="32">
        <f t="shared" si="14"/>
        <v>0</v>
      </c>
    </row>
    <row r="620" spans="3:11" ht="15" hidden="1" x14ac:dyDescent="0.2">
      <c r="C620" s="278" t="s">
        <v>775</v>
      </c>
      <c r="D620" s="279"/>
      <c r="E620" s="42"/>
      <c r="F620" s="26"/>
      <c r="G620" s="27"/>
      <c r="H620" s="26"/>
      <c r="I620" s="32"/>
      <c r="J620" s="32"/>
      <c r="K620" s="32">
        <f t="shared" ref="K620:K636" si="15">I620+J620</f>
        <v>0</v>
      </c>
    </row>
    <row r="621" spans="3:11" ht="15" hidden="1" x14ac:dyDescent="0.2">
      <c r="C621" s="278" t="s">
        <v>776</v>
      </c>
      <c r="D621" s="279"/>
      <c r="E621" s="42"/>
      <c r="F621" s="26"/>
      <c r="G621" s="27"/>
      <c r="H621" s="26"/>
      <c r="I621" s="32"/>
      <c r="J621" s="32"/>
      <c r="K621" s="32">
        <f t="shared" si="15"/>
        <v>0</v>
      </c>
    </row>
    <row r="622" spans="3:11" ht="15" hidden="1" x14ac:dyDescent="0.2">
      <c r="C622" s="278" t="s">
        <v>777</v>
      </c>
      <c r="D622" s="279"/>
      <c r="E622" s="42"/>
      <c r="F622" s="26"/>
      <c r="G622" s="27"/>
      <c r="H622" s="26"/>
      <c r="I622" s="32"/>
      <c r="J622" s="32"/>
      <c r="K622" s="32">
        <f t="shared" si="15"/>
        <v>0</v>
      </c>
    </row>
    <row r="623" spans="3:11" ht="15" hidden="1" x14ac:dyDescent="0.2">
      <c r="C623" s="278" t="s">
        <v>778</v>
      </c>
      <c r="D623" s="279"/>
      <c r="E623" s="42"/>
      <c r="F623" s="26"/>
      <c r="G623" s="27"/>
      <c r="H623" s="26"/>
      <c r="I623" s="32"/>
      <c r="J623" s="33"/>
      <c r="K623" s="32">
        <f t="shared" si="15"/>
        <v>0</v>
      </c>
    </row>
    <row r="624" spans="3:11" ht="15" hidden="1" x14ac:dyDescent="0.2">
      <c r="C624" s="278" t="s">
        <v>779</v>
      </c>
      <c r="D624" s="279"/>
      <c r="E624" s="42"/>
      <c r="F624" s="26"/>
      <c r="G624" s="27"/>
      <c r="H624" s="26"/>
      <c r="I624" s="32"/>
      <c r="J624" s="33"/>
      <c r="K624" s="32">
        <f t="shared" si="15"/>
        <v>0</v>
      </c>
    </row>
    <row r="625" spans="3:11" ht="15" hidden="1" x14ac:dyDescent="0.2">
      <c r="C625" s="278" t="s">
        <v>780</v>
      </c>
      <c r="D625" s="279"/>
      <c r="E625" s="42"/>
      <c r="F625" s="26"/>
      <c r="G625" s="27"/>
      <c r="H625" s="190"/>
      <c r="I625" s="32"/>
      <c r="J625" s="33"/>
      <c r="K625" s="32">
        <f t="shared" si="15"/>
        <v>0</v>
      </c>
    </row>
    <row r="626" spans="3:11" ht="15" hidden="1" x14ac:dyDescent="0.2">
      <c r="C626" s="278" t="s">
        <v>781</v>
      </c>
      <c r="D626" s="279"/>
      <c r="E626" s="42"/>
      <c r="F626" s="26"/>
      <c r="G626" s="27"/>
      <c r="H626" s="26"/>
      <c r="I626" s="32"/>
      <c r="J626" s="33"/>
      <c r="K626" s="32">
        <f t="shared" si="15"/>
        <v>0</v>
      </c>
    </row>
    <row r="627" spans="3:11" ht="15" hidden="1" x14ac:dyDescent="0.2">
      <c r="C627" s="278" t="s">
        <v>782</v>
      </c>
      <c r="D627" s="279"/>
      <c r="E627" s="42"/>
      <c r="F627" s="26"/>
      <c r="G627" s="27"/>
      <c r="H627" s="26"/>
      <c r="I627" s="32"/>
      <c r="J627" s="33"/>
      <c r="K627" s="32">
        <f t="shared" si="15"/>
        <v>0</v>
      </c>
    </row>
    <row r="628" spans="3:11" ht="15" hidden="1" x14ac:dyDescent="0.2">
      <c r="C628" s="278" t="s">
        <v>783</v>
      </c>
      <c r="D628" s="279"/>
      <c r="E628" s="42"/>
      <c r="F628" s="26"/>
      <c r="G628" s="27"/>
      <c r="H628" s="26"/>
      <c r="I628" s="32"/>
      <c r="J628" s="33"/>
      <c r="K628" s="32">
        <f t="shared" si="15"/>
        <v>0</v>
      </c>
    </row>
    <row r="629" spans="3:11" ht="15" hidden="1" x14ac:dyDescent="0.2">
      <c r="C629" s="278" t="s">
        <v>784</v>
      </c>
      <c r="D629" s="279"/>
      <c r="E629" s="42"/>
      <c r="F629" s="26"/>
      <c r="G629" s="27"/>
      <c r="H629" s="26"/>
      <c r="I629" s="32"/>
      <c r="J629" s="33"/>
      <c r="K629" s="32">
        <f t="shared" si="15"/>
        <v>0</v>
      </c>
    </row>
    <row r="630" spans="3:11" ht="15" hidden="1" x14ac:dyDescent="0.2">
      <c r="C630" s="278" t="s">
        <v>785</v>
      </c>
      <c r="D630" s="279"/>
      <c r="E630" s="42"/>
      <c r="F630" s="26"/>
      <c r="G630" s="27"/>
      <c r="H630" s="190"/>
      <c r="I630" s="32"/>
      <c r="J630" s="33"/>
      <c r="K630" s="32">
        <f t="shared" si="15"/>
        <v>0</v>
      </c>
    </row>
    <row r="631" spans="3:11" ht="15" hidden="1" x14ac:dyDescent="0.2">
      <c r="C631" s="278" t="s">
        <v>786</v>
      </c>
      <c r="D631" s="279"/>
      <c r="E631" s="42"/>
      <c r="F631" s="26"/>
      <c r="G631" s="27"/>
      <c r="H631" s="26"/>
      <c r="I631" s="32"/>
      <c r="J631" s="33"/>
      <c r="K631" s="32">
        <f t="shared" si="15"/>
        <v>0</v>
      </c>
    </row>
    <row r="632" spans="3:11" ht="15" hidden="1" x14ac:dyDescent="0.2">
      <c r="C632" s="278" t="s">
        <v>787</v>
      </c>
      <c r="D632" s="279"/>
      <c r="E632" s="42"/>
      <c r="F632" s="26"/>
      <c r="G632" s="27"/>
      <c r="H632" s="26"/>
      <c r="I632" s="32"/>
      <c r="J632" s="33"/>
      <c r="K632" s="32">
        <f t="shared" si="15"/>
        <v>0</v>
      </c>
    </row>
    <row r="633" spans="3:11" ht="15" hidden="1" x14ac:dyDescent="0.2">
      <c r="C633" s="278" t="s">
        <v>788</v>
      </c>
      <c r="D633" s="279"/>
      <c r="E633" s="42"/>
      <c r="F633" s="26"/>
      <c r="G633" s="27"/>
      <c r="H633" s="26"/>
      <c r="I633" s="32"/>
      <c r="J633" s="33"/>
      <c r="K633" s="32">
        <f t="shared" si="15"/>
        <v>0</v>
      </c>
    </row>
    <row r="634" spans="3:11" ht="15" hidden="1" x14ac:dyDescent="0.2">
      <c r="C634" s="278" t="s">
        <v>789</v>
      </c>
      <c r="D634" s="279"/>
      <c r="E634" s="42"/>
      <c r="F634" s="26"/>
      <c r="G634" s="27"/>
      <c r="H634" s="26"/>
      <c r="I634" s="32"/>
      <c r="J634" s="33"/>
      <c r="K634" s="32">
        <f t="shared" si="15"/>
        <v>0</v>
      </c>
    </row>
    <row r="635" spans="3:11" ht="19.5" hidden="1" customHeight="1" x14ac:dyDescent="0.2">
      <c r="C635" s="278" t="s">
        <v>790</v>
      </c>
      <c r="D635" s="279"/>
      <c r="E635" s="42"/>
      <c r="F635" s="26"/>
      <c r="G635" s="27"/>
      <c r="H635" s="26"/>
      <c r="I635" s="32"/>
      <c r="J635" s="33"/>
      <c r="K635" s="32">
        <f t="shared" si="15"/>
        <v>0</v>
      </c>
    </row>
    <row r="636" spans="3:11" ht="19.5" hidden="1" customHeight="1" x14ac:dyDescent="0.2">
      <c r="C636" s="278" t="s">
        <v>791</v>
      </c>
      <c r="D636" s="279"/>
      <c r="E636" s="42"/>
      <c r="F636" s="26"/>
      <c r="G636" s="27"/>
      <c r="H636" s="26"/>
      <c r="I636" s="32"/>
      <c r="J636" s="33"/>
      <c r="K636" s="32">
        <f t="shared" si="15"/>
        <v>0</v>
      </c>
    </row>
    <row r="637" spans="3:11" ht="19.5" hidden="1" customHeight="1" x14ac:dyDescent="0.2">
      <c r="C637" s="278" t="s">
        <v>792</v>
      </c>
      <c r="D637" s="279"/>
      <c r="E637" s="42"/>
      <c r="F637" s="26"/>
      <c r="G637" s="27"/>
      <c r="H637" s="26"/>
      <c r="I637" s="32"/>
      <c r="J637" s="33"/>
      <c r="K637" s="32">
        <f t="shared" ref="K623:K639" si="16">I637+J637</f>
        <v>0</v>
      </c>
    </row>
    <row r="638" spans="3:11" ht="19.5" hidden="1" customHeight="1" x14ac:dyDescent="0.2">
      <c r="C638" s="278" t="s">
        <v>793</v>
      </c>
      <c r="D638" s="279"/>
      <c r="E638" s="42"/>
      <c r="F638" s="26"/>
      <c r="G638" s="27"/>
      <c r="H638" s="26"/>
      <c r="I638" s="32"/>
      <c r="J638" s="33"/>
      <c r="K638" s="32">
        <f t="shared" si="16"/>
        <v>0</v>
      </c>
    </row>
    <row r="639" spans="3:11" ht="19.5" hidden="1" customHeight="1" thickBot="1" x14ac:dyDescent="0.25">
      <c r="C639" s="278" t="s">
        <v>794</v>
      </c>
      <c r="D639" s="279"/>
      <c r="E639" s="42"/>
      <c r="F639" s="26"/>
      <c r="G639" s="27"/>
      <c r="H639" s="26"/>
      <c r="I639" s="37"/>
      <c r="J639" s="33"/>
      <c r="K639" s="32">
        <f t="shared" si="16"/>
        <v>0</v>
      </c>
    </row>
    <row r="640" spans="3:11" ht="19.5" customHeight="1" thickBot="1" x14ac:dyDescent="0.25">
      <c r="C640" s="193" t="s">
        <v>36</v>
      </c>
      <c r="D640" s="268"/>
      <c r="E640" s="268"/>
      <c r="F640" s="268"/>
      <c r="G640" s="268"/>
      <c r="H640" s="269"/>
      <c r="I640" s="156">
        <f>SUM(I108:I639)</f>
        <v>0</v>
      </c>
      <c r="J640" s="156">
        <f>SUM(J108:J639)</f>
        <v>9422911.1900000013</v>
      </c>
      <c r="K640" s="156">
        <f>SUM(K108:K639)</f>
        <v>9422911.1900000013</v>
      </c>
    </row>
    <row r="641" spans="2:12" ht="19.5" hidden="1" customHeight="1" thickBot="1" x14ac:dyDescent="0.25">
      <c r="C641" s="274"/>
      <c r="D641" s="275"/>
      <c r="E641" s="275"/>
      <c r="F641" s="275"/>
      <c r="G641" s="275"/>
      <c r="H641" s="275"/>
      <c r="I641" s="275"/>
      <c r="J641" s="275"/>
      <c r="K641" s="275"/>
    </row>
    <row r="642" spans="2:12" ht="19.5" hidden="1" customHeight="1" thickBot="1" x14ac:dyDescent="0.25">
      <c r="C642" s="254" t="s">
        <v>28</v>
      </c>
      <c r="D642" s="255"/>
      <c r="E642" s="255"/>
      <c r="F642" s="255"/>
      <c r="G642" s="255"/>
      <c r="H642" s="255"/>
      <c r="I642" s="255"/>
      <c r="J642" s="255"/>
      <c r="K642" s="256"/>
    </row>
    <row r="643" spans="2:12" ht="19.5" hidden="1" customHeight="1" x14ac:dyDescent="0.2">
      <c r="C643" s="278" t="s">
        <v>67</v>
      </c>
      <c r="D643" s="279"/>
      <c r="E643" s="42"/>
      <c r="F643" s="26"/>
      <c r="G643" s="27"/>
      <c r="H643" s="26"/>
      <c r="I643" s="34"/>
      <c r="J643" s="32"/>
      <c r="K643" s="32">
        <f>I643+J643</f>
        <v>0</v>
      </c>
    </row>
    <row r="644" spans="2:12" ht="19.5" hidden="1" customHeight="1" x14ac:dyDescent="0.2">
      <c r="C644" s="278" t="s">
        <v>68</v>
      </c>
      <c r="D644" s="279"/>
      <c r="E644" s="42"/>
      <c r="F644" s="26"/>
      <c r="G644" s="27"/>
      <c r="H644" s="26"/>
      <c r="I644" s="32"/>
      <c r="J644" s="33"/>
      <c r="K644" s="32">
        <f t="shared" ref="K644:K652" si="17">I644+J644</f>
        <v>0</v>
      </c>
    </row>
    <row r="645" spans="2:12" ht="19.5" hidden="1" customHeight="1" x14ac:dyDescent="0.2">
      <c r="C645" s="278" t="s">
        <v>69</v>
      </c>
      <c r="D645" s="279"/>
      <c r="E645" s="42"/>
      <c r="F645" s="26"/>
      <c r="G645" s="27"/>
      <c r="H645" s="26"/>
      <c r="I645" s="32"/>
      <c r="J645" s="33"/>
      <c r="K645" s="32">
        <f t="shared" si="17"/>
        <v>0</v>
      </c>
    </row>
    <row r="646" spans="2:12" ht="19.5" hidden="1" customHeight="1" x14ac:dyDescent="0.2">
      <c r="C646" s="278" t="s">
        <v>70</v>
      </c>
      <c r="D646" s="279"/>
      <c r="E646" s="42"/>
      <c r="F646" s="26"/>
      <c r="G646" s="27"/>
      <c r="H646" s="26"/>
      <c r="I646" s="32"/>
      <c r="J646" s="33"/>
      <c r="K646" s="32">
        <f t="shared" si="17"/>
        <v>0</v>
      </c>
    </row>
    <row r="647" spans="2:12" ht="19.5" hidden="1" customHeight="1" x14ac:dyDescent="0.2">
      <c r="C647" s="278" t="s">
        <v>71</v>
      </c>
      <c r="D647" s="279"/>
      <c r="E647" s="42"/>
      <c r="F647" s="26"/>
      <c r="G647" s="27"/>
      <c r="H647" s="26"/>
      <c r="I647" s="32"/>
      <c r="J647" s="33"/>
      <c r="K647" s="32">
        <f t="shared" si="17"/>
        <v>0</v>
      </c>
    </row>
    <row r="648" spans="2:12" ht="19.5" hidden="1" customHeight="1" x14ac:dyDescent="0.2">
      <c r="C648" s="278" t="s">
        <v>72</v>
      </c>
      <c r="D648" s="279"/>
      <c r="E648" s="42"/>
      <c r="F648" s="26"/>
      <c r="G648" s="27"/>
      <c r="H648" s="26"/>
      <c r="I648" s="32"/>
      <c r="J648" s="33"/>
      <c r="K648" s="32">
        <f t="shared" si="17"/>
        <v>0</v>
      </c>
    </row>
    <row r="649" spans="2:12" ht="19.5" hidden="1" customHeight="1" x14ac:dyDescent="0.2">
      <c r="C649" s="278" t="s">
        <v>73</v>
      </c>
      <c r="D649" s="279"/>
      <c r="E649" s="42"/>
      <c r="F649" s="26"/>
      <c r="G649" s="27"/>
      <c r="H649" s="26"/>
      <c r="I649" s="32"/>
      <c r="J649" s="33"/>
      <c r="K649" s="32">
        <f t="shared" si="17"/>
        <v>0</v>
      </c>
    </row>
    <row r="650" spans="2:12" ht="19.5" hidden="1" customHeight="1" x14ac:dyDescent="0.2">
      <c r="C650" s="278" t="s">
        <v>74</v>
      </c>
      <c r="D650" s="279"/>
      <c r="E650" s="42"/>
      <c r="F650" s="26"/>
      <c r="G650" s="27"/>
      <c r="H650" s="26"/>
      <c r="I650" s="32"/>
      <c r="J650" s="33"/>
      <c r="K650" s="32">
        <f t="shared" si="17"/>
        <v>0</v>
      </c>
    </row>
    <row r="651" spans="2:12" ht="19.5" hidden="1" customHeight="1" x14ac:dyDescent="0.2">
      <c r="C651" s="278" t="s">
        <v>75</v>
      </c>
      <c r="D651" s="279"/>
      <c r="E651" s="42"/>
      <c r="F651" s="26"/>
      <c r="G651" s="27"/>
      <c r="H651" s="26"/>
      <c r="I651" s="32"/>
      <c r="J651" s="33"/>
      <c r="K651" s="32">
        <f t="shared" si="17"/>
        <v>0</v>
      </c>
    </row>
    <row r="652" spans="2:12" ht="19.5" hidden="1" customHeight="1" thickBot="1" x14ac:dyDescent="0.25">
      <c r="C652" s="278" t="s">
        <v>76</v>
      </c>
      <c r="D652" s="279"/>
      <c r="E652" s="42"/>
      <c r="F652" s="26"/>
      <c r="G652" s="27"/>
      <c r="H652" s="26"/>
      <c r="I652" s="37"/>
      <c r="J652" s="33"/>
      <c r="K652" s="32">
        <f t="shared" si="17"/>
        <v>0</v>
      </c>
    </row>
    <row r="653" spans="2:12" ht="19.5" hidden="1" customHeight="1" thickBot="1" x14ac:dyDescent="0.25">
      <c r="C653" s="193" t="s">
        <v>36</v>
      </c>
      <c r="D653" s="268"/>
      <c r="E653" s="268"/>
      <c r="F653" s="268"/>
      <c r="G653" s="268"/>
      <c r="H653" s="269"/>
      <c r="I653" s="156">
        <f>SUM(I643:I652)</f>
        <v>0</v>
      </c>
      <c r="J653" s="156">
        <f>SUM(J643:J652)</f>
        <v>0</v>
      </c>
      <c r="K653" s="156">
        <f>SUM(K643:K652)</f>
        <v>0</v>
      </c>
    </row>
    <row r="654" spans="2:12" ht="19.5" customHeight="1" thickBot="1" x14ac:dyDescent="0.25">
      <c r="C654" s="274"/>
      <c r="D654" s="275"/>
      <c r="E654" s="275"/>
      <c r="F654" s="275"/>
      <c r="G654" s="275"/>
      <c r="H654" s="275"/>
      <c r="I654" s="275"/>
      <c r="J654" s="275"/>
      <c r="K654" s="275"/>
    </row>
    <row r="655" spans="2:12" s="21" customFormat="1" ht="19.5" customHeight="1" thickBot="1" x14ac:dyDescent="0.25">
      <c r="C655" s="287" t="s">
        <v>29</v>
      </c>
      <c r="D655" s="288"/>
      <c r="E655" s="289"/>
      <c r="F655" s="289"/>
      <c r="G655" s="289"/>
      <c r="H655" s="290"/>
      <c r="I655" s="39">
        <f>I50+I63+I79+I92+I105+I640+I653</f>
        <v>0</v>
      </c>
      <c r="J655" s="39">
        <f>J50+J63+J79+J92+J105+J640+J653</f>
        <v>11988602.93</v>
      </c>
      <c r="K655" s="39">
        <f>K50+K63+K79+K92+K105+K640+K653</f>
        <v>11988602.93</v>
      </c>
    </row>
    <row r="656" spans="2:12" ht="6" customHeight="1" x14ac:dyDescent="0.2">
      <c r="B656" s="22"/>
      <c r="C656" s="22"/>
      <c r="D656" s="22"/>
      <c r="E656" s="22"/>
      <c r="F656" s="22"/>
      <c r="G656" s="22"/>
      <c r="H656" s="22"/>
      <c r="I656" s="22"/>
      <c r="J656" s="22"/>
      <c r="K656" s="22"/>
      <c r="L656" s="22"/>
    </row>
    <row r="657" spans="3:11" x14ac:dyDescent="0.2">
      <c r="C657" s="16"/>
      <c r="D657" s="16"/>
      <c r="E657" s="16"/>
      <c r="F657" s="16"/>
      <c r="G657" s="19"/>
      <c r="H657" s="16"/>
      <c r="I657" s="16"/>
      <c r="J657" s="16"/>
      <c r="K657" s="16"/>
    </row>
    <row r="658" spans="3:11" s="16" customFormat="1" hidden="1" x14ac:dyDescent="0.2">
      <c r="G658" s="19"/>
    </row>
    <row r="659" spans="3:11" s="16" customFormat="1" ht="15.75" hidden="1" x14ac:dyDescent="0.2">
      <c r="C659" s="95" t="s">
        <v>133</v>
      </c>
      <c r="G659" s="19"/>
    </row>
    <row r="660" spans="3:11" s="16" customFormat="1" ht="15" hidden="1" thickBot="1" x14ac:dyDescent="0.25">
      <c r="G660" s="19"/>
    </row>
    <row r="661" spans="3:11" s="21" customFormat="1" ht="32.25" hidden="1" customHeight="1" thickBot="1" x14ac:dyDescent="0.25">
      <c r="C661" s="257" t="s">
        <v>107</v>
      </c>
      <c r="D661" s="257"/>
      <c r="E661" s="257" t="s">
        <v>43</v>
      </c>
      <c r="F661" s="257" t="s">
        <v>44</v>
      </c>
      <c r="G661" s="257" t="s">
        <v>39</v>
      </c>
      <c r="H661" s="226" t="s">
        <v>30</v>
      </c>
      <c r="I661" s="294"/>
      <c r="J661" s="294"/>
      <c r="K661" s="291" t="s">
        <v>41</v>
      </c>
    </row>
    <row r="662" spans="3:11" s="21" customFormat="1" ht="30.75" hidden="1" customHeight="1" thickBot="1" x14ac:dyDescent="0.25">
      <c r="C662" s="258"/>
      <c r="D662" s="258"/>
      <c r="E662" s="258"/>
      <c r="F662" s="258"/>
      <c r="G662" s="258"/>
      <c r="H662" s="227"/>
      <c r="I662" s="295"/>
      <c r="J662" s="295"/>
      <c r="K662" s="292"/>
    </row>
    <row r="663" spans="3:11" s="20" customFormat="1" ht="17.25" hidden="1" customHeight="1" thickBot="1" x14ac:dyDescent="0.25">
      <c r="C663" s="274"/>
      <c r="D663" s="275"/>
      <c r="E663" s="275"/>
      <c r="F663" s="275"/>
      <c r="G663" s="275"/>
      <c r="H663" s="275"/>
      <c r="I663" s="275"/>
      <c r="J663" s="275"/>
      <c r="K663" s="275"/>
    </row>
    <row r="664" spans="3:11" s="20" customFormat="1" ht="17.25" hidden="1" customHeight="1" thickBot="1" x14ac:dyDescent="0.25">
      <c r="C664" s="254" t="s">
        <v>101</v>
      </c>
      <c r="D664" s="255"/>
      <c r="E664" s="255"/>
      <c r="F664" s="255"/>
      <c r="G664" s="255"/>
      <c r="H664" s="255"/>
      <c r="I664" s="255"/>
      <c r="J664" s="255"/>
      <c r="K664" s="256"/>
    </row>
    <row r="665" spans="3:11" ht="19.5" hidden="1" customHeight="1" x14ac:dyDescent="0.2">
      <c r="C665" s="276" t="s">
        <v>91</v>
      </c>
      <c r="D665" s="277"/>
      <c r="E665" s="25"/>
      <c r="F665" s="9"/>
      <c r="G665" s="8"/>
      <c r="H665" s="298"/>
      <c r="I665" s="299"/>
      <c r="J665" s="300"/>
      <c r="K665" s="32">
        <f>I665+J665</f>
        <v>0</v>
      </c>
    </row>
    <row r="666" spans="3:11" ht="19.5" hidden="1" customHeight="1" x14ac:dyDescent="0.2">
      <c r="C666" s="272" t="s">
        <v>92</v>
      </c>
      <c r="D666" s="273"/>
      <c r="E666" s="23"/>
      <c r="F666" s="9"/>
      <c r="G666" s="8"/>
      <c r="H666" s="296"/>
      <c r="I666" s="196"/>
      <c r="J666" s="297"/>
      <c r="K666" s="32">
        <f t="shared" ref="K666:K674" si="18">I666+J666</f>
        <v>0</v>
      </c>
    </row>
    <row r="667" spans="3:11" ht="19.5" hidden="1" customHeight="1" x14ac:dyDescent="0.2">
      <c r="C667" s="272" t="s">
        <v>93</v>
      </c>
      <c r="D667" s="273"/>
      <c r="E667" s="23"/>
      <c r="F667" s="9"/>
      <c r="G667" s="8"/>
      <c r="H667" s="296"/>
      <c r="I667" s="196"/>
      <c r="J667" s="297"/>
      <c r="K667" s="32">
        <f t="shared" si="18"/>
        <v>0</v>
      </c>
    </row>
    <row r="668" spans="3:11" ht="19.5" hidden="1" customHeight="1" x14ac:dyDescent="0.2">
      <c r="C668" s="272" t="s">
        <v>94</v>
      </c>
      <c r="D668" s="273"/>
      <c r="E668" s="23"/>
      <c r="F668" s="9"/>
      <c r="G668" s="8"/>
      <c r="H668" s="296"/>
      <c r="I668" s="196"/>
      <c r="J668" s="297"/>
      <c r="K668" s="32">
        <f t="shared" si="18"/>
        <v>0</v>
      </c>
    </row>
    <row r="669" spans="3:11" ht="19.5" hidden="1" customHeight="1" x14ac:dyDescent="0.2">
      <c r="C669" s="272" t="s">
        <v>95</v>
      </c>
      <c r="D669" s="273"/>
      <c r="E669" s="23"/>
      <c r="F669" s="9"/>
      <c r="G669" s="8"/>
      <c r="H669" s="296"/>
      <c r="I669" s="196"/>
      <c r="J669" s="297"/>
      <c r="K669" s="32">
        <f t="shared" si="18"/>
        <v>0</v>
      </c>
    </row>
    <row r="670" spans="3:11" ht="19.5" hidden="1" customHeight="1" x14ac:dyDescent="0.2">
      <c r="C670" s="272" t="s">
        <v>96</v>
      </c>
      <c r="D670" s="273"/>
      <c r="E670" s="23"/>
      <c r="F670" s="9"/>
      <c r="G670" s="8"/>
      <c r="H670" s="296"/>
      <c r="I670" s="196"/>
      <c r="J670" s="297"/>
      <c r="K670" s="32">
        <f t="shared" si="18"/>
        <v>0</v>
      </c>
    </row>
    <row r="671" spans="3:11" ht="19.5" hidden="1" customHeight="1" x14ac:dyDescent="0.2">
      <c r="C671" s="272" t="s">
        <v>97</v>
      </c>
      <c r="D671" s="273"/>
      <c r="E671" s="23"/>
      <c r="F671" s="9"/>
      <c r="G671" s="8"/>
      <c r="H671" s="296"/>
      <c r="I671" s="196"/>
      <c r="J671" s="297"/>
      <c r="K671" s="32">
        <f t="shared" si="18"/>
        <v>0</v>
      </c>
    </row>
    <row r="672" spans="3:11" ht="19.5" hidden="1" customHeight="1" x14ac:dyDescent="0.2">
      <c r="C672" s="272" t="s">
        <v>98</v>
      </c>
      <c r="D672" s="273"/>
      <c r="E672" s="23"/>
      <c r="F672" s="9"/>
      <c r="G672" s="8"/>
      <c r="H672" s="296"/>
      <c r="I672" s="196"/>
      <c r="J672" s="297"/>
      <c r="K672" s="32">
        <f t="shared" si="18"/>
        <v>0</v>
      </c>
    </row>
    <row r="673" spans="3:11" ht="19.5" hidden="1" customHeight="1" x14ac:dyDescent="0.2">
      <c r="C673" s="272" t="s">
        <v>99</v>
      </c>
      <c r="D673" s="273"/>
      <c r="E673" s="23"/>
      <c r="F673" s="9"/>
      <c r="G673" s="8"/>
      <c r="H673" s="296"/>
      <c r="I673" s="196"/>
      <c r="J673" s="297"/>
      <c r="K673" s="32">
        <f t="shared" si="18"/>
        <v>0</v>
      </c>
    </row>
    <row r="674" spans="3:11" ht="19.5" hidden="1" customHeight="1" thickBot="1" x14ac:dyDescent="0.25">
      <c r="C674" s="272" t="s">
        <v>100</v>
      </c>
      <c r="D674" s="273"/>
      <c r="E674" s="24"/>
      <c r="F674" s="9"/>
      <c r="G674" s="8"/>
      <c r="H674" s="301"/>
      <c r="I674" s="302"/>
      <c r="J674" s="303"/>
      <c r="K674" s="32">
        <f t="shared" si="18"/>
        <v>0</v>
      </c>
    </row>
    <row r="675" spans="3:11" s="21" customFormat="1" ht="19.5" hidden="1" customHeight="1" thickBot="1" x14ac:dyDescent="0.25">
      <c r="C675" s="193" t="s">
        <v>2</v>
      </c>
      <c r="D675" s="293"/>
      <c r="E675" s="293"/>
      <c r="F675" s="293"/>
      <c r="G675" s="293"/>
      <c r="H675" s="293"/>
      <c r="I675" s="293"/>
      <c r="J675" s="194"/>
      <c r="K675" s="156">
        <f>SUM(K665:K674)</f>
        <v>0</v>
      </c>
    </row>
    <row r="676" spans="3:11" s="16" customFormat="1" hidden="1" x14ac:dyDescent="0.2">
      <c r="G676" s="19"/>
    </row>
    <row r="677" spans="3:11" s="16" customFormat="1" x14ac:dyDescent="0.2">
      <c r="G677" s="19"/>
    </row>
    <row r="678" spans="3:11" s="16" customFormat="1" x14ac:dyDescent="0.2">
      <c r="G678" s="19"/>
    </row>
    <row r="679" spans="3:11" s="16" customFormat="1" x14ac:dyDescent="0.2">
      <c r="G679" s="19"/>
    </row>
    <row r="680" spans="3:11" s="16" customFormat="1" x14ac:dyDescent="0.2">
      <c r="G680" s="19"/>
    </row>
    <row r="681" spans="3:11" s="16" customFormat="1" x14ac:dyDescent="0.2">
      <c r="G681" s="19"/>
    </row>
    <row r="682" spans="3:11" s="16" customFormat="1" x14ac:dyDescent="0.2">
      <c r="G682" s="19"/>
    </row>
    <row r="683" spans="3:11" s="16" customFormat="1" x14ac:dyDescent="0.2">
      <c r="G683" s="19"/>
    </row>
    <row r="684" spans="3:11" s="16" customFormat="1" x14ac:dyDescent="0.2">
      <c r="G684" s="19"/>
    </row>
    <row r="685" spans="3:11" s="16" customFormat="1" x14ac:dyDescent="0.2">
      <c r="G685" s="19"/>
    </row>
    <row r="686" spans="3:11" s="16" customFormat="1" x14ac:dyDescent="0.2">
      <c r="G686" s="19"/>
    </row>
    <row r="687" spans="3:11" s="16" customFormat="1" x14ac:dyDescent="0.2">
      <c r="G687" s="19"/>
    </row>
    <row r="688" spans="3:11" s="16" customFormat="1" x14ac:dyDescent="0.2">
      <c r="G688" s="19"/>
    </row>
    <row r="689" spans="7:7" s="16" customFormat="1" x14ac:dyDescent="0.2">
      <c r="G689" s="19"/>
    </row>
    <row r="690" spans="7:7" s="16" customFormat="1" x14ac:dyDescent="0.2">
      <c r="G690" s="19"/>
    </row>
    <row r="691" spans="7:7" s="16" customFormat="1" x14ac:dyDescent="0.2">
      <c r="G691" s="19"/>
    </row>
    <row r="692" spans="7:7" s="16" customFormat="1" x14ac:dyDescent="0.2">
      <c r="G692" s="19"/>
    </row>
    <row r="693" spans="7:7" s="16" customFormat="1" x14ac:dyDescent="0.2">
      <c r="G693" s="19"/>
    </row>
    <row r="694" spans="7:7" s="16" customFormat="1" x14ac:dyDescent="0.2">
      <c r="G694" s="19"/>
    </row>
    <row r="695" spans="7:7" s="16" customFormat="1" x14ac:dyDescent="0.2">
      <c r="G695" s="19"/>
    </row>
    <row r="696" spans="7:7" s="16" customFormat="1" x14ac:dyDescent="0.2">
      <c r="G696" s="19"/>
    </row>
    <row r="697" spans="7:7" s="16" customFormat="1" x14ac:dyDescent="0.2">
      <c r="G697" s="19"/>
    </row>
    <row r="698" spans="7:7" s="16" customFormat="1" x14ac:dyDescent="0.2">
      <c r="G698" s="19"/>
    </row>
    <row r="699" spans="7:7" s="16" customFormat="1" x14ac:dyDescent="0.2">
      <c r="G699" s="19"/>
    </row>
    <row r="700" spans="7:7" s="16" customFormat="1" x14ac:dyDescent="0.2">
      <c r="G700" s="19"/>
    </row>
    <row r="701" spans="7:7" s="16" customFormat="1" x14ac:dyDescent="0.2">
      <c r="G701" s="19"/>
    </row>
  </sheetData>
  <sheetProtection insertRows="0"/>
  <protectedRanges>
    <protectedRange password="CC9E" sqref="A50:IV52 A63:IV68 A79:IV81 A92:IV94 A661:IV664 A675:IV675 A640:IV642 A653:B660 C653:C657 C659:C660 A676:C834 A105:IV107 E656:AO66085 D653:IV834 A1:A66085 A1:IV8 F9:AO48 E49:AO654" name="Rango1"/>
    <protectedRange password="CC9E" sqref="E9:E48" name="Rango2"/>
    <protectedRange password="CC9E" sqref="E9:E48" name="Rango1_1"/>
  </protectedRanges>
  <mergeCells count="689">
    <mergeCell ref="C527:D527"/>
    <mergeCell ref="C528:D528"/>
    <mergeCell ref="C529:D529"/>
    <mergeCell ref="C530:D530"/>
    <mergeCell ref="C531:D531"/>
    <mergeCell ref="C532:D532"/>
    <mergeCell ref="C518:D518"/>
    <mergeCell ref="C519:D519"/>
    <mergeCell ref="C520:D520"/>
    <mergeCell ref="C521:D521"/>
    <mergeCell ref="C522:D522"/>
    <mergeCell ref="C523:D523"/>
    <mergeCell ref="C524:D524"/>
    <mergeCell ref="C525:D525"/>
    <mergeCell ref="C526:D526"/>
    <mergeCell ref="C509:D509"/>
    <mergeCell ref="C510:D510"/>
    <mergeCell ref="C511:D511"/>
    <mergeCell ref="C512:D512"/>
    <mergeCell ref="C513:D513"/>
    <mergeCell ref="C514:D514"/>
    <mergeCell ref="C515:D515"/>
    <mergeCell ref="C516:D516"/>
    <mergeCell ref="C517:D517"/>
    <mergeCell ref="C500:D500"/>
    <mergeCell ref="C501:D501"/>
    <mergeCell ref="C502:D502"/>
    <mergeCell ref="C503:D503"/>
    <mergeCell ref="C504:D504"/>
    <mergeCell ref="C505:D505"/>
    <mergeCell ref="C506:D506"/>
    <mergeCell ref="C507:D507"/>
    <mergeCell ref="C508:D508"/>
    <mergeCell ref="C491:D491"/>
    <mergeCell ref="C492:D492"/>
    <mergeCell ref="C493:D493"/>
    <mergeCell ref="C494:D494"/>
    <mergeCell ref="C495:D495"/>
    <mergeCell ref="C496:D496"/>
    <mergeCell ref="C497:D497"/>
    <mergeCell ref="C498:D498"/>
    <mergeCell ref="C499:D499"/>
    <mergeCell ref="C482:D482"/>
    <mergeCell ref="C483:D483"/>
    <mergeCell ref="C484:D484"/>
    <mergeCell ref="C485:D485"/>
    <mergeCell ref="C486:D486"/>
    <mergeCell ref="C487:D487"/>
    <mergeCell ref="C488:D488"/>
    <mergeCell ref="C489:D489"/>
    <mergeCell ref="C490:D490"/>
    <mergeCell ref="C473:D473"/>
    <mergeCell ref="C474:D474"/>
    <mergeCell ref="C475:D475"/>
    <mergeCell ref="C476:D476"/>
    <mergeCell ref="C477:D477"/>
    <mergeCell ref="C478:D478"/>
    <mergeCell ref="C479:D479"/>
    <mergeCell ref="C480:D480"/>
    <mergeCell ref="C481:D481"/>
    <mergeCell ref="C464:D464"/>
    <mergeCell ref="C465:D465"/>
    <mergeCell ref="C466:D466"/>
    <mergeCell ref="C467:D467"/>
    <mergeCell ref="C468:D468"/>
    <mergeCell ref="C469:D469"/>
    <mergeCell ref="C470:D470"/>
    <mergeCell ref="C471:D471"/>
    <mergeCell ref="C472:D472"/>
    <mergeCell ref="C455:D455"/>
    <mergeCell ref="C456:D456"/>
    <mergeCell ref="C457:D457"/>
    <mergeCell ref="C458:D458"/>
    <mergeCell ref="C459:D459"/>
    <mergeCell ref="C460:D460"/>
    <mergeCell ref="C461:D461"/>
    <mergeCell ref="C462:D462"/>
    <mergeCell ref="C463:D463"/>
    <mergeCell ref="C446:D446"/>
    <mergeCell ref="C447:D447"/>
    <mergeCell ref="C448:D448"/>
    <mergeCell ref="C449:D449"/>
    <mergeCell ref="C450:D450"/>
    <mergeCell ref="C451:D451"/>
    <mergeCell ref="C452:D452"/>
    <mergeCell ref="C453:D453"/>
    <mergeCell ref="C454:D454"/>
    <mergeCell ref="C437:D437"/>
    <mergeCell ref="C438:D438"/>
    <mergeCell ref="C439:D439"/>
    <mergeCell ref="C440:D440"/>
    <mergeCell ref="C441:D441"/>
    <mergeCell ref="C442:D442"/>
    <mergeCell ref="C443:D443"/>
    <mergeCell ref="C444:D444"/>
    <mergeCell ref="C445:D445"/>
    <mergeCell ref="C428:D428"/>
    <mergeCell ref="C429:D429"/>
    <mergeCell ref="C430:D430"/>
    <mergeCell ref="C431:D431"/>
    <mergeCell ref="C432:D432"/>
    <mergeCell ref="C433:D433"/>
    <mergeCell ref="C434:D434"/>
    <mergeCell ref="C435:D435"/>
    <mergeCell ref="C436:D436"/>
    <mergeCell ref="C419:D419"/>
    <mergeCell ref="C420:D420"/>
    <mergeCell ref="C421:D421"/>
    <mergeCell ref="C422:D422"/>
    <mergeCell ref="C423:D423"/>
    <mergeCell ref="C424:D424"/>
    <mergeCell ref="C425:D425"/>
    <mergeCell ref="C426:D426"/>
    <mergeCell ref="C427:D427"/>
    <mergeCell ref="C410:D410"/>
    <mergeCell ref="C411:D411"/>
    <mergeCell ref="C412:D412"/>
    <mergeCell ref="C413:D413"/>
    <mergeCell ref="C414:D414"/>
    <mergeCell ref="C415:D415"/>
    <mergeCell ref="C416:D416"/>
    <mergeCell ref="C417:D417"/>
    <mergeCell ref="C418:D418"/>
    <mergeCell ref="C401:D401"/>
    <mergeCell ref="C402:D402"/>
    <mergeCell ref="C403:D403"/>
    <mergeCell ref="C404:D404"/>
    <mergeCell ref="C405:D405"/>
    <mergeCell ref="C406:D406"/>
    <mergeCell ref="C407:D407"/>
    <mergeCell ref="C408:D408"/>
    <mergeCell ref="C409:D409"/>
    <mergeCell ref="C392:D392"/>
    <mergeCell ref="C393:D393"/>
    <mergeCell ref="C394:D394"/>
    <mergeCell ref="C395:D395"/>
    <mergeCell ref="C396:D396"/>
    <mergeCell ref="C397:D397"/>
    <mergeCell ref="C398:D398"/>
    <mergeCell ref="C399:D399"/>
    <mergeCell ref="C400:D400"/>
    <mergeCell ref="C383:D383"/>
    <mergeCell ref="C384:D384"/>
    <mergeCell ref="C385:D385"/>
    <mergeCell ref="C386:D386"/>
    <mergeCell ref="C387:D387"/>
    <mergeCell ref="C388:D388"/>
    <mergeCell ref="C389:D389"/>
    <mergeCell ref="C390:D390"/>
    <mergeCell ref="C391:D391"/>
    <mergeCell ref="C374:D374"/>
    <mergeCell ref="C375:D375"/>
    <mergeCell ref="C376:D376"/>
    <mergeCell ref="C377:D377"/>
    <mergeCell ref="C378:D378"/>
    <mergeCell ref="C379:D379"/>
    <mergeCell ref="C380:D380"/>
    <mergeCell ref="C381:D381"/>
    <mergeCell ref="C382:D382"/>
    <mergeCell ref="C365:D365"/>
    <mergeCell ref="C366:D366"/>
    <mergeCell ref="C367:D367"/>
    <mergeCell ref="C368:D368"/>
    <mergeCell ref="C369:D369"/>
    <mergeCell ref="C370:D370"/>
    <mergeCell ref="C371:D371"/>
    <mergeCell ref="C372:D372"/>
    <mergeCell ref="C373:D373"/>
    <mergeCell ref="C356:D356"/>
    <mergeCell ref="C357:D357"/>
    <mergeCell ref="C358:D358"/>
    <mergeCell ref="C359:D359"/>
    <mergeCell ref="C360:D360"/>
    <mergeCell ref="C361:D361"/>
    <mergeCell ref="C362:D362"/>
    <mergeCell ref="C363:D363"/>
    <mergeCell ref="C364:D364"/>
    <mergeCell ref="C347:D347"/>
    <mergeCell ref="C348:D348"/>
    <mergeCell ref="C349:D349"/>
    <mergeCell ref="C350:D350"/>
    <mergeCell ref="C351:D351"/>
    <mergeCell ref="C352:D352"/>
    <mergeCell ref="C353:D353"/>
    <mergeCell ref="C354:D354"/>
    <mergeCell ref="C355:D355"/>
    <mergeCell ref="C338:D338"/>
    <mergeCell ref="C339:D339"/>
    <mergeCell ref="C340:D340"/>
    <mergeCell ref="C341:D341"/>
    <mergeCell ref="C342:D342"/>
    <mergeCell ref="C343:D343"/>
    <mergeCell ref="C344:D344"/>
    <mergeCell ref="C345:D345"/>
    <mergeCell ref="C346:D346"/>
    <mergeCell ref="C329:D329"/>
    <mergeCell ref="C330:D330"/>
    <mergeCell ref="C331:D331"/>
    <mergeCell ref="C332:D332"/>
    <mergeCell ref="C333:D333"/>
    <mergeCell ref="C334:D334"/>
    <mergeCell ref="C335:D335"/>
    <mergeCell ref="C336:D336"/>
    <mergeCell ref="C337:D337"/>
    <mergeCell ref="C320:D320"/>
    <mergeCell ref="C321:D321"/>
    <mergeCell ref="C322:D322"/>
    <mergeCell ref="C323:D323"/>
    <mergeCell ref="C324:D324"/>
    <mergeCell ref="C325:D325"/>
    <mergeCell ref="C326:D326"/>
    <mergeCell ref="C327:D327"/>
    <mergeCell ref="C328:D328"/>
    <mergeCell ref="C311:D311"/>
    <mergeCell ref="C312:D312"/>
    <mergeCell ref="C313:D313"/>
    <mergeCell ref="C314:D314"/>
    <mergeCell ref="C315:D315"/>
    <mergeCell ref="C316:D316"/>
    <mergeCell ref="C317:D317"/>
    <mergeCell ref="C318:D318"/>
    <mergeCell ref="C319:D319"/>
    <mergeCell ref="C302:D302"/>
    <mergeCell ref="C303:D303"/>
    <mergeCell ref="C304:D304"/>
    <mergeCell ref="C305:D305"/>
    <mergeCell ref="C306:D306"/>
    <mergeCell ref="C307:D307"/>
    <mergeCell ref="C308:D308"/>
    <mergeCell ref="C309:D309"/>
    <mergeCell ref="C310:D310"/>
    <mergeCell ref="C293:D293"/>
    <mergeCell ref="C294:D294"/>
    <mergeCell ref="C295:D295"/>
    <mergeCell ref="C296:D296"/>
    <mergeCell ref="C297:D297"/>
    <mergeCell ref="C298:D298"/>
    <mergeCell ref="C299:D299"/>
    <mergeCell ref="C300:D300"/>
    <mergeCell ref="C301:D301"/>
    <mergeCell ref="C284:D284"/>
    <mergeCell ref="C285:D285"/>
    <mergeCell ref="C286:D286"/>
    <mergeCell ref="C287:D287"/>
    <mergeCell ref="C288:D288"/>
    <mergeCell ref="C289:D289"/>
    <mergeCell ref="C290:D290"/>
    <mergeCell ref="C291:D291"/>
    <mergeCell ref="C292:D292"/>
    <mergeCell ref="C275:D275"/>
    <mergeCell ref="C276:D276"/>
    <mergeCell ref="C277:D277"/>
    <mergeCell ref="C278:D278"/>
    <mergeCell ref="C279:D279"/>
    <mergeCell ref="C280:D280"/>
    <mergeCell ref="C281:D281"/>
    <mergeCell ref="C282:D282"/>
    <mergeCell ref="C283:D283"/>
    <mergeCell ref="C266:D266"/>
    <mergeCell ref="C267:D267"/>
    <mergeCell ref="C268:D268"/>
    <mergeCell ref="C269:D269"/>
    <mergeCell ref="C270:D270"/>
    <mergeCell ref="C271:D271"/>
    <mergeCell ref="C272:D272"/>
    <mergeCell ref="C273:D273"/>
    <mergeCell ref="C274:D274"/>
    <mergeCell ref="C257:D257"/>
    <mergeCell ref="C258:D258"/>
    <mergeCell ref="C259:D259"/>
    <mergeCell ref="C260:D260"/>
    <mergeCell ref="C261:D261"/>
    <mergeCell ref="C262:D262"/>
    <mergeCell ref="C263:D263"/>
    <mergeCell ref="C264:D264"/>
    <mergeCell ref="C265:D265"/>
    <mergeCell ref="C248:D248"/>
    <mergeCell ref="C249:D249"/>
    <mergeCell ref="C250:D250"/>
    <mergeCell ref="C251:D251"/>
    <mergeCell ref="C252:D252"/>
    <mergeCell ref="C253:D253"/>
    <mergeCell ref="C254:D254"/>
    <mergeCell ref="C255:D255"/>
    <mergeCell ref="C256:D256"/>
    <mergeCell ref="C239:D239"/>
    <mergeCell ref="C240:D240"/>
    <mergeCell ref="C241:D241"/>
    <mergeCell ref="C242:D242"/>
    <mergeCell ref="C243:D243"/>
    <mergeCell ref="C244:D244"/>
    <mergeCell ref="C245:D245"/>
    <mergeCell ref="C246:D246"/>
    <mergeCell ref="C247:D247"/>
    <mergeCell ref="C230:D230"/>
    <mergeCell ref="C231:D231"/>
    <mergeCell ref="C232:D232"/>
    <mergeCell ref="C233:D233"/>
    <mergeCell ref="C234:D234"/>
    <mergeCell ref="C235:D235"/>
    <mergeCell ref="C236:D236"/>
    <mergeCell ref="C237:D237"/>
    <mergeCell ref="C238:D238"/>
    <mergeCell ref="C221:D221"/>
    <mergeCell ref="C222:D222"/>
    <mergeCell ref="C223:D223"/>
    <mergeCell ref="C224:D224"/>
    <mergeCell ref="C225:D225"/>
    <mergeCell ref="C226:D226"/>
    <mergeCell ref="C227:D227"/>
    <mergeCell ref="C228:D228"/>
    <mergeCell ref="C229:D229"/>
    <mergeCell ref="C212:D212"/>
    <mergeCell ref="C213:D213"/>
    <mergeCell ref="C214:D214"/>
    <mergeCell ref="C215:D215"/>
    <mergeCell ref="C216:D216"/>
    <mergeCell ref="C217:D217"/>
    <mergeCell ref="C218:D218"/>
    <mergeCell ref="C219:D219"/>
    <mergeCell ref="C220:D220"/>
    <mergeCell ref="C203:D203"/>
    <mergeCell ref="C204:D204"/>
    <mergeCell ref="C205:D205"/>
    <mergeCell ref="C206:D206"/>
    <mergeCell ref="C207:D207"/>
    <mergeCell ref="C208:D208"/>
    <mergeCell ref="C209:D209"/>
    <mergeCell ref="C210:D210"/>
    <mergeCell ref="C211:D211"/>
    <mergeCell ref="C194:D194"/>
    <mergeCell ref="C195:D195"/>
    <mergeCell ref="C196:D196"/>
    <mergeCell ref="C197:D197"/>
    <mergeCell ref="C198:D198"/>
    <mergeCell ref="C199:D199"/>
    <mergeCell ref="C200:D200"/>
    <mergeCell ref="C201:D201"/>
    <mergeCell ref="C202:D202"/>
    <mergeCell ref="C185:D185"/>
    <mergeCell ref="C186:D186"/>
    <mergeCell ref="C187:D187"/>
    <mergeCell ref="C188:D188"/>
    <mergeCell ref="C189:D189"/>
    <mergeCell ref="C190:D190"/>
    <mergeCell ref="C191:D191"/>
    <mergeCell ref="C192:D192"/>
    <mergeCell ref="C193:D193"/>
    <mergeCell ref="C176:D176"/>
    <mergeCell ref="C177:D177"/>
    <mergeCell ref="C178:D178"/>
    <mergeCell ref="C179:D179"/>
    <mergeCell ref="C180:D180"/>
    <mergeCell ref="C181:D181"/>
    <mergeCell ref="C182:D182"/>
    <mergeCell ref="C183:D183"/>
    <mergeCell ref="C184:D184"/>
    <mergeCell ref="C167:D167"/>
    <mergeCell ref="C168:D168"/>
    <mergeCell ref="C169:D169"/>
    <mergeCell ref="C170:D170"/>
    <mergeCell ref="C171:D171"/>
    <mergeCell ref="C172:D172"/>
    <mergeCell ref="C173:D173"/>
    <mergeCell ref="C174:D174"/>
    <mergeCell ref="C175:D175"/>
    <mergeCell ref="C158:D158"/>
    <mergeCell ref="C159:D159"/>
    <mergeCell ref="C160:D160"/>
    <mergeCell ref="C161:D161"/>
    <mergeCell ref="C162:D162"/>
    <mergeCell ref="C163:D163"/>
    <mergeCell ref="C164:D164"/>
    <mergeCell ref="C165:D165"/>
    <mergeCell ref="C166:D166"/>
    <mergeCell ref="C149:D149"/>
    <mergeCell ref="C150:D150"/>
    <mergeCell ref="C151:D151"/>
    <mergeCell ref="C152:D152"/>
    <mergeCell ref="C153:D153"/>
    <mergeCell ref="C154:D154"/>
    <mergeCell ref="C155:D155"/>
    <mergeCell ref="C156:D156"/>
    <mergeCell ref="C157:D157"/>
    <mergeCell ref="C140:D140"/>
    <mergeCell ref="C141:D141"/>
    <mergeCell ref="C142:D142"/>
    <mergeCell ref="C143:D143"/>
    <mergeCell ref="C144:D144"/>
    <mergeCell ref="C145:D145"/>
    <mergeCell ref="C146:D146"/>
    <mergeCell ref="C147:D147"/>
    <mergeCell ref="C148:D148"/>
    <mergeCell ref="C131:D131"/>
    <mergeCell ref="C132:D132"/>
    <mergeCell ref="C133:D133"/>
    <mergeCell ref="C134:D134"/>
    <mergeCell ref="C135:D135"/>
    <mergeCell ref="C136:D136"/>
    <mergeCell ref="C137:D137"/>
    <mergeCell ref="C138:D138"/>
    <mergeCell ref="C139:D139"/>
    <mergeCell ref="C122:D122"/>
    <mergeCell ref="C123:D123"/>
    <mergeCell ref="C124:D124"/>
    <mergeCell ref="C125:D125"/>
    <mergeCell ref="C126:D126"/>
    <mergeCell ref="C127:D127"/>
    <mergeCell ref="C128:D128"/>
    <mergeCell ref="C129:D129"/>
    <mergeCell ref="C130:D130"/>
    <mergeCell ref="C113:D113"/>
    <mergeCell ref="C114:D114"/>
    <mergeCell ref="C115:D115"/>
    <mergeCell ref="C116:D116"/>
    <mergeCell ref="C117:D117"/>
    <mergeCell ref="C118:D118"/>
    <mergeCell ref="C119:D119"/>
    <mergeCell ref="C120:D120"/>
    <mergeCell ref="C121:D121"/>
    <mergeCell ref="C36:D36"/>
    <mergeCell ref="C42:D42"/>
    <mergeCell ref="C43:D43"/>
    <mergeCell ref="C44:D44"/>
    <mergeCell ref="C45:D45"/>
    <mergeCell ref="C109:D109"/>
    <mergeCell ref="C110:D110"/>
    <mergeCell ref="C111:D111"/>
    <mergeCell ref="C112:D112"/>
    <mergeCell ref="C627:D627"/>
    <mergeCell ref="C628:D628"/>
    <mergeCell ref="C629:D629"/>
    <mergeCell ref="C630:D630"/>
    <mergeCell ref="C631:D631"/>
    <mergeCell ref="C617:D617"/>
    <mergeCell ref="C618:D618"/>
    <mergeCell ref="C619:D619"/>
    <mergeCell ref="C620:D620"/>
    <mergeCell ref="C621:D621"/>
    <mergeCell ref="C622:D622"/>
    <mergeCell ref="C624:D624"/>
    <mergeCell ref="C625:D625"/>
    <mergeCell ref="C626:D626"/>
    <mergeCell ref="C608:D608"/>
    <mergeCell ref="C609:D609"/>
    <mergeCell ref="C610:D610"/>
    <mergeCell ref="C611:D611"/>
    <mergeCell ref="C612:D612"/>
    <mergeCell ref="C613:D613"/>
    <mergeCell ref="C614:D614"/>
    <mergeCell ref="C615:D615"/>
    <mergeCell ref="C616:D616"/>
    <mergeCell ref="C599:D599"/>
    <mergeCell ref="C600:D600"/>
    <mergeCell ref="C601:D601"/>
    <mergeCell ref="C602:D602"/>
    <mergeCell ref="C603:D603"/>
    <mergeCell ref="C604:D604"/>
    <mergeCell ref="C605:D605"/>
    <mergeCell ref="C606:D606"/>
    <mergeCell ref="C607:D607"/>
    <mergeCell ref="C590:D590"/>
    <mergeCell ref="C591:D591"/>
    <mergeCell ref="C592:D592"/>
    <mergeCell ref="C593:D593"/>
    <mergeCell ref="C594:D594"/>
    <mergeCell ref="C595:D595"/>
    <mergeCell ref="C596:D596"/>
    <mergeCell ref="C597:D597"/>
    <mergeCell ref="C598:D598"/>
    <mergeCell ref="C581:D581"/>
    <mergeCell ref="C582:D582"/>
    <mergeCell ref="C583:D583"/>
    <mergeCell ref="C584:D584"/>
    <mergeCell ref="C585:D585"/>
    <mergeCell ref="C586:D586"/>
    <mergeCell ref="C587:D587"/>
    <mergeCell ref="C588:D588"/>
    <mergeCell ref="C589:D589"/>
    <mergeCell ref="C572:D572"/>
    <mergeCell ref="C573:D573"/>
    <mergeCell ref="C574:D574"/>
    <mergeCell ref="C575:D575"/>
    <mergeCell ref="C576:D576"/>
    <mergeCell ref="C577:D577"/>
    <mergeCell ref="C578:D578"/>
    <mergeCell ref="C579:D579"/>
    <mergeCell ref="C580:D580"/>
    <mergeCell ref="C563:D563"/>
    <mergeCell ref="C564:D564"/>
    <mergeCell ref="C565:D565"/>
    <mergeCell ref="C566:D566"/>
    <mergeCell ref="C567:D567"/>
    <mergeCell ref="C568:D568"/>
    <mergeCell ref="C569:D569"/>
    <mergeCell ref="C570:D570"/>
    <mergeCell ref="C571:D571"/>
    <mergeCell ref="C651:D651"/>
    <mergeCell ref="C106:K106"/>
    <mergeCell ref="C107:K107"/>
    <mergeCell ref="C108:D108"/>
    <mergeCell ref="C623:D623"/>
    <mergeCell ref="C632:D632"/>
    <mergeCell ref="C633:D633"/>
    <mergeCell ref="C634:D634"/>
    <mergeCell ref="C104:D104"/>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92:H92"/>
    <mergeCell ref="C93:K93"/>
    <mergeCell ref="C94:K94"/>
    <mergeCell ref="C105:H105"/>
    <mergeCell ref="C649:D649"/>
    <mergeCell ref="C650:D650"/>
    <mergeCell ref="C644:D644"/>
    <mergeCell ref="C645:D645"/>
    <mergeCell ref="C647:D6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675:J675"/>
    <mergeCell ref="H661:J662"/>
    <mergeCell ref="H673:J673"/>
    <mergeCell ref="C670:D670"/>
    <mergeCell ref="C671:D671"/>
    <mergeCell ref="C673:D673"/>
    <mergeCell ref="C674:D674"/>
    <mergeCell ref="C663:K663"/>
    <mergeCell ref="C664:K664"/>
    <mergeCell ref="H665:J665"/>
    <mergeCell ref="H666:J666"/>
    <mergeCell ref="H667:J667"/>
    <mergeCell ref="H668:J668"/>
    <mergeCell ref="C672:D672"/>
    <mergeCell ref="H671:J671"/>
    <mergeCell ref="C669:D669"/>
    <mergeCell ref="C668:D668"/>
    <mergeCell ref="H669:J669"/>
    <mergeCell ref="H670:J670"/>
    <mergeCell ref="H674:J674"/>
    <mergeCell ref="C665:D665"/>
    <mergeCell ref="C666:D666"/>
    <mergeCell ref="C667:D667"/>
    <mergeCell ref="H672:J672"/>
    <mergeCell ref="C88:D88"/>
    <mergeCell ref="C89:D89"/>
    <mergeCell ref="G661:G662"/>
    <mergeCell ref="C652:D652"/>
    <mergeCell ref="C653:H653"/>
    <mergeCell ref="C654:K654"/>
    <mergeCell ref="C655:H655"/>
    <mergeCell ref="K661:K662"/>
    <mergeCell ref="C636:D636"/>
    <mergeCell ref="C637:D637"/>
    <mergeCell ref="C646:D646"/>
    <mergeCell ref="C640:H640"/>
    <mergeCell ref="C638:D638"/>
    <mergeCell ref="C641:K641"/>
    <mergeCell ref="C642:K642"/>
    <mergeCell ref="C643:D643"/>
    <mergeCell ref="C639:D639"/>
    <mergeCell ref="C98:D98"/>
    <mergeCell ref="C90:D90"/>
    <mergeCell ref="C91:D91"/>
    <mergeCell ref="C661:D662"/>
    <mergeCell ref="E661:E662"/>
    <mergeCell ref="F661:F662"/>
    <mergeCell ref="C648:D648"/>
    <mergeCell ref="C73:D73"/>
    <mergeCell ref="C74:D74"/>
    <mergeCell ref="C75:D75"/>
    <mergeCell ref="C635:D635"/>
    <mergeCell ref="C95:D95"/>
    <mergeCell ref="C96:D96"/>
    <mergeCell ref="C97:D97"/>
    <mergeCell ref="C99:D99"/>
    <mergeCell ref="C100:D100"/>
    <mergeCell ref="C80:K80"/>
    <mergeCell ref="C81:K81"/>
    <mergeCell ref="C76:D76"/>
    <mergeCell ref="C77:D77"/>
    <mergeCell ref="C83:D83"/>
    <mergeCell ref="C79:H79"/>
    <mergeCell ref="C78:D78"/>
    <mergeCell ref="C82:D82"/>
    <mergeCell ref="C84:D84"/>
    <mergeCell ref="C85:D85"/>
    <mergeCell ref="C86:D86"/>
    <mergeCell ref="C87:D87"/>
    <mergeCell ref="C101:D101"/>
    <mergeCell ref="C102:D102"/>
    <mergeCell ref="C103:D103"/>
    <mergeCell ref="C60:D60"/>
    <mergeCell ref="C56:D56"/>
    <mergeCell ref="C63:H63"/>
    <mergeCell ref="C50:H50"/>
    <mergeCell ref="C54:D54"/>
    <mergeCell ref="C59:D59"/>
    <mergeCell ref="C40:D40"/>
    <mergeCell ref="C41:D41"/>
    <mergeCell ref="C72:D72"/>
    <mergeCell ref="C67:K67"/>
    <mergeCell ref="C68:K68"/>
    <mergeCell ref="C69:D69"/>
    <mergeCell ref="C70:D70"/>
    <mergeCell ref="C71:D71"/>
    <mergeCell ref="C64:K64"/>
    <mergeCell ref="C65:D66"/>
    <mergeCell ref="E65:E66"/>
    <mergeCell ref="F65:F66"/>
    <mergeCell ref="G65:G66"/>
    <mergeCell ref="C62:D62"/>
    <mergeCell ref="C61:D61"/>
    <mergeCell ref="I65:K65"/>
    <mergeCell ref="H65:H66"/>
    <mergeCell ref="C58:D58"/>
    <mergeCell ref="C55:D55"/>
    <mergeCell ref="I5:K5"/>
    <mergeCell ref="C57:D57"/>
    <mergeCell ref="C9:D9"/>
    <mergeCell ref="C37:D37"/>
    <mergeCell ref="C49:D49"/>
    <mergeCell ref="C48:D48"/>
    <mergeCell ref="C52:K52"/>
    <mergeCell ref="C51:K51"/>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F1:H1"/>
    <mergeCell ref="C47:D47"/>
    <mergeCell ref="C46:D46"/>
    <mergeCell ref="C53:D53"/>
    <mergeCell ref="C38:D38"/>
    <mergeCell ref="C39:D39"/>
    <mergeCell ref="C8:K8"/>
    <mergeCell ref="F5:F6"/>
    <mergeCell ref="G5:G6"/>
    <mergeCell ref="H5:H6"/>
    <mergeCell ref="E5:E6"/>
    <mergeCell ref="C5:D6"/>
    <mergeCell ref="C7:K7"/>
    <mergeCell ref="C25:D25"/>
    <mergeCell ref="C26:D26"/>
    <mergeCell ref="C27:D27"/>
    <mergeCell ref="C28:D28"/>
    <mergeCell ref="C29:D29"/>
    <mergeCell ref="C30:D30"/>
    <mergeCell ref="C31:D31"/>
    <mergeCell ref="C32:D32"/>
    <mergeCell ref="C33:D33"/>
    <mergeCell ref="C34:D34"/>
    <mergeCell ref="C35:D35"/>
  </mergeCells>
  <phoneticPr fontId="2" type="noConversion"/>
  <conditionalFormatting sqref="G53:H62 I53:K63 G69:H78 I69:K79 G82:H91 I82:K92 I95:K105 G108:H639 G643:H652 I643:K653 I655:K655 G9:H49 I9:K50 I108:K640">
    <cfRule type="cellIs" dxfId="1" priority="2" stopIfTrue="1" operator="equal">
      <formula>"X"</formula>
    </cfRule>
  </conditionalFormatting>
  <conditionalFormatting sqref="G665:H674 K665:K675">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Lourdes CARNERO</cp:lastModifiedBy>
  <cp:lastPrinted>2023-03-29T15:00:05Z</cp:lastPrinted>
  <dcterms:created xsi:type="dcterms:W3CDTF">2004-10-21T15:52:29Z</dcterms:created>
  <dcterms:modified xsi:type="dcterms:W3CDTF">2025-09-30T13:03:00Z</dcterms:modified>
</cp:coreProperties>
</file>