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1\04 CERTIFICADORA\02 MEMORIAS\INTOPQUERE\01. INFO ENVIADA\01. Envío 01\02 Anexo II\"/>
    </mc:Choice>
  </mc:AlternateContent>
  <bookViews>
    <workbookView xWindow="0" yWindow="0" windowWidth="19200" windowHeight="6930" tabRatio="835" activeTab="2"/>
  </bookViews>
  <sheets>
    <sheet name="Datos solicitud" sheetId="45" r:id="rId1"/>
    <sheet name="Instrucciones" sheetId="47" state="hidden"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state="hidden"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38" l="1"/>
  <c r="H11" i="38"/>
  <c r="H12" i="38"/>
  <c r="H13" i="38"/>
  <c r="H14" i="38"/>
  <c r="H15" i="38"/>
  <c r="H16" i="38"/>
  <c r="H17" i="38"/>
  <c r="H9" i="38"/>
  <c r="U96" i="38" l="1"/>
  <c r="K79" i="38" l="1"/>
  <c r="K80" i="38"/>
  <c r="K81" i="38"/>
  <c r="K82" i="38"/>
  <c r="K83" i="38"/>
  <c r="K84" i="38"/>
  <c r="K85" i="38"/>
  <c r="K86" i="38"/>
  <c r="K87" i="38"/>
  <c r="K88" i="38"/>
  <c r="K89" i="38"/>
  <c r="K90" i="38"/>
  <c r="K91" i="38"/>
  <c r="K92" i="38"/>
  <c r="K93" i="38"/>
  <c r="K94" i="38"/>
  <c r="K95" i="38"/>
  <c r="K96" i="38"/>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K37" i="27" s="1"/>
  <c r="G36" i="27"/>
  <c r="J36" i="27" s="1"/>
  <c r="F36" i="27"/>
  <c r="F35" i="27"/>
  <c r="H35" i="27"/>
  <c r="H37" i="27" s="1"/>
  <c r="I10" i="39"/>
  <c r="F10" i="39"/>
  <c r="J10" i="39" s="1"/>
  <c r="H16" i="39"/>
  <c r="G16" i="39"/>
  <c r="I14" i="39"/>
  <c r="E16" i="39"/>
  <c r="D16" i="39"/>
  <c r="F14" i="39"/>
  <c r="J14" i="39" s="1"/>
  <c r="K131" i="38"/>
  <c r="K130" i="38"/>
  <c r="K129" i="38"/>
  <c r="K128" i="38"/>
  <c r="K127" i="38"/>
  <c r="K126" i="38"/>
  <c r="K125" i="38"/>
  <c r="K124" i="38"/>
  <c r="K123" i="38"/>
  <c r="K122" i="38"/>
  <c r="S31" i="43"/>
  <c r="U31" i="43" s="1"/>
  <c r="I18" i="41"/>
  <c r="P31" i="43"/>
  <c r="M31" i="43"/>
  <c r="G18" i="41" s="1"/>
  <c r="J31" i="43"/>
  <c r="L31" i="43" s="1"/>
  <c r="G31" i="43"/>
  <c r="E19" i="40" s="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103" i="38"/>
  <c r="F12" i="32"/>
  <c r="K102" i="38"/>
  <c r="K23" i="38"/>
  <c r="K24" i="38"/>
  <c r="K25" i="38"/>
  <c r="K26" i="38"/>
  <c r="K27" i="38"/>
  <c r="K28" i="38"/>
  <c r="K29" i="38"/>
  <c r="K30" i="38"/>
  <c r="K31" i="38"/>
  <c r="K22" i="38"/>
  <c r="J19" i="38"/>
  <c r="J48" i="38"/>
  <c r="J61" i="38"/>
  <c r="J74" i="38"/>
  <c r="J97" i="38"/>
  <c r="J110"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77" i="38"/>
  <c r="K78" i="38"/>
  <c r="K100" i="38"/>
  <c r="K101" i="38"/>
  <c r="K104" i="38"/>
  <c r="K105" i="38"/>
  <c r="K106" i="38"/>
  <c r="K107" i="38"/>
  <c r="K108" i="38"/>
  <c r="K109" i="38"/>
  <c r="I19" i="38"/>
  <c r="I32" i="38"/>
  <c r="I48" i="38"/>
  <c r="I61" i="38"/>
  <c r="I74" i="38"/>
  <c r="I97" i="38"/>
  <c r="I110"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s="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E12" i="41" s="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F11" i="41" s="1"/>
  <c r="F12" i="40" s="1"/>
  <c r="K32" i="30"/>
  <c r="F11" i="42" s="1"/>
  <c r="G32" i="30"/>
  <c r="E11" i="41" s="1"/>
  <c r="H32" i="30"/>
  <c r="E11" i="42" s="1"/>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V38" i="28"/>
  <c r="V39" i="28"/>
  <c r="R37" i="28"/>
  <c r="R38" i="28"/>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H37" i="28" s="1"/>
  <c r="F38" i="28"/>
  <c r="F39" i="28"/>
  <c r="G37" i="28"/>
  <c r="G38" i="28"/>
  <c r="G39" i="28"/>
  <c r="L37" i="28"/>
  <c r="L38" i="28"/>
  <c r="L39" i="28"/>
  <c r="M37" i="28"/>
  <c r="N37" i="28" s="1"/>
  <c r="M38" i="28"/>
  <c r="M39" i="28"/>
  <c r="I37" i="28"/>
  <c r="I38" i="28"/>
  <c r="I39" i="28"/>
  <c r="J37" i="28"/>
  <c r="J38" i="28"/>
  <c r="J39" i="28"/>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D11" i="41"/>
  <c r="I19" i="40"/>
  <c r="D11" i="42"/>
  <c r="D9" i="42"/>
  <c r="H11" i="42"/>
  <c r="N38" i="28"/>
  <c r="K39" i="28" l="1"/>
  <c r="G40" i="28"/>
  <c r="D13" i="42" s="1"/>
  <c r="W37" i="28"/>
  <c r="E18" i="41"/>
  <c r="H38" i="28"/>
  <c r="R31" i="32"/>
  <c r="I40" i="28"/>
  <c r="E13" i="41" s="1"/>
  <c r="E14" i="40" s="1"/>
  <c r="I32" i="30"/>
  <c r="O31" i="43"/>
  <c r="T38" i="28"/>
  <c r="F19" i="40"/>
  <c r="I31" i="43"/>
  <c r="F18" i="41"/>
  <c r="G19" i="40"/>
  <c r="P37" i="27"/>
  <c r="K37" i="28"/>
  <c r="U40" i="28"/>
  <c r="N39" i="28"/>
  <c r="W38" i="28"/>
  <c r="F31" i="32"/>
  <c r="L31" i="32"/>
  <c r="F15" i="41"/>
  <c r="F16" i="40" s="1"/>
  <c r="U31" i="32"/>
  <c r="AH37" i="27"/>
  <c r="AD36" i="27"/>
  <c r="K110" i="38"/>
  <c r="K74" i="38"/>
  <c r="K19" i="38"/>
  <c r="K32"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37" i="27"/>
  <c r="Y36" i="27"/>
  <c r="AC37" i="27"/>
  <c r="D9" i="41"/>
  <c r="D10" i="40" s="1"/>
  <c r="K132" i="38"/>
  <c r="K97" i="38"/>
  <c r="K48" i="38"/>
  <c r="E13" i="40"/>
  <c r="D13" i="40"/>
  <c r="H12" i="40"/>
  <c r="E12" i="40"/>
  <c r="I12" i="40"/>
  <c r="F16" i="39"/>
  <c r="J16" i="39" s="1"/>
  <c r="I16" i="39"/>
  <c r="AI35" i="27"/>
  <c r="AA37" i="27"/>
  <c r="O35" i="27"/>
  <c r="I9" i="41"/>
  <c r="V37" i="27"/>
  <c r="E9" i="42"/>
  <c r="G37" i="27"/>
  <c r="J37" i="27" s="1"/>
  <c r="T35" i="27"/>
  <c r="G9" i="41"/>
  <c r="G10" i="40" s="1"/>
  <c r="S37" i="27"/>
  <c r="AE37" i="27"/>
  <c r="Y35" i="27"/>
  <c r="U37" i="27"/>
  <c r="D10" i="41"/>
  <c r="D11" i="40" s="1"/>
  <c r="AF37" i="27"/>
  <c r="I10" i="40"/>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12" i="38"/>
  <c r="H18" i="41"/>
  <c r="R31" i="43"/>
  <c r="H19" i="40"/>
  <c r="I13" i="41"/>
  <c r="R40" i="28"/>
  <c r="F31" i="43"/>
  <c r="I31" i="32"/>
  <c r="E15" i="41"/>
  <c r="E16" i="40" s="1"/>
  <c r="I112" i="38"/>
  <c r="K61" i="38"/>
  <c r="AI37" i="27" l="1"/>
  <c r="K40" i="28"/>
  <c r="W40" i="28"/>
  <c r="D13" i="41"/>
  <c r="D14" i="40" s="1"/>
  <c r="K112" i="38"/>
  <c r="F16" i="42"/>
  <c r="E15" i="40"/>
  <c r="H15" i="40"/>
  <c r="I15" i="40"/>
  <c r="I14" i="40"/>
  <c r="Y37" i="27"/>
  <c r="E16" i="42"/>
  <c r="G14" i="41"/>
  <c r="G15" i="40" s="1"/>
  <c r="H16" i="42"/>
  <c r="N40" i="28"/>
  <c r="F14" i="40"/>
  <c r="AD37" i="27"/>
  <c r="I16" i="42"/>
  <c r="I13" i="40"/>
  <c r="E10" i="40"/>
  <c r="T37" i="27"/>
  <c r="F13" i="40"/>
  <c r="G13" i="41"/>
  <c r="Q40" i="28"/>
  <c r="D14" i="41"/>
  <c r="D15" i="40" s="1"/>
  <c r="D17" i="40" s="1"/>
  <c r="G16" i="42"/>
  <c r="G12" i="40"/>
  <c r="T40" i="28"/>
  <c r="H13" i="41"/>
  <c r="E16" i="41"/>
  <c r="F14" i="41"/>
  <c r="F15" i="40" s="1"/>
  <c r="I16" i="41"/>
  <c r="E17" i="40" l="1"/>
  <c r="I17" i="40"/>
  <c r="D16" i="41"/>
  <c r="G14" i="40"/>
  <c r="G17" i="40" s="1"/>
  <c r="G16" i="41"/>
  <c r="F17" i="40"/>
  <c r="H14" i="40"/>
  <c r="H17" i="40" s="1"/>
  <c r="H16" i="41"/>
  <c r="F16" i="41"/>
</calcChain>
</file>

<file path=xl/sharedStrings.xml><?xml version="1.0" encoding="utf-8"?>
<sst xmlns="http://schemas.openxmlformats.org/spreadsheetml/2006/main" count="496" uniqueCount="227">
  <si>
    <t xml:space="preserve"> Nombre</t>
  </si>
  <si>
    <t xml:space="preserve"> Código
 Recurso</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</si>
  <si>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</si>
  <si>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</si>
  <si>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</si>
  <si>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</si>
  <si>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</si>
  <si>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</si>
  <si>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</si>
  <si>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</si>
  <si>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</si>
  <si>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</si>
  <si>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</si>
  <si>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</si>
  <si>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</si>
  <si>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</si>
  <si>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</si>
  <si>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</si>
  <si>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</si>
  <si>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</si>
  <si>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</si>
  <si>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</si>
  <si>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</si>
  <si>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</si>
  <si>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</si>
  <si>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</si>
  <si>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</si>
  <si>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</si>
  <si>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</si>
  <si>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</si>
  <si>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</si>
  <si>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</si>
  <si>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</si>
  <si>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</si>
  <si>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</si>
  <si>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</si>
  <si>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</si>
  <si>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</si>
  <si>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</si>
  <si>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</si>
  <si>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</si>
  <si>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</si>
  <si>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</si>
  <si>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</si>
  <si>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</si>
  <si>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</si>
  <si>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</si>
  <si>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</si>
  <si>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</si>
  <si>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</si>
  <si>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</si>
  <si>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</si>
  <si>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</si>
  <si>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</si>
  <si>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</si>
  <si>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</si>
  <si>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</si>
  <si>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</si>
  <si>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</si>
  <si>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</si>
  <si>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</si>
  <si>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</si>
  <si>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</si>
  <si>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</si>
  <si>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</si>
  <si>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</si>
  <si>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</si>
  <si>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</si>
  <si>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</si>
  <si>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</si>
  <si>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</si>
  <si>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</si>
  <si>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</si>
  <si>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</si>
  <si>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</si>
  <si>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</si>
  <si>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</si>
  <si>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</si>
  <si>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</si>
  <si>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</si>
  <si>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</si>
  <si>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</si>
  <si>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</si>
  <si>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</si>
  <si>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</si>
  <si>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</si>
  <si>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</si>
  <si>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</si>
  <si>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</si>
  <si>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</si>
  <si>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</si>
  <si>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</si>
  <si>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</si>
  <si>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</si>
  <si>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</si>
  <si>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</si>
  <si>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</si>
  <si>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</si>
  <si>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</si>
  <si>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</si>
  <si>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</si>
  <si>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</si>
  <si>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</si>
  <si>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</si>
  <si>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</si>
  <si>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</si>
  <si>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</si>
  <si>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</si>
  <si>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</si>
  <si>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</si>
  <si>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</si>
  <si>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</si>
  <si>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</si>
  <si>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</si>
  <si>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</si>
  <si>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</si>
  <si>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</si>
  <si>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</si>
  <si>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</si>
  <si>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</si>
  <si>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</si>
  <si>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</si>
  <si>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</si>
  <si>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</si>
  <si>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</si>
  <si>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</si>
  <si>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</si>
  <si>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</si>
  <si>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</si>
  <si>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</si>
  <si>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</si>
  <si>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</si>
  <si>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</si>
  <si>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</si>
  <si>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</si>
  <si>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</si>
  <si>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</si>
  <si>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</si>
  <si>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</si>
  <si>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</si>
  <si>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</si>
  <si>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</si>
  <si>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</si>
  <si>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</si>
  <si>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</si>
  <si>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</si>
  <si>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</si>
  <si>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</si>
  <si>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</si>
  <si>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</si>
  <si>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</si>
  <si>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ORANGE ESPAGNE S.A.U</t>
  </si>
  <si>
    <t>ALBERTO MARGAÑON MENDEZ</t>
  </si>
  <si>
    <t>ANTONIO PULIDO RUIZ</t>
  </si>
  <si>
    <t>BERNARDO PEREZ DOMINGUEZ</t>
  </si>
  <si>
    <t>CALOGERO AVOLA</t>
  </si>
  <si>
    <t>JOSE LUIS VILLARRUBIA TEJERO</t>
  </si>
  <si>
    <t>JOSE RAMON ARNAU RAMIREZ</t>
  </si>
  <si>
    <t>JULIAN GODINO GUTIERREZ</t>
  </si>
  <si>
    <t>MIGUEL ANGEL FERREIRO RODRIGUEZ</t>
  </si>
  <si>
    <t>SUSANA ALVAREZ GONZALEZ</t>
  </si>
  <si>
    <t>Ingeniero Superior en Organización Industrial</t>
  </si>
  <si>
    <t>Ingeniero de Telecomunicaciones</t>
  </si>
  <si>
    <t xml:space="preserve"> 
Ingeniero Técnico industrial, especialidad Eléctrica </t>
  </si>
  <si>
    <t>CFGS Electrónica</t>
  </si>
  <si>
    <t>Accenture, S.L. Sociedad Unipersonal</t>
  </si>
  <si>
    <t>B79217790</t>
  </si>
  <si>
    <t>Altran lnnovacion SLU</t>
  </si>
  <si>
    <t>B80428972</t>
  </si>
  <si>
    <t>Arca Ingenieros y Consultoria, S.L.</t>
  </si>
  <si>
    <t>B96802244</t>
  </si>
  <si>
    <t>Berocam Consulting S.L.</t>
  </si>
  <si>
    <t>B87197539</t>
  </si>
  <si>
    <t>DIVITEL MOVIL, S.L.U.</t>
  </si>
  <si>
    <t>B82783663</t>
  </si>
  <si>
    <t>NTT DATA SPAIN SL</t>
  </si>
  <si>
    <t>B82387770</t>
  </si>
  <si>
    <t>IDC-RNT-CCRR</t>
  </si>
  <si>
    <t>8.11</t>
  </si>
  <si>
    <t>8.12</t>
  </si>
  <si>
    <t>8.13</t>
  </si>
  <si>
    <t>8.14</t>
  </si>
  <si>
    <t>8.15</t>
  </si>
  <si>
    <t>8.16</t>
  </si>
  <si>
    <t>8.17</t>
  </si>
  <si>
    <t>8.18</t>
  </si>
  <si>
    <t>8.19</t>
  </si>
  <si>
    <t>8.20</t>
  </si>
  <si>
    <t>A000051389008438</t>
  </si>
  <si>
    <t>A000051389008609</t>
  </si>
  <si>
    <t>A000051389008610</t>
  </si>
  <si>
    <t>000199</t>
  </si>
  <si>
    <t>213574</t>
  </si>
  <si>
    <t>213577</t>
  </si>
  <si>
    <t>6011603549</t>
  </si>
  <si>
    <t>6011603546</t>
  </si>
  <si>
    <t>6011609224</t>
  </si>
  <si>
    <t>6011611164</t>
  </si>
  <si>
    <t>000132</t>
  </si>
  <si>
    <t>6011616205</t>
  </si>
  <si>
    <t>905496974</t>
  </si>
  <si>
    <t>6011618342</t>
  </si>
  <si>
    <t>213030</t>
  </si>
  <si>
    <t>000177</t>
  </si>
  <si>
    <t>000176</t>
  </si>
  <si>
    <t>6017206527</t>
  </si>
  <si>
    <t>6011621068</t>
  </si>
  <si>
    <t>Ingeniería electrónica y de Comunicaciones</t>
  </si>
  <si>
    <t>Nombre y Apellidos</t>
  </si>
  <si>
    <t>INTOPQUERE</t>
  </si>
  <si>
    <t>Accenture, S.L.</t>
  </si>
  <si>
    <t>C.Externas 2022</t>
  </si>
  <si>
    <t>C.Externas 2023</t>
  </si>
  <si>
    <t>C.Externas 2024</t>
  </si>
  <si>
    <t>Personal 2022</t>
  </si>
  <si>
    <t>Personal 2023</t>
  </si>
  <si>
    <t>Personal 2024</t>
  </si>
  <si>
    <t>Analista procesos Madrid 
Programador UiPath SR Madrid
Programador Nice SR Nearshore / Análisis y reingeniería de procesos y Desarrollo e Implementación / Acrónimo:INTOPQUERE</t>
  </si>
  <si>
    <t>Service Manager
Consultor Senior BI / Análisis y reingeniería de procesos y Desarrollo e Implementación / Acrónimo:INTOPQUERE</t>
  </si>
  <si>
    <t>EVOLUTIVOS PEQUEÑOS &lt; 1 JORNADA LABO
EVOLUTIVOS GRANDES &gt; 3 MAX 5 JORNA
EVOLUTIVOS MEDIANOS &gt; 1 MAX 3 JORN / Análisis y reingeniería de procesos y Desarrollo e Implementación / Acrónimo:INTOPQUERE</t>
  </si>
  <si>
    <t>Desarrollo dashboard 2021. Tracto único / Análisis y reingeniería de procesos y Desarrollo e Implementación / Acrónimo:INTOPQUERE</t>
  </si>
  <si>
    <t>Desarrollo dashboard. Tracto único / Análisis y reingeniería de procesos y Desarrollo e Implementación / Acrónimo:INTOPQUERE</t>
  </si>
  <si>
    <t>Evoluciones Sireny et al.
Línea 0010 - Programming / Análisis y reingeniería de procesos y Desarrollo e Implementación / Acrónimo:INTOPQUERE</t>
  </si>
  <si>
    <t>Desarrollo dashboard 2021 según aceptación de Noviembre 2021.
Tracto único / Análisis y reingeniería de procesos y Desarrollo e Implementación / Acrónimo:INTOPQUERE</t>
  </si>
  <si>
    <t>565000.Tracto sucesivo. / Análisis y reingeniería de procesos y Desarrollo e Implementación / Acrónimo:INTOPQUERE</t>
  </si>
  <si>
    <t>Ingeniero Superior Telecomunicación</t>
  </si>
  <si>
    <t>Ingeniería Informática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</si>
</sst>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31">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76" fontId="3" fillId="0" borderId="4" xfId="0" applyNumberFormat="1" applyFont="1" applyBorder="1" applyAlignment="1" applyProtection="1">
      <alignment horizontal="center" vertical="center" wrapText="1"/>
      <protection locked="0"/>
    </xf>
    <xf numFmtId="170" fontId="8" fillId="0" borderId="21" xfId="0" applyNumberFormat="1" applyFont="1" applyFill="1" applyBorder="1" applyAlignment="1" applyProtection="1">
      <alignment horizontal="left" vertical="center" wrapText="1"/>
      <protection locked="0"/>
    </xf>
    <xf numFmtId="0" fontId="3" fillId="0" borderId="1" xfId="0" applyFont="1" applyFill="1" applyBorder="1" applyAlignment="1" applyProtection="1">
      <alignment horizontal="center" vertical="center"/>
      <protection locked="0"/>
    </xf>
    <xf numFmtId="14" fontId="3" fillId="0" borderId="1" xfId="0" applyNumberFormat="1" applyFont="1" applyFill="1" applyBorder="1" applyAlignment="1" applyProtection="1">
      <alignment horizontal="center" vertical="center"/>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NumberFormat="1" applyFont="1" applyFill="1" applyBorder="1" applyAlignment="1" applyProtection="1">
      <alignment horizontal="center" vertical="center"/>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25" xfId="0" applyFill="1" applyBorder="1" applyAlignment="1" applyProtection="1">
      <alignment vertical="center"/>
    </xf>
    <xf numFmtId="0" fontId="0" fillId="5" borderId="28" xfId="0" applyFill="1" applyBorder="1" applyAlignment="1" applyProtection="1">
      <alignment vertical="center"/>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57" xfId="0" applyFill="1" applyBorder="1" applyAlignment="1" applyProtection="1">
      <alignment horizontal="left" vertical="center"/>
    </xf>
    <xf numFmtId="0" fontId="0" fillId="5" borderId="28"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4" fillId="0" borderId="6" xfId="0" applyFont="1" applyFill="1" applyBorder="1" applyAlignment="1" applyProtection="1">
      <alignment horizontal="center" vertical="center" wrapText="1"/>
    </xf>
    <xf numFmtId="0" fontId="0" fillId="0" borderId="25" xfId="0"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G20" sqref="G20"/>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24"/>
      <c r="G1" s="124"/>
      <c r="H1" s="124"/>
      <c r="J1" s="178"/>
      <c r="K1" s="178"/>
      <c r="L1" s="178"/>
      <c r="M1" s="178"/>
      <c r="N1" s="178"/>
      <c r="O1" s="178"/>
    </row>
    <row r="2" spans="2:15" ht="14.5" x14ac:dyDescent="0.25">
      <c r="B2" s="121"/>
      <c r="C2" s="121"/>
      <c r="D2" s="121"/>
      <c r="E2" s="121"/>
    </row>
    <row r="3" spans="2:15" ht="18" x14ac:dyDescent="0.25">
      <c r="B3" s="130" t="s">
        <v>113</v>
      </c>
      <c r="C3" s="123"/>
      <c r="D3" s="123"/>
      <c r="E3" s="123"/>
    </row>
    <row r="4" spans="2:15" ht="17" thickBot="1" x14ac:dyDescent="0.3">
      <c r="B4" s="123"/>
      <c r="C4" s="123"/>
      <c r="D4" s="123"/>
      <c r="E4" s="123"/>
    </row>
    <row r="5" spans="2:15" ht="14.5" thickBot="1" x14ac:dyDescent="0.3">
      <c r="B5" s="211" t="s">
        <v>115</v>
      </c>
      <c r="C5" s="212"/>
      <c r="D5" s="129"/>
      <c r="E5" s="213" t="s">
        <v>151</v>
      </c>
      <c r="F5" s="214"/>
      <c r="G5" s="214"/>
      <c r="H5" s="214"/>
      <c r="I5" s="215"/>
    </row>
    <row r="6" spans="2:15" ht="14.5" thickBot="1" x14ac:dyDescent="0.3">
      <c r="B6" s="21"/>
      <c r="C6" s="21"/>
      <c r="D6" s="21"/>
      <c r="E6" s="21"/>
    </row>
    <row r="7" spans="2:15" x14ac:dyDescent="0.25">
      <c r="B7" s="216" t="s">
        <v>114</v>
      </c>
      <c r="C7" s="217"/>
      <c r="D7" s="129"/>
      <c r="E7" s="220" t="s">
        <v>209</v>
      </c>
      <c r="F7" s="221"/>
      <c r="G7" s="221"/>
      <c r="H7" s="221"/>
      <c r="I7" s="222"/>
    </row>
    <row r="8" spans="2:15" ht="14.5" thickBot="1" x14ac:dyDescent="0.3">
      <c r="B8" s="218"/>
      <c r="C8" s="219"/>
      <c r="D8" s="129"/>
      <c r="E8" s="223"/>
      <c r="F8" s="224"/>
      <c r="G8" s="224"/>
      <c r="H8" s="224"/>
      <c r="I8" s="225"/>
    </row>
    <row r="9" spans="2:15" ht="14.5" thickBot="1" x14ac:dyDescent="0.3">
      <c r="B9" s="21"/>
      <c r="C9" s="21"/>
      <c r="D9" s="128"/>
      <c r="E9" s="21"/>
    </row>
    <row r="10" spans="2:15" ht="14.5" thickBot="1" x14ac:dyDescent="0.3">
      <c r="B10" s="211" t="s">
        <v>127</v>
      </c>
      <c r="C10" s="212"/>
      <c r="D10" s="136"/>
      <c r="E10" s="139" t="s">
        <v>125</v>
      </c>
      <c r="F10" s="132">
        <v>44197</v>
      </c>
      <c r="G10" s="139" t="s">
        <v>126</v>
      </c>
      <c r="H10" s="132">
        <v>44561</v>
      </c>
    </row>
    <row r="11" spans="2:15" ht="14.5" thickBot="1" x14ac:dyDescent="0.3">
      <c r="B11" s="21"/>
      <c r="C11" s="21"/>
      <c r="D11" s="21"/>
      <c r="E11" s="21"/>
    </row>
    <row r="12" spans="2:15" ht="14.5" thickBot="1" x14ac:dyDescent="0.3">
      <c r="B12" s="211" t="s">
        <v>117</v>
      </c>
      <c r="C12" s="212"/>
      <c r="D12" s="136"/>
      <c r="E12" s="131">
        <v>2021</v>
      </c>
    </row>
    <row r="13" spans="2:15" ht="14.5" thickBot="1" x14ac:dyDescent="0.3">
      <c r="B13" s="21"/>
      <c r="C13" s="21"/>
      <c r="D13" s="21"/>
      <c r="E13" s="21"/>
    </row>
    <row r="14" spans="2:15" ht="14.5" thickBot="1" x14ac:dyDescent="0.3">
      <c r="B14" s="211" t="s">
        <v>133</v>
      </c>
      <c r="C14" s="212"/>
      <c r="D14" s="136"/>
      <c r="E14" s="131"/>
    </row>
    <row r="15" spans="2:15" x14ac:dyDescent="0.25">
      <c r="B15" s="21"/>
      <c r="C15" s="21"/>
      <c r="D15" s="21"/>
      <c r="E15" s="21"/>
    </row>
    <row r="16" spans="2:15" x14ac:dyDescent="0.25">
      <c r="B16" s="21"/>
      <c r="C16" s="21"/>
      <c r="D16" s="21"/>
      <c r="E16" s="21"/>
    </row>
    <row r="17" spans="2:8" x14ac:dyDescent="0.25">
      <c r="F17" s="90"/>
      <c r="G17" s="90"/>
      <c r="H17" s="90"/>
    </row>
    <row r="18" spans="2:8" x14ac:dyDescent="0.25">
      <c r="B18" s="138"/>
      <c r="C18" s="138"/>
      <c r="D18" s="138"/>
      <c r="E18" s="138"/>
      <c r="F18" s="90"/>
      <c r="G18" s="90"/>
      <c r="H18" s="90"/>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5"/>
  <sheetViews>
    <sheetView zoomScale="85" zoomScaleNormal="85" workbookViewId="0">
      <selection activeCell="B5" sqref="B5"/>
    </sheetView>
  </sheetViews>
  <sheetFormatPr baseColWidth="10" defaultColWidth="11.453125" defaultRowHeight="14" x14ac:dyDescent="0.25"/>
  <cols>
    <col min="1" max="1" width="1.7265625" style="16" customWidth="1"/>
    <col min="2" max="2" width="255.7265625" style="16" customWidth="1"/>
    <col min="3" max="3" width="20.7265625" style="16" customWidth="1"/>
    <col min="4" max="6" width="22.26953125" style="16" customWidth="1"/>
    <col min="7" max="7" width="49.54296875" style="16" customWidth="1"/>
    <col min="8" max="8" width="5.1796875" style="16" customWidth="1"/>
    <col min="9" max="38" width="14.7265625" style="16" customWidth="1"/>
    <col min="39" max="16384" width="11.453125" style="16"/>
  </cols>
  <sheetData>
    <row r="1" spans="2:13" ht="66.75" customHeight="1" x14ac:dyDescent="0.35">
      <c r="D1" s="124"/>
      <c r="E1" s="124"/>
      <c r="F1" s="124"/>
      <c r="H1" s="205"/>
      <c r="I1" s="205"/>
      <c r="J1" s="205"/>
      <c r="K1" s="205"/>
      <c r="L1" s="205"/>
      <c r="M1" s="205"/>
    </row>
    <row r="2" spans="2:13" ht="14.5" x14ac:dyDescent="0.25">
      <c r="B2" s="121"/>
      <c r="C2" s="121"/>
    </row>
    <row r="3" spans="2:13" ht="18" x14ac:dyDescent="0.25">
      <c r="B3" s="130" t="s">
        <v>116</v>
      </c>
      <c r="C3" s="123"/>
    </row>
    <row r="4" spans="2:13" ht="16.5" x14ac:dyDescent="0.25">
      <c r="B4" s="123"/>
      <c r="C4" s="123"/>
    </row>
    <row r="5" spans="2:13" ht="409.15" customHeight="1" x14ac:dyDescent="0.25">
      <c r="B5" s="206" t="s">
        <v>150</v>
      </c>
      <c r="C5" s="138"/>
      <c r="D5" s="90"/>
      <c r="E5" s="90"/>
      <c r="F5" s="90"/>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38"/>
  <sheetViews>
    <sheetView showGridLines="0" tabSelected="1"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D21" sqref="D21"/>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1.54296875" style="16" customWidth="1"/>
    <col min="5" max="5" width="9" style="16" customWidth="1"/>
    <col min="6" max="6" width="15.7265625" style="16" hidden="1" customWidth="1"/>
    <col min="7" max="7" width="14.7265625" style="16" hidden="1" customWidth="1"/>
    <col min="8" max="10" width="14.7265625" style="16" customWidth="1"/>
    <col min="11" max="12" width="14.7265625" style="16" hidden="1" customWidth="1"/>
    <col min="13" max="14" width="14.7265625" style="16" customWidth="1"/>
    <col min="15" max="15" width="17.26953125" style="16" customWidth="1"/>
    <col min="16" max="17" width="14.7265625" style="16" hidden="1" customWidth="1"/>
    <col min="18" max="20" width="14.7265625" style="16" customWidth="1"/>
    <col min="21" max="22" width="14.7265625" style="16" hidden="1" customWidth="1"/>
    <col min="23" max="25" width="14.7265625" style="16" customWidth="1"/>
    <col min="26" max="35" width="14.7265625" style="16" hidden="1" customWidth="1"/>
    <col min="36" max="16384" width="11.453125" style="16"/>
  </cols>
  <sheetData>
    <row r="1" spans="1:35" ht="62.5" customHeight="1" x14ac:dyDescent="0.25">
      <c r="D1" s="178"/>
      <c r="E1" s="178"/>
      <c r="F1" s="178"/>
      <c r="G1" s="178"/>
      <c r="H1" s="178"/>
      <c r="I1" s="178"/>
      <c r="J1" s="178"/>
    </row>
    <row r="2" spans="1:35" ht="14.5" x14ac:dyDescent="0.25">
      <c r="B2" s="121"/>
    </row>
    <row r="4" spans="1:35" x14ac:dyDescent="0.25">
      <c r="B4" s="96" t="s">
        <v>81</v>
      </c>
    </row>
    <row r="5" spans="1:35" x14ac:dyDescent="0.25">
      <c r="B5" s="21"/>
    </row>
    <row r="6" spans="1:35" x14ac:dyDescent="0.25">
      <c r="B6" s="135" t="s">
        <v>135</v>
      </c>
      <c r="C6" s="137"/>
    </row>
    <row r="7" spans="1:35" x14ac:dyDescent="0.25">
      <c r="B7" s="134"/>
      <c r="C7" s="184"/>
    </row>
    <row r="8" spans="1:35" x14ac:dyDescent="0.25">
      <c r="B8" s="134" t="s">
        <v>134</v>
      </c>
      <c r="C8" s="184"/>
    </row>
    <row r="9" spans="1:35" x14ac:dyDescent="0.25">
      <c r="B9" s="135"/>
      <c r="C9" s="137"/>
    </row>
    <row r="10" spans="1:35" x14ac:dyDescent="0.25">
      <c r="B10" s="134" t="s">
        <v>145</v>
      </c>
      <c r="C10" s="184"/>
    </row>
    <row r="11" spans="1:35" x14ac:dyDescent="0.25">
      <c r="B11" s="21"/>
      <c r="C11" s="90"/>
      <c r="D11" s="90"/>
    </row>
    <row r="12" spans="1:35" ht="6" customHeight="1" thickBot="1" x14ac:dyDescent="0.3">
      <c r="A12" s="185"/>
    </row>
    <row r="13" spans="1:35" ht="14.5" thickBot="1" x14ac:dyDescent="0.3">
      <c r="B13" s="232" t="s">
        <v>118</v>
      </c>
      <c r="C13" s="232" t="s">
        <v>208</v>
      </c>
      <c r="D13" s="234" t="s">
        <v>3</v>
      </c>
      <c r="E13" s="234" t="s">
        <v>110</v>
      </c>
      <c r="F13" s="227">
        <f>'Datos solicitud'!E12</f>
        <v>2021</v>
      </c>
      <c r="G13" s="227"/>
      <c r="H13" s="227"/>
      <c r="I13" s="227"/>
      <c r="J13" s="227"/>
      <c r="K13" s="226">
        <f>F13+1</f>
        <v>2022</v>
      </c>
      <c r="L13" s="226"/>
      <c r="M13" s="226"/>
      <c r="N13" s="226"/>
      <c r="O13" s="226"/>
      <c r="P13" s="226">
        <f>K13+1</f>
        <v>2023</v>
      </c>
      <c r="Q13" s="226"/>
      <c r="R13" s="226"/>
      <c r="S13" s="226"/>
      <c r="T13" s="226"/>
      <c r="U13" s="226">
        <f>P13+1</f>
        <v>2024</v>
      </c>
      <c r="V13" s="226"/>
      <c r="W13" s="226"/>
      <c r="X13" s="226"/>
      <c r="Y13" s="226"/>
      <c r="Z13" s="226">
        <f>U13+1</f>
        <v>2025</v>
      </c>
      <c r="AA13" s="226"/>
      <c r="AB13" s="226"/>
      <c r="AC13" s="226"/>
      <c r="AD13" s="226"/>
      <c r="AE13" s="226">
        <f>Z13+1</f>
        <v>2026</v>
      </c>
      <c r="AF13" s="226"/>
      <c r="AG13" s="226"/>
      <c r="AH13" s="226"/>
      <c r="AI13" s="226"/>
    </row>
    <row r="14" spans="1:35" s="59" customFormat="1" ht="78.75" customHeight="1" thickBot="1" x14ac:dyDescent="0.3">
      <c r="B14" s="233"/>
      <c r="C14" s="233"/>
      <c r="D14" s="235"/>
      <c r="E14" s="235"/>
      <c r="F14" s="142" t="s">
        <v>107</v>
      </c>
      <c r="G14" s="143" t="s">
        <v>8</v>
      </c>
      <c r="H14" s="143" t="s">
        <v>148</v>
      </c>
      <c r="I14" s="143" t="s">
        <v>149</v>
      </c>
      <c r="J14" s="144" t="s">
        <v>4</v>
      </c>
      <c r="K14" s="142" t="s">
        <v>107</v>
      </c>
      <c r="L14" s="143" t="s">
        <v>8</v>
      </c>
      <c r="M14" s="143" t="s">
        <v>148</v>
      </c>
      <c r="N14" s="143" t="s">
        <v>149</v>
      </c>
      <c r="O14" s="144" t="s">
        <v>4</v>
      </c>
      <c r="P14" s="142" t="s">
        <v>107</v>
      </c>
      <c r="Q14" s="143" t="s">
        <v>8</v>
      </c>
      <c r="R14" s="143" t="s">
        <v>148</v>
      </c>
      <c r="S14" s="143" t="s">
        <v>149</v>
      </c>
      <c r="T14" s="144" t="s">
        <v>4</v>
      </c>
      <c r="U14" s="142" t="s">
        <v>107</v>
      </c>
      <c r="V14" s="143" t="s">
        <v>8</v>
      </c>
      <c r="W14" s="143" t="s">
        <v>148</v>
      </c>
      <c r="X14" s="143" t="s">
        <v>149</v>
      </c>
      <c r="Y14" s="144" t="s">
        <v>4</v>
      </c>
      <c r="Z14" s="142" t="s">
        <v>107</v>
      </c>
      <c r="AA14" s="143" t="s">
        <v>8</v>
      </c>
      <c r="AB14" s="143" t="s">
        <v>148</v>
      </c>
      <c r="AC14" s="143" t="s">
        <v>149</v>
      </c>
      <c r="AD14" s="144" t="s">
        <v>4</v>
      </c>
      <c r="AE14" s="142" t="s">
        <v>107</v>
      </c>
      <c r="AF14" s="143" t="s">
        <v>8</v>
      </c>
      <c r="AG14" s="143" t="s">
        <v>148</v>
      </c>
      <c r="AH14" s="143" t="s">
        <v>149</v>
      </c>
      <c r="AI14" s="144" t="s">
        <v>4</v>
      </c>
    </row>
    <row r="15" spans="1:35" ht="15.75" customHeight="1" x14ac:dyDescent="0.25">
      <c r="B15" s="140">
        <v>1</v>
      </c>
      <c r="C15" s="82" t="s">
        <v>152</v>
      </c>
      <c r="D15" s="83" t="s">
        <v>161</v>
      </c>
      <c r="E15" s="5" t="s">
        <v>112</v>
      </c>
      <c r="F15" s="186"/>
      <c r="G15" s="187"/>
      <c r="H15" s="118">
        <v>1653</v>
      </c>
      <c r="I15" s="105">
        <v>68037.48</v>
      </c>
      <c r="J15" s="119">
        <f>G15+I15</f>
        <v>68037.48</v>
      </c>
      <c r="K15" s="186"/>
      <c r="L15" s="187"/>
      <c r="M15" s="118"/>
      <c r="N15" s="105"/>
      <c r="O15" s="119">
        <f>L15+N15</f>
        <v>0</v>
      </c>
      <c r="P15" s="186"/>
      <c r="Q15" s="187"/>
      <c r="R15" s="118"/>
      <c r="S15" s="105"/>
      <c r="T15" s="119">
        <f>Q15+S15</f>
        <v>0</v>
      </c>
      <c r="U15" s="186"/>
      <c r="V15" s="187"/>
      <c r="W15" s="118"/>
      <c r="X15" s="105"/>
      <c r="Y15" s="119">
        <f>V15+X15</f>
        <v>0</v>
      </c>
      <c r="Z15" s="186"/>
      <c r="AA15" s="187"/>
      <c r="AB15" s="118"/>
      <c r="AC15" s="105"/>
      <c r="AD15" s="119">
        <f>AA15+AC15</f>
        <v>0</v>
      </c>
      <c r="AE15" s="186"/>
      <c r="AF15" s="187"/>
      <c r="AG15" s="118"/>
      <c r="AH15" s="105"/>
      <c r="AI15" s="119">
        <f>AF15+AH15</f>
        <v>0</v>
      </c>
    </row>
    <row r="16" spans="1:35" x14ac:dyDescent="0.25">
      <c r="B16" s="141">
        <f>B15+1</f>
        <v>2</v>
      </c>
      <c r="C16" s="84" t="s">
        <v>153</v>
      </c>
      <c r="D16" s="85" t="s">
        <v>162</v>
      </c>
      <c r="E16" s="5" t="s">
        <v>112</v>
      </c>
      <c r="F16" s="186"/>
      <c r="G16" s="187"/>
      <c r="H16" s="118">
        <v>1280.4000000000001</v>
      </c>
      <c r="I16" s="105">
        <v>42547.69</v>
      </c>
      <c r="J16" s="119">
        <f t="shared" ref="J16:J32" si="0">G16+I16</f>
        <v>42547.69</v>
      </c>
      <c r="K16" s="186"/>
      <c r="L16" s="187"/>
      <c r="M16" s="118"/>
      <c r="N16" s="105"/>
      <c r="O16" s="119">
        <f t="shared" ref="O16:O34" si="1">L16+N16</f>
        <v>0</v>
      </c>
      <c r="P16" s="186"/>
      <c r="Q16" s="187"/>
      <c r="R16" s="118"/>
      <c r="S16" s="105"/>
      <c r="T16" s="119">
        <f t="shared" ref="T16:T34" si="2">Q16+S16</f>
        <v>0</v>
      </c>
      <c r="U16" s="186"/>
      <c r="V16" s="187"/>
      <c r="W16" s="118"/>
      <c r="X16" s="105"/>
      <c r="Y16" s="119">
        <f t="shared" ref="Y16:Y34" si="3">V16+X16</f>
        <v>0</v>
      </c>
      <c r="Z16" s="186"/>
      <c r="AA16" s="187"/>
      <c r="AB16" s="118"/>
      <c r="AC16" s="105"/>
      <c r="AD16" s="119">
        <f t="shared" ref="AD16:AD34" si="4">AA16+AC16</f>
        <v>0</v>
      </c>
      <c r="AE16" s="186"/>
      <c r="AF16" s="187"/>
      <c r="AG16" s="118"/>
      <c r="AH16" s="105"/>
      <c r="AI16" s="119">
        <f t="shared" ref="AI16:AI34" si="5">AF16+AH16</f>
        <v>0</v>
      </c>
    </row>
    <row r="17" spans="2:35" x14ac:dyDescent="0.25">
      <c r="B17" s="141">
        <f t="shared" ref="B17:B34" si="6">B16+1</f>
        <v>3</v>
      </c>
      <c r="C17" s="84" t="s">
        <v>154</v>
      </c>
      <c r="D17" s="85" t="s">
        <v>162</v>
      </c>
      <c r="E17" s="5" t="s">
        <v>112</v>
      </c>
      <c r="F17" s="186"/>
      <c r="G17" s="187"/>
      <c r="H17" s="118">
        <v>1653</v>
      </c>
      <c r="I17" s="105">
        <v>63772.74</v>
      </c>
      <c r="J17" s="119">
        <f t="shared" si="0"/>
        <v>63772.74</v>
      </c>
      <c r="K17" s="186"/>
      <c r="L17" s="187"/>
      <c r="M17" s="118"/>
      <c r="N17" s="105"/>
      <c r="O17" s="119">
        <f t="shared" si="1"/>
        <v>0</v>
      </c>
      <c r="P17" s="186"/>
      <c r="Q17" s="187"/>
      <c r="R17" s="118"/>
      <c r="S17" s="105"/>
      <c r="T17" s="119">
        <f t="shared" si="2"/>
        <v>0</v>
      </c>
      <c r="U17" s="186"/>
      <c r="V17" s="187"/>
      <c r="W17" s="118"/>
      <c r="X17" s="105"/>
      <c r="Y17" s="119">
        <f t="shared" si="3"/>
        <v>0</v>
      </c>
      <c r="Z17" s="186"/>
      <c r="AA17" s="187"/>
      <c r="AB17" s="118"/>
      <c r="AC17" s="105"/>
      <c r="AD17" s="119">
        <f t="shared" si="4"/>
        <v>0</v>
      </c>
      <c r="AE17" s="186"/>
      <c r="AF17" s="187"/>
      <c r="AG17" s="118"/>
      <c r="AH17" s="105"/>
      <c r="AI17" s="119">
        <f t="shared" si="5"/>
        <v>0</v>
      </c>
    </row>
    <row r="18" spans="2:35" x14ac:dyDescent="0.25">
      <c r="B18" s="141">
        <f>B17+1</f>
        <v>4</v>
      </c>
      <c r="C18" s="84" t="s">
        <v>155</v>
      </c>
      <c r="D18" s="85" t="s">
        <v>207</v>
      </c>
      <c r="E18" s="5" t="s">
        <v>112</v>
      </c>
      <c r="F18" s="186"/>
      <c r="G18" s="187"/>
      <c r="H18" s="118">
        <v>1653</v>
      </c>
      <c r="I18" s="105">
        <v>64169.46</v>
      </c>
      <c r="J18" s="119">
        <f t="shared" si="0"/>
        <v>64169.46</v>
      </c>
      <c r="K18" s="186"/>
      <c r="L18" s="187"/>
      <c r="M18" s="118"/>
      <c r="N18" s="105"/>
      <c r="O18" s="119">
        <f t="shared" si="1"/>
        <v>0</v>
      </c>
      <c r="P18" s="186"/>
      <c r="Q18" s="187"/>
      <c r="R18" s="118"/>
      <c r="S18" s="105"/>
      <c r="T18" s="119">
        <f t="shared" si="2"/>
        <v>0</v>
      </c>
      <c r="U18" s="186"/>
      <c r="V18" s="187"/>
      <c r="W18" s="118"/>
      <c r="X18" s="105"/>
      <c r="Y18" s="119">
        <f t="shared" si="3"/>
        <v>0</v>
      </c>
      <c r="Z18" s="186"/>
      <c r="AA18" s="187"/>
      <c r="AB18" s="118"/>
      <c r="AC18" s="105"/>
      <c r="AD18" s="119">
        <f t="shared" si="4"/>
        <v>0</v>
      </c>
      <c r="AE18" s="186"/>
      <c r="AF18" s="187"/>
      <c r="AG18" s="118"/>
      <c r="AH18" s="105"/>
      <c r="AI18" s="119">
        <f t="shared" si="5"/>
        <v>0</v>
      </c>
    </row>
    <row r="19" spans="2:35" x14ac:dyDescent="0.25">
      <c r="B19" s="141">
        <f t="shared" si="6"/>
        <v>5</v>
      </c>
      <c r="C19" s="84" t="s">
        <v>156</v>
      </c>
      <c r="D19" s="85" t="s">
        <v>162</v>
      </c>
      <c r="E19" s="5" t="s">
        <v>112</v>
      </c>
      <c r="F19" s="186"/>
      <c r="G19" s="187"/>
      <c r="H19" s="118">
        <v>1440.73</v>
      </c>
      <c r="I19" s="105">
        <v>45397.4</v>
      </c>
      <c r="J19" s="119">
        <f t="shared" si="0"/>
        <v>45397.4</v>
      </c>
      <c r="K19" s="186"/>
      <c r="L19" s="187"/>
      <c r="M19" s="118"/>
      <c r="N19" s="105"/>
      <c r="O19" s="119">
        <f t="shared" si="1"/>
        <v>0</v>
      </c>
      <c r="P19" s="186"/>
      <c r="Q19" s="187"/>
      <c r="R19" s="118"/>
      <c r="S19" s="105"/>
      <c r="T19" s="119">
        <f t="shared" si="2"/>
        <v>0</v>
      </c>
      <c r="U19" s="186"/>
      <c r="V19" s="187"/>
      <c r="W19" s="118"/>
      <c r="X19" s="105"/>
      <c r="Y19" s="119">
        <f t="shared" si="3"/>
        <v>0</v>
      </c>
      <c r="Z19" s="186"/>
      <c r="AA19" s="187"/>
      <c r="AB19" s="118"/>
      <c r="AC19" s="105"/>
      <c r="AD19" s="119">
        <f t="shared" si="4"/>
        <v>0</v>
      </c>
      <c r="AE19" s="186"/>
      <c r="AF19" s="187"/>
      <c r="AG19" s="118"/>
      <c r="AH19" s="105"/>
      <c r="AI19" s="119">
        <f t="shared" si="5"/>
        <v>0</v>
      </c>
    </row>
    <row r="20" spans="2:35" x14ac:dyDescent="0.25">
      <c r="B20" s="141">
        <f t="shared" si="6"/>
        <v>6</v>
      </c>
      <c r="C20" s="84" t="s">
        <v>157</v>
      </c>
      <c r="D20" s="85" t="s">
        <v>164</v>
      </c>
      <c r="E20" s="5" t="s">
        <v>112</v>
      </c>
      <c r="F20" s="186"/>
      <c r="G20" s="187"/>
      <c r="H20" s="118">
        <v>1431.7</v>
      </c>
      <c r="I20" s="105">
        <v>52171.15</v>
      </c>
      <c r="J20" s="119">
        <f>G20+I20</f>
        <v>52171.15</v>
      </c>
      <c r="K20" s="186"/>
      <c r="L20" s="187"/>
      <c r="M20" s="118"/>
      <c r="N20" s="105"/>
      <c r="O20" s="119">
        <f t="shared" si="1"/>
        <v>0</v>
      </c>
      <c r="P20" s="186"/>
      <c r="Q20" s="187"/>
      <c r="R20" s="118"/>
      <c r="S20" s="105"/>
      <c r="T20" s="119">
        <f t="shared" si="2"/>
        <v>0</v>
      </c>
      <c r="U20" s="186"/>
      <c r="V20" s="187"/>
      <c r="W20" s="118"/>
      <c r="X20" s="105"/>
      <c r="Y20" s="119">
        <f t="shared" si="3"/>
        <v>0</v>
      </c>
      <c r="Z20" s="186"/>
      <c r="AA20" s="187"/>
      <c r="AB20" s="118"/>
      <c r="AC20" s="105"/>
      <c r="AD20" s="119">
        <f t="shared" si="4"/>
        <v>0</v>
      </c>
      <c r="AE20" s="186"/>
      <c r="AF20" s="187"/>
      <c r="AG20" s="118"/>
      <c r="AH20" s="105"/>
      <c r="AI20" s="119">
        <f t="shared" si="5"/>
        <v>0</v>
      </c>
    </row>
    <row r="21" spans="2:35" x14ac:dyDescent="0.25">
      <c r="B21" s="141">
        <f t="shared" si="6"/>
        <v>7</v>
      </c>
      <c r="C21" s="84" t="s">
        <v>158</v>
      </c>
      <c r="D21" s="207" t="s">
        <v>226</v>
      </c>
      <c r="E21" s="5" t="s">
        <v>112</v>
      </c>
      <c r="F21" s="186"/>
      <c r="G21" s="187"/>
      <c r="H21" s="118">
        <v>1653</v>
      </c>
      <c r="I21" s="105">
        <v>58631.91</v>
      </c>
      <c r="J21" s="119">
        <f t="shared" si="0"/>
        <v>58631.91</v>
      </c>
      <c r="K21" s="186"/>
      <c r="L21" s="187"/>
      <c r="M21" s="118"/>
      <c r="N21" s="105"/>
      <c r="O21" s="119">
        <f t="shared" si="1"/>
        <v>0</v>
      </c>
      <c r="P21" s="186"/>
      <c r="Q21" s="187"/>
      <c r="R21" s="118"/>
      <c r="S21" s="105"/>
      <c r="T21" s="119">
        <f t="shared" si="2"/>
        <v>0</v>
      </c>
      <c r="U21" s="186"/>
      <c r="V21" s="187"/>
      <c r="W21" s="118"/>
      <c r="X21" s="105"/>
      <c r="Y21" s="119">
        <f t="shared" si="3"/>
        <v>0</v>
      </c>
      <c r="Z21" s="186"/>
      <c r="AA21" s="187"/>
      <c r="AB21" s="118"/>
      <c r="AC21" s="105"/>
      <c r="AD21" s="119">
        <f t="shared" si="4"/>
        <v>0</v>
      </c>
      <c r="AE21" s="186"/>
      <c r="AF21" s="187"/>
      <c r="AG21" s="118"/>
      <c r="AH21" s="105"/>
      <c r="AI21" s="119">
        <f t="shared" si="5"/>
        <v>0</v>
      </c>
    </row>
    <row r="22" spans="2:35" x14ac:dyDescent="0.25">
      <c r="B22" s="141">
        <f t="shared" si="6"/>
        <v>8</v>
      </c>
      <c r="C22" s="84" t="s">
        <v>159</v>
      </c>
      <c r="D22" s="85" t="s">
        <v>225</v>
      </c>
      <c r="E22" s="5" t="s">
        <v>112</v>
      </c>
      <c r="F22" s="186"/>
      <c r="G22" s="187"/>
      <c r="H22" s="118">
        <v>831.97</v>
      </c>
      <c r="I22" s="105">
        <v>54177.89</v>
      </c>
      <c r="J22" s="119">
        <f t="shared" si="0"/>
        <v>54177.89</v>
      </c>
      <c r="K22" s="186"/>
      <c r="L22" s="187"/>
      <c r="M22" s="118"/>
      <c r="N22" s="105"/>
      <c r="O22" s="119">
        <f t="shared" si="1"/>
        <v>0</v>
      </c>
      <c r="P22" s="186"/>
      <c r="Q22" s="187"/>
      <c r="R22" s="118"/>
      <c r="S22" s="105"/>
      <c r="T22" s="119">
        <f t="shared" si="2"/>
        <v>0</v>
      </c>
      <c r="U22" s="186"/>
      <c r="V22" s="187"/>
      <c r="W22" s="118"/>
      <c r="X22" s="105"/>
      <c r="Y22" s="119">
        <f t="shared" si="3"/>
        <v>0</v>
      </c>
      <c r="Z22" s="186"/>
      <c r="AA22" s="187"/>
      <c r="AB22" s="118"/>
      <c r="AC22" s="105"/>
      <c r="AD22" s="119">
        <f t="shared" si="4"/>
        <v>0</v>
      </c>
      <c r="AE22" s="186"/>
      <c r="AF22" s="187"/>
      <c r="AG22" s="118"/>
      <c r="AH22" s="105"/>
      <c r="AI22" s="119">
        <f t="shared" si="5"/>
        <v>0</v>
      </c>
    </row>
    <row r="23" spans="2:35" x14ac:dyDescent="0.25">
      <c r="B23" s="141">
        <f t="shared" si="6"/>
        <v>9</v>
      </c>
      <c r="C23" s="84" t="s">
        <v>160</v>
      </c>
      <c r="D23" s="85" t="s">
        <v>163</v>
      </c>
      <c r="E23" s="5" t="s">
        <v>112</v>
      </c>
      <c r="F23" s="186"/>
      <c r="G23" s="187"/>
      <c r="H23" s="118">
        <v>1653</v>
      </c>
      <c r="I23" s="105">
        <v>62417.279999999999</v>
      </c>
      <c r="J23" s="119">
        <f t="shared" si="0"/>
        <v>62417.279999999999</v>
      </c>
      <c r="K23" s="186"/>
      <c r="L23" s="187"/>
      <c r="M23" s="118"/>
      <c r="N23" s="105"/>
      <c r="O23" s="119">
        <f t="shared" si="1"/>
        <v>0</v>
      </c>
      <c r="P23" s="186"/>
      <c r="Q23" s="187"/>
      <c r="R23" s="118"/>
      <c r="S23" s="105"/>
      <c r="T23" s="119">
        <f t="shared" si="2"/>
        <v>0</v>
      </c>
      <c r="U23" s="186"/>
      <c r="V23" s="187"/>
      <c r="W23" s="118"/>
      <c r="X23" s="105"/>
      <c r="Y23" s="119">
        <f t="shared" si="3"/>
        <v>0</v>
      </c>
      <c r="Z23" s="186"/>
      <c r="AA23" s="187"/>
      <c r="AB23" s="118"/>
      <c r="AC23" s="105"/>
      <c r="AD23" s="119">
        <f t="shared" si="4"/>
        <v>0</v>
      </c>
      <c r="AE23" s="186"/>
      <c r="AF23" s="187"/>
      <c r="AG23" s="118"/>
      <c r="AH23" s="105"/>
      <c r="AI23" s="119">
        <f t="shared" si="5"/>
        <v>0</v>
      </c>
    </row>
    <row r="24" spans="2:35" x14ac:dyDescent="0.25">
      <c r="B24" s="141">
        <f t="shared" si="6"/>
        <v>10</v>
      </c>
      <c r="C24" s="84"/>
      <c r="D24" s="85"/>
      <c r="E24" s="5" t="s">
        <v>112</v>
      </c>
      <c r="F24" s="186"/>
      <c r="G24" s="187"/>
      <c r="H24" s="118"/>
      <c r="I24" s="105"/>
      <c r="J24" s="119">
        <f t="shared" si="0"/>
        <v>0</v>
      </c>
      <c r="K24" s="186"/>
      <c r="L24" s="187"/>
      <c r="M24" s="118"/>
      <c r="N24" s="105"/>
      <c r="O24" s="119">
        <f t="shared" si="1"/>
        <v>0</v>
      </c>
      <c r="P24" s="186"/>
      <c r="Q24" s="187"/>
      <c r="R24" s="118"/>
      <c r="S24" s="105"/>
      <c r="T24" s="119">
        <f t="shared" si="2"/>
        <v>0</v>
      </c>
      <c r="U24" s="186"/>
      <c r="V24" s="187"/>
      <c r="W24" s="118"/>
      <c r="X24" s="105"/>
      <c r="Y24" s="119">
        <f t="shared" si="3"/>
        <v>0</v>
      </c>
      <c r="Z24" s="186"/>
      <c r="AA24" s="187"/>
      <c r="AB24" s="118"/>
      <c r="AC24" s="105"/>
      <c r="AD24" s="119">
        <f t="shared" si="4"/>
        <v>0</v>
      </c>
      <c r="AE24" s="186"/>
      <c r="AF24" s="187"/>
      <c r="AG24" s="118"/>
      <c r="AH24" s="105"/>
      <c r="AI24" s="119">
        <f t="shared" si="5"/>
        <v>0</v>
      </c>
    </row>
    <row r="25" spans="2:35" x14ac:dyDescent="0.25">
      <c r="B25" s="141">
        <f t="shared" si="6"/>
        <v>11</v>
      </c>
      <c r="C25" s="84" t="s">
        <v>214</v>
      </c>
      <c r="D25" s="85"/>
      <c r="E25" s="5" t="s">
        <v>112</v>
      </c>
      <c r="F25" s="186"/>
      <c r="G25" s="187"/>
      <c r="H25" s="118"/>
      <c r="I25" s="105"/>
      <c r="J25" s="119">
        <f t="shared" si="0"/>
        <v>0</v>
      </c>
      <c r="K25" s="186"/>
      <c r="L25" s="187"/>
      <c r="M25" s="118">
        <v>14299.73</v>
      </c>
      <c r="N25" s="105">
        <v>572889.74</v>
      </c>
      <c r="O25" s="119">
        <f t="shared" si="1"/>
        <v>572889.74</v>
      </c>
      <c r="P25" s="186"/>
      <c r="Q25" s="187"/>
      <c r="R25" s="118"/>
      <c r="S25" s="105"/>
      <c r="T25" s="119">
        <f t="shared" si="2"/>
        <v>0</v>
      </c>
      <c r="U25" s="186"/>
      <c r="V25" s="187"/>
      <c r="W25" s="118"/>
      <c r="X25" s="105"/>
      <c r="Y25" s="119">
        <f t="shared" si="3"/>
        <v>0</v>
      </c>
      <c r="Z25" s="186"/>
      <c r="AA25" s="187"/>
      <c r="AB25" s="118"/>
      <c r="AC25" s="105"/>
      <c r="AD25" s="119">
        <f t="shared" si="4"/>
        <v>0</v>
      </c>
      <c r="AE25" s="186"/>
      <c r="AF25" s="187"/>
      <c r="AG25" s="118"/>
      <c r="AH25" s="105"/>
      <c r="AI25" s="119">
        <f t="shared" si="5"/>
        <v>0</v>
      </c>
    </row>
    <row r="26" spans="2:35" x14ac:dyDescent="0.25">
      <c r="B26" s="141">
        <f t="shared" si="6"/>
        <v>12</v>
      </c>
      <c r="C26" s="84" t="s">
        <v>215</v>
      </c>
      <c r="D26" s="85"/>
      <c r="E26" s="5" t="s">
        <v>112</v>
      </c>
      <c r="F26" s="186"/>
      <c r="G26" s="187"/>
      <c r="H26" s="118"/>
      <c r="I26" s="105"/>
      <c r="J26" s="119">
        <f t="shared" si="0"/>
        <v>0</v>
      </c>
      <c r="K26" s="186"/>
      <c r="L26" s="187"/>
      <c r="M26" s="118"/>
      <c r="N26" s="105"/>
      <c r="O26" s="119">
        <f t="shared" si="1"/>
        <v>0</v>
      </c>
      <c r="P26" s="186"/>
      <c r="Q26" s="187"/>
      <c r="R26" s="118">
        <v>14299.73</v>
      </c>
      <c r="S26" s="105">
        <v>615985.37</v>
      </c>
      <c r="T26" s="119">
        <f t="shared" si="2"/>
        <v>615985.37</v>
      </c>
      <c r="U26" s="186"/>
      <c r="V26" s="187"/>
      <c r="W26" s="118"/>
      <c r="X26" s="105"/>
      <c r="Y26" s="119">
        <f t="shared" si="3"/>
        <v>0</v>
      </c>
      <c r="Z26" s="186"/>
      <c r="AA26" s="187"/>
      <c r="AB26" s="118"/>
      <c r="AC26" s="105"/>
      <c r="AD26" s="119">
        <f t="shared" si="4"/>
        <v>0</v>
      </c>
      <c r="AE26" s="186"/>
      <c r="AF26" s="187"/>
      <c r="AG26" s="118"/>
      <c r="AH26" s="105"/>
      <c r="AI26" s="119">
        <f t="shared" si="5"/>
        <v>0</v>
      </c>
    </row>
    <row r="27" spans="2:35" x14ac:dyDescent="0.25">
      <c r="B27" s="141">
        <f t="shared" si="6"/>
        <v>13</v>
      </c>
      <c r="C27" s="84" t="s">
        <v>216</v>
      </c>
      <c r="D27" s="85"/>
      <c r="E27" s="5" t="s">
        <v>112</v>
      </c>
      <c r="F27" s="186"/>
      <c r="G27" s="187"/>
      <c r="H27" s="118"/>
      <c r="I27" s="105"/>
      <c r="J27" s="119">
        <f t="shared" si="0"/>
        <v>0</v>
      </c>
      <c r="K27" s="186"/>
      <c r="L27" s="187"/>
      <c r="M27" s="118"/>
      <c r="N27" s="105"/>
      <c r="O27" s="119">
        <f t="shared" si="1"/>
        <v>0</v>
      </c>
      <c r="P27" s="186"/>
      <c r="Q27" s="187"/>
      <c r="R27" s="118"/>
      <c r="S27" s="105"/>
      <c r="T27" s="119">
        <f t="shared" si="2"/>
        <v>0</v>
      </c>
      <c r="U27" s="186"/>
      <c r="V27" s="187"/>
      <c r="W27" s="118">
        <v>15337.81</v>
      </c>
      <c r="X27" s="105">
        <v>717312.07</v>
      </c>
      <c r="Y27" s="119">
        <f t="shared" si="3"/>
        <v>717312.07</v>
      </c>
      <c r="Z27" s="186"/>
      <c r="AA27" s="187"/>
      <c r="AB27" s="118"/>
      <c r="AC27" s="105"/>
      <c r="AD27" s="119">
        <f t="shared" si="4"/>
        <v>0</v>
      </c>
      <c r="AE27" s="186"/>
      <c r="AF27" s="187"/>
      <c r="AG27" s="118"/>
      <c r="AH27" s="105"/>
      <c r="AI27" s="119">
        <f t="shared" si="5"/>
        <v>0</v>
      </c>
    </row>
    <row r="28" spans="2:35" ht="14.5" thickBot="1" x14ac:dyDescent="0.3">
      <c r="B28" s="141">
        <f t="shared" si="6"/>
        <v>14</v>
      </c>
      <c r="C28" s="84"/>
      <c r="D28" s="85"/>
      <c r="E28" s="5" t="s">
        <v>112</v>
      </c>
      <c r="F28" s="186"/>
      <c r="G28" s="187"/>
      <c r="H28" s="118"/>
      <c r="I28" s="105"/>
      <c r="J28" s="119">
        <f t="shared" si="0"/>
        <v>0</v>
      </c>
      <c r="K28" s="186"/>
      <c r="L28" s="187"/>
      <c r="M28" s="118"/>
      <c r="N28" s="105"/>
      <c r="O28" s="119">
        <f t="shared" si="1"/>
        <v>0</v>
      </c>
      <c r="P28" s="186"/>
      <c r="Q28" s="187"/>
      <c r="R28" s="118"/>
      <c r="S28" s="105"/>
      <c r="T28" s="119">
        <f t="shared" si="2"/>
        <v>0</v>
      </c>
      <c r="U28" s="186"/>
      <c r="V28" s="187"/>
      <c r="W28" s="118"/>
      <c r="X28" s="105"/>
      <c r="Y28" s="119">
        <f t="shared" si="3"/>
        <v>0</v>
      </c>
      <c r="Z28" s="186"/>
      <c r="AA28" s="187"/>
      <c r="AB28" s="118"/>
      <c r="AC28" s="105"/>
      <c r="AD28" s="119">
        <f t="shared" si="4"/>
        <v>0</v>
      </c>
      <c r="AE28" s="186"/>
      <c r="AF28" s="187"/>
      <c r="AG28" s="118"/>
      <c r="AH28" s="105"/>
      <c r="AI28" s="119">
        <f t="shared" si="5"/>
        <v>0</v>
      </c>
    </row>
    <row r="29" spans="2:35" hidden="1" x14ac:dyDescent="0.25">
      <c r="B29" s="141">
        <f t="shared" si="6"/>
        <v>15</v>
      </c>
      <c r="C29" s="84"/>
      <c r="D29" s="85"/>
      <c r="E29" s="5" t="s">
        <v>112</v>
      </c>
      <c r="F29" s="186"/>
      <c r="G29" s="187"/>
      <c r="H29" s="118"/>
      <c r="I29" s="105"/>
      <c r="J29" s="119">
        <f t="shared" si="0"/>
        <v>0</v>
      </c>
      <c r="K29" s="186"/>
      <c r="L29" s="187"/>
      <c r="M29" s="118"/>
      <c r="N29" s="105"/>
      <c r="O29" s="119">
        <f t="shared" si="1"/>
        <v>0</v>
      </c>
      <c r="P29" s="186"/>
      <c r="Q29" s="187"/>
      <c r="R29" s="118"/>
      <c r="S29" s="105"/>
      <c r="T29" s="119">
        <f t="shared" si="2"/>
        <v>0</v>
      </c>
      <c r="U29" s="186"/>
      <c r="V29" s="187"/>
      <c r="W29" s="118"/>
      <c r="X29" s="105"/>
      <c r="Y29" s="119">
        <f t="shared" si="3"/>
        <v>0</v>
      </c>
      <c r="Z29" s="186"/>
      <c r="AA29" s="187"/>
      <c r="AB29" s="118"/>
      <c r="AC29" s="105"/>
      <c r="AD29" s="119">
        <f t="shared" si="4"/>
        <v>0</v>
      </c>
      <c r="AE29" s="186"/>
      <c r="AF29" s="187"/>
      <c r="AG29" s="118"/>
      <c r="AH29" s="105"/>
      <c r="AI29" s="119">
        <f t="shared" si="5"/>
        <v>0</v>
      </c>
    </row>
    <row r="30" spans="2:35" hidden="1" x14ac:dyDescent="0.25">
      <c r="B30" s="141">
        <f t="shared" si="6"/>
        <v>16</v>
      </c>
      <c r="C30" s="84"/>
      <c r="D30" s="85"/>
      <c r="E30" s="5" t="s">
        <v>112</v>
      </c>
      <c r="F30" s="186"/>
      <c r="G30" s="187"/>
      <c r="H30" s="118"/>
      <c r="I30" s="105"/>
      <c r="J30" s="119">
        <f t="shared" si="0"/>
        <v>0</v>
      </c>
      <c r="K30" s="186"/>
      <c r="L30" s="187"/>
      <c r="M30" s="118"/>
      <c r="N30" s="105"/>
      <c r="O30" s="119">
        <f t="shared" si="1"/>
        <v>0</v>
      </c>
      <c r="P30" s="186"/>
      <c r="Q30" s="187"/>
      <c r="R30" s="118"/>
      <c r="S30" s="105"/>
      <c r="T30" s="119">
        <f t="shared" si="2"/>
        <v>0</v>
      </c>
      <c r="U30" s="186"/>
      <c r="V30" s="187"/>
      <c r="W30" s="118"/>
      <c r="X30" s="105"/>
      <c r="Y30" s="119">
        <f t="shared" si="3"/>
        <v>0</v>
      </c>
      <c r="Z30" s="186"/>
      <c r="AA30" s="187"/>
      <c r="AB30" s="118"/>
      <c r="AC30" s="105"/>
      <c r="AD30" s="119">
        <f t="shared" si="4"/>
        <v>0</v>
      </c>
      <c r="AE30" s="186"/>
      <c r="AF30" s="187"/>
      <c r="AG30" s="118"/>
      <c r="AH30" s="105"/>
      <c r="AI30" s="119">
        <f t="shared" si="5"/>
        <v>0</v>
      </c>
    </row>
    <row r="31" spans="2:35" hidden="1" x14ac:dyDescent="0.25">
      <c r="B31" s="141">
        <f t="shared" si="6"/>
        <v>17</v>
      </c>
      <c r="C31" s="84"/>
      <c r="D31" s="85"/>
      <c r="E31" s="5" t="s">
        <v>112</v>
      </c>
      <c r="F31" s="186"/>
      <c r="G31" s="187"/>
      <c r="H31" s="118"/>
      <c r="I31" s="105"/>
      <c r="J31" s="119">
        <f t="shared" si="0"/>
        <v>0</v>
      </c>
      <c r="K31" s="186"/>
      <c r="L31" s="187"/>
      <c r="M31" s="118"/>
      <c r="N31" s="105"/>
      <c r="O31" s="119">
        <f t="shared" si="1"/>
        <v>0</v>
      </c>
      <c r="P31" s="186"/>
      <c r="Q31" s="187"/>
      <c r="R31" s="118"/>
      <c r="S31" s="105"/>
      <c r="T31" s="119">
        <f t="shared" si="2"/>
        <v>0</v>
      </c>
      <c r="U31" s="186"/>
      <c r="V31" s="187"/>
      <c r="W31" s="118"/>
      <c r="X31" s="105"/>
      <c r="Y31" s="119">
        <f t="shared" si="3"/>
        <v>0</v>
      </c>
      <c r="Z31" s="186"/>
      <c r="AA31" s="187"/>
      <c r="AB31" s="118"/>
      <c r="AC31" s="105"/>
      <c r="AD31" s="119">
        <f t="shared" si="4"/>
        <v>0</v>
      </c>
      <c r="AE31" s="186"/>
      <c r="AF31" s="187"/>
      <c r="AG31" s="118"/>
      <c r="AH31" s="105"/>
      <c r="AI31" s="119">
        <f t="shared" si="5"/>
        <v>0</v>
      </c>
    </row>
    <row r="32" spans="2:35" hidden="1" x14ac:dyDescent="0.25">
      <c r="B32" s="141">
        <f t="shared" si="6"/>
        <v>18</v>
      </c>
      <c r="C32" s="84"/>
      <c r="D32" s="85"/>
      <c r="E32" s="5" t="s">
        <v>112</v>
      </c>
      <c r="F32" s="186"/>
      <c r="G32" s="187"/>
      <c r="H32" s="118"/>
      <c r="I32" s="105"/>
      <c r="J32" s="119">
        <f t="shared" si="0"/>
        <v>0</v>
      </c>
      <c r="K32" s="186"/>
      <c r="L32" s="187"/>
      <c r="M32" s="118"/>
      <c r="N32" s="105"/>
      <c r="O32" s="119">
        <f t="shared" si="1"/>
        <v>0</v>
      </c>
      <c r="P32" s="186"/>
      <c r="Q32" s="187"/>
      <c r="R32" s="118"/>
      <c r="S32" s="105"/>
      <c r="T32" s="119">
        <f t="shared" si="2"/>
        <v>0</v>
      </c>
      <c r="U32" s="186"/>
      <c r="V32" s="187"/>
      <c r="W32" s="118"/>
      <c r="X32" s="105"/>
      <c r="Y32" s="119">
        <f t="shared" si="3"/>
        <v>0</v>
      </c>
      <c r="Z32" s="186"/>
      <c r="AA32" s="187"/>
      <c r="AB32" s="118"/>
      <c r="AC32" s="105"/>
      <c r="AD32" s="119">
        <f t="shared" si="4"/>
        <v>0</v>
      </c>
      <c r="AE32" s="186"/>
      <c r="AF32" s="187"/>
      <c r="AG32" s="118"/>
      <c r="AH32" s="105"/>
      <c r="AI32" s="119">
        <f t="shared" si="5"/>
        <v>0</v>
      </c>
    </row>
    <row r="33" spans="1:35" hidden="1" x14ac:dyDescent="0.25">
      <c r="B33" s="141">
        <f t="shared" si="6"/>
        <v>19</v>
      </c>
      <c r="C33" s="84"/>
      <c r="D33" s="85"/>
      <c r="E33" s="5" t="s">
        <v>112</v>
      </c>
      <c r="F33" s="186"/>
      <c r="G33" s="187"/>
      <c r="H33" s="118"/>
      <c r="I33" s="105"/>
      <c r="J33" s="119">
        <f>G33+I33</f>
        <v>0</v>
      </c>
      <c r="K33" s="186"/>
      <c r="L33" s="187"/>
      <c r="M33" s="118"/>
      <c r="N33" s="105"/>
      <c r="O33" s="119">
        <f t="shared" si="1"/>
        <v>0</v>
      </c>
      <c r="P33" s="186"/>
      <c r="Q33" s="187"/>
      <c r="R33" s="118"/>
      <c r="S33" s="105"/>
      <c r="T33" s="119">
        <f t="shared" si="2"/>
        <v>0</v>
      </c>
      <c r="U33" s="186"/>
      <c r="V33" s="187"/>
      <c r="W33" s="118"/>
      <c r="X33" s="105"/>
      <c r="Y33" s="119">
        <f t="shared" si="3"/>
        <v>0</v>
      </c>
      <c r="Z33" s="186"/>
      <c r="AA33" s="187"/>
      <c r="AB33" s="118"/>
      <c r="AC33" s="105"/>
      <c r="AD33" s="119">
        <f t="shared" si="4"/>
        <v>0</v>
      </c>
      <c r="AE33" s="186"/>
      <c r="AF33" s="187"/>
      <c r="AG33" s="118"/>
      <c r="AH33" s="105"/>
      <c r="AI33" s="119">
        <f t="shared" si="5"/>
        <v>0</v>
      </c>
    </row>
    <row r="34" spans="1:35" ht="14.5" hidden="1" thickBot="1" x14ac:dyDescent="0.3">
      <c r="B34" s="141">
        <f t="shared" si="6"/>
        <v>20</v>
      </c>
      <c r="C34" s="84"/>
      <c r="D34" s="85"/>
      <c r="E34" s="5" t="s">
        <v>112</v>
      </c>
      <c r="F34" s="186"/>
      <c r="G34" s="187"/>
      <c r="H34" s="118"/>
      <c r="I34" s="105"/>
      <c r="J34" s="119">
        <f>G34+I34</f>
        <v>0</v>
      </c>
      <c r="K34" s="186"/>
      <c r="L34" s="187"/>
      <c r="M34" s="118"/>
      <c r="N34" s="105"/>
      <c r="O34" s="119">
        <f t="shared" si="1"/>
        <v>0</v>
      </c>
      <c r="P34" s="186"/>
      <c r="Q34" s="187"/>
      <c r="R34" s="118"/>
      <c r="S34" s="105"/>
      <c r="T34" s="119">
        <f t="shared" si="2"/>
        <v>0</v>
      </c>
      <c r="U34" s="186"/>
      <c r="V34" s="187"/>
      <c r="W34" s="118"/>
      <c r="X34" s="105"/>
      <c r="Y34" s="119">
        <f t="shared" si="3"/>
        <v>0</v>
      </c>
      <c r="Z34" s="186"/>
      <c r="AA34" s="187"/>
      <c r="AB34" s="118"/>
      <c r="AC34" s="105"/>
      <c r="AD34" s="119">
        <f t="shared" si="4"/>
        <v>0</v>
      </c>
      <c r="AE34" s="186"/>
      <c r="AF34" s="187"/>
      <c r="AG34" s="118"/>
      <c r="AH34" s="105"/>
      <c r="AI34" s="119">
        <f t="shared" si="5"/>
        <v>0</v>
      </c>
    </row>
    <row r="35" spans="1:35" ht="31.5" customHeight="1" x14ac:dyDescent="0.25">
      <c r="D35" s="228" t="s">
        <v>108</v>
      </c>
      <c r="E35" s="229"/>
      <c r="F35" s="102">
        <f>SUMIF($E15:$E34,"&lt;&gt;SÍ",F15:F34)</f>
        <v>0</v>
      </c>
      <c r="G35" s="106">
        <f>SUMIF($E15:$E34,"&lt;&gt;SÍ",G15:G34)</f>
        <v>0</v>
      </c>
      <c r="H35" s="107">
        <f>SUMIF($E15:$E34,"&lt;&gt;SÍ",H15:H34)</f>
        <v>13249.8</v>
      </c>
      <c r="I35" s="108">
        <f>SUMIF($E15:$E34,"&lt;&gt;SÍ",I15:I34)</f>
        <v>511323.00000000012</v>
      </c>
      <c r="J35" s="81">
        <f>G35+I35</f>
        <v>511323.00000000012</v>
      </c>
      <c r="K35" s="102">
        <f>SUMIF($E15:$E34,"&lt;&gt;SÍ",K15:K34)</f>
        <v>0</v>
      </c>
      <c r="L35" s="106">
        <f>SUMIF($E15:$E34,"&lt;&gt;SÍ",L15:L34)</f>
        <v>0</v>
      </c>
      <c r="M35" s="107">
        <f>SUMIF($E15:$E34,"&lt;&gt;SÍ",M15:M34)</f>
        <v>14299.73</v>
      </c>
      <c r="N35" s="108">
        <f>SUMIF($E15:$E34,"&lt;&gt;SÍ",N15:N34)</f>
        <v>572889.74</v>
      </c>
      <c r="O35" s="81">
        <f>L35+N35</f>
        <v>572889.74</v>
      </c>
      <c r="P35" s="102">
        <f>SUMIF($E15:$E34,"&lt;&gt;SÍ",P15:P34)</f>
        <v>0</v>
      </c>
      <c r="Q35" s="106">
        <f>SUMIF($E15:$E34,"&lt;&gt;SÍ",Q15:Q34)</f>
        <v>0</v>
      </c>
      <c r="R35" s="107">
        <f>SUMIF($E15:$E34,"&lt;&gt;SÍ",R15:R34)</f>
        <v>14299.73</v>
      </c>
      <c r="S35" s="108">
        <f>SUMIF($E15:$E34,"&lt;&gt;SÍ",S15:S34)</f>
        <v>615985.37</v>
      </c>
      <c r="T35" s="81">
        <f>Q35+S35</f>
        <v>615985.37</v>
      </c>
      <c r="U35" s="102">
        <f>SUMIF($E15:$E34,"&lt;&gt;SÍ",U15:U34)</f>
        <v>0</v>
      </c>
      <c r="V35" s="106">
        <f>SUMIF($E15:$E34,"&lt;&gt;SÍ",V15:V34)</f>
        <v>0</v>
      </c>
      <c r="W35" s="107">
        <f>SUMIF($E15:$E34,"&lt;&gt;SÍ",W15:W34)</f>
        <v>15337.81</v>
      </c>
      <c r="X35" s="108">
        <f>SUMIF($E15:$E34,"&lt;&gt;SÍ",X15:X34)</f>
        <v>717312.07</v>
      </c>
      <c r="Y35" s="81">
        <f>V35+X35</f>
        <v>717312.07</v>
      </c>
      <c r="Z35" s="102">
        <f>SUMIF($E15:$E34,"&lt;&gt;SÍ",Z15:Z34)</f>
        <v>0</v>
      </c>
      <c r="AA35" s="106">
        <f>SUMIF($E15:$E34,"&lt;&gt;SÍ",AA15:AA34)</f>
        <v>0</v>
      </c>
      <c r="AB35" s="107">
        <f>SUMIF($E15:$E34,"&lt;&gt;SÍ",AB15:AB34)</f>
        <v>0</v>
      </c>
      <c r="AC35" s="108">
        <f>SUMIF($E15:$E34,"&lt;&gt;SÍ",AC15:AC34)</f>
        <v>0</v>
      </c>
      <c r="AD35" s="81">
        <f>AA35+AC35</f>
        <v>0</v>
      </c>
      <c r="AE35" s="102">
        <f>SUMIF($E15:$E34,"&lt;&gt;SÍ",AE15:AE34)</f>
        <v>0</v>
      </c>
      <c r="AF35" s="106">
        <f>SUMIF($E15:$E34,"&lt;&gt;SÍ",AF15:AF34)</f>
        <v>0</v>
      </c>
      <c r="AG35" s="107">
        <f>SUMIF($E15:$E34,"&lt;&gt;SÍ",AG15:AG34)</f>
        <v>0</v>
      </c>
      <c r="AH35" s="108">
        <f>SUMIF($E15:$E34,"&lt;&gt;SÍ",AH15:AH34)</f>
        <v>0</v>
      </c>
      <c r="AI35" s="81">
        <f>AF35+AH35</f>
        <v>0</v>
      </c>
    </row>
    <row r="36" spans="1:35" ht="31.5" customHeight="1" thickBot="1" x14ac:dyDescent="0.3">
      <c r="D36" s="230" t="s">
        <v>109</v>
      </c>
      <c r="E36" s="231"/>
      <c r="F36" s="109">
        <f>SUMIF($E15:$E34,"SÍ",F15:F34)</f>
        <v>0</v>
      </c>
      <c r="G36" s="110">
        <f>SUMIF($E15:$E34,"SÍ",G15:G34)</f>
        <v>0</v>
      </c>
      <c r="H36" s="111"/>
      <c r="I36" s="112"/>
      <c r="J36" s="113">
        <f>G36</f>
        <v>0</v>
      </c>
      <c r="K36" s="109">
        <f>SUMIF($E15:$E34,"SÍ",K15:K34)</f>
        <v>0</v>
      </c>
      <c r="L36" s="110">
        <f>SUMIF($E15:$E34,"SÍ",L15:L34)</f>
        <v>0</v>
      </c>
      <c r="M36" s="111"/>
      <c r="N36" s="112"/>
      <c r="O36" s="113">
        <f>L36</f>
        <v>0</v>
      </c>
      <c r="P36" s="109">
        <f>SUMIF($E15:$E34,"SÍ",P15:P34)</f>
        <v>0</v>
      </c>
      <c r="Q36" s="110">
        <f>SUMIF($E15:$E34,"SÍ",Q15:Q34)</f>
        <v>0</v>
      </c>
      <c r="R36" s="111"/>
      <c r="S36" s="112"/>
      <c r="T36" s="113">
        <f>Q36</f>
        <v>0</v>
      </c>
      <c r="U36" s="109">
        <f>SUMIF($E15:$E34,"SÍ",U15:U34)</f>
        <v>0</v>
      </c>
      <c r="V36" s="110">
        <f>SUMIF($E15:$E34,"SÍ",V15:V34)</f>
        <v>0</v>
      </c>
      <c r="W36" s="111"/>
      <c r="X36" s="112"/>
      <c r="Y36" s="113">
        <f>V36</f>
        <v>0</v>
      </c>
      <c r="Z36" s="109">
        <f>SUMIF($E15:$E34,"SÍ",Z15:Z34)</f>
        <v>0</v>
      </c>
      <c r="AA36" s="110">
        <f>SUMIF($E15:$E34,"SÍ",AA15:AA34)</f>
        <v>0</v>
      </c>
      <c r="AB36" s="111"/>
      <c r="AC36" s="112"/>
      <c r="AD36" s="113">
        <f>AA36</f>
        <v>0</v>
      </c>
      <c r="AE36" s="109">
        <f>SUMIF($E15:$E34,"SÍ",AE15:AE34)</f>
        <v>0</v>
      </c>
      <c r="AF36" s="110">
        <f>SUMIF($E15:$E34,"SÍ",AF15:AF34)</f>
        <v>0</v>
      </c>
      <c r="AG36" s="111"/>
      <c r="AH36" s="112"/>
      <c r="AI36" s="113">
        <f>AF36</f>
        <v>0</v>
      </c>
    </row>
    <row r="37" spans="1:35" ht="31.5" customHeight="1" thickBot="1" x14ac:dyDescent="0.3">
      <c r="C37" s="120"/>
      <c r="D37" s="145" t="s">
        <v>13</v>
      </c>
      <c r="E37" s="146"/>
      <c r="F37" s="103">
        <f>F35+F36</f>
        <v>0</v>
      </c>
      <c r="G37" s="114">
        <f>G35+G36</f>
        <v>0</v>
      </c>
      <c r="H37" s="115">
        <f>H35</f>
        <v>13249.8</v>
      </c>
      <c r="I37" s="116">
        <f>I35</f>
        <v>511323.00000000012</v>
      </c>
      <c r="J37" s="117">
        <f>G37+I37</f>
        <v>511323.00000000012</v>
      </c>
      <c r="K37" s="103">
        <f>K35+K36</f>
        <v>0</v>
      </c>
      <c r="L37" s="114">
        <f>L35+L36</f>
        <v>0</v>
      </c>
      <c r="M37" s="115">
        <f>M35</f>
        <v>14299.73</v>
      </c>
      <c r="N37" s="116">
        <f>N35</f>
        <v>572889.74</v>
      </c>
      <c r="O37" s="117">
        <f>L37+N37</f>
        <v>572889.74</v>
      </c>
      <c r="P37" s="103">
        <f>P35+P36</f>
        <v>0</v>
      </c>
      <c r="Q37" s="114">
        <f>Q35+Q36</f>
        <v>0</v>
      </c>
      <c r="R37" s="115">
        <f>R35</f>
        <v>14299.73</v>
      </c>
      <c r="S37" s="116">
        <f>S35</f>
        <v>615985.37</v>
      </c>
      <c r="T37" s="117">
        <f>Q37+S37</f>
        <v>615985.37</v>
      </c>
      <c r="U37" s="103">
        <f>U35+U36</f>
        <v>0</v>
      </c>
      <c r="V37" s="114">
        <f>V35+V36</f>
        <v>0</v>
      </c>
      <c r="W37" s="115">
        <f>W35</f>
        <v>15337.81</v>
      </c>
      <c r="X37" s="116">
        <f>X35</f>
        <v>717312.07</v>
      </c>
      <c r="Y37" s="117">
        <f>V37+X37</f>
        <v>717312.07</v>
      </c>
      <c r="Z37" s="103">
        <f>Z35+Z36</f>
        <v>0</v>
      </c>
      <c r="AA37" s="114">
        <f>AA35+AA36</f>
        <v>0</v>
      </c>
      <c r="AB37" s="115">
        <f>AB35</f>
        <v>0</v>
      </c>
      <c r="AC37" s="116">
        <f>AC35</f>
        <v>0</v>
      </c>
      <c r="AD37" s="117">
        <f>AA37+AC37</f>
        <v>0</v>
      </c>
      <c r="AE37" s="103">
        <f>AE35+AE36</f>
        <v>0</v>
      </c>
      <c r="AF37" s="114">
        <f>AF35+AF36</f>
        <v>0</v>
      </c>
      <c r="AG37" s="115">
        <f>AG35</f>
        <v>0</v>
      </c>
      <c r="AH37" s="116">
        <f>AH35</f>
        <v>0</v>
      </c>
      <c r="AI37" s="117">
        <f>AF37+AH37</f>
        <v>0</v>
      </c>
    </row>
    <row r="38" spans="1:35" ht="6" customHeight="1" x14ac:dyDescent="0.25">
      <c r="A38" s="22"/>
      <c r="B38" s="22"/>
      <c r="C38" s="22"/>
      <c r="D38" s="22"/>
      <c r="E38" s="22"/>
      <c r="F38" s="22"/>
      <c r="G38" s="22"/>
      <c r="H38" s="22"/>
      <c r="I38" s="22"/>
      <c r="J38" s="22"/>
    </row>
  </sheetData>
  <sheetProtection insertRows="0"/>
  <protectedRanges>
    <protectedRange password="CC9E" sqref="G12 D1:G1 F38 D2:D5 D37:E38 H38:IU38 K34:K36 P34:P36 U34:U36 Z34:Z36 AE34:AE36 H34:J37 M34:O37 R34:T37 W34:Y37 AB34:AD37 AG13:IU13 AA15:AA37 V15:V37 Q15:Q37 H13:K13 L15:L37 G14:G38 B1:C5 B6:B8 A1:A8 A11:A38 E9:IU10 E2:G8 B11:G11 H1:IU8 H11:IU12 A9:B10 M13:P13 R13:U13 W13:Z13 AB13:AE13 AF15:IU37 H15:K33 M15:P24 R15:U33 W15:Z33 AB15:AE33 H14:IU14 D12:F17 D20:F20 E18:F19 D22:F36 E21:F21 B12:C38 M26:P33 O25:P25" name="Rango2"/>
    <protectedRange password="CC9E" sqref="A40:A65549 K40:IU65549 G12 F38:F65549 D2:D5 D37:E65549 D1:J1 K38:IU38 P34:P36 U34:U36 Z34:Z36 AE34:AE36 M34:O37 R34:T37 W34:Y37 AB34:AD37 AG13:IU13 AA15:AA37 V15:V37 Q15:Q37 K13 L15:L37 G14:G65549 B1:C5 B6:B8 A1:A8 A11:A38 E9:IU10 E2:G8 B11:G11 K1:IU8 K11:IU12 I2:J8 H1:H8 H11:J65549 A9:B10 M13:P13 R13:U13 W13:Z13 AB13:AE13 AF15:IU37 K15:K36 M15:P24 R15:U33 W15:Z33 AB15:AE33 K14:IU14 D12:F17 D20:F20 E18:F19 D22:F36 E21:F21 B12:C65549 M26:P33 O25:P25" name="Rango1"/>
    <protectedRange password="CC9E" sqref="A39:IU39" name="Rango2_1"/>
    <protectedRange password="CC9E" sqref="A39:IU39" name="Rango1_1"/>
    <protectedRange password="CC9E" sqref="D18" name="Rango2_2"/>
    <protectedRange password="CC9E" sqref="D18" name="Rango1_2"/>
    <protectedRange password="CC9E" sqref="D19" name="Rango2_3"/>
    <protectedRange password="CC9E" sqref="D19" name="Rango1_3"/>
    <protectedRange password="CC9E" sqref="D21" name="Rango2_4"/>
    <protectedRange password="CC9E" sqref="D21" name="Rango1_4"/>
    <protectedRange password="CC9E" sqref="M25:N25" name="Rango2_5"/>
    <protectedRange password="CC9E" sqref="M25:N25" name="Rango1_5"/>
  </protectedRanges>
  <mergeCells count="12">
    <mergeCell ref="F13:J13"/>
    <mergeCell ref="D35:E35"/>
    <mergeCell ref="D36:E36"/>
    <mergeCell ref="B13:B14"/>
    <mergeCell ref="D13:D14"/>
    <mergeCell ref="C13:C14"/>
    <mergeCell ref="E13:E14"/>
    <mergeCell ref="K13:O13"/>
    <mergeCell ref="P13:T13"/>
    <mergeCell ref="U13:Y13"/>
    <mergeCell ref="Z13:AD13"/>
    <mergeCell ref="AE13:AI13"/>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47"/>
      <c r="F1" s="247"/>
      <c r="G1" s="247"/>
      <c r="H1" s="247"/>
      <c r="I1" s="247"/>
      <c r="J1" s="247"/>
      <c r="K1" s="12"/>
      <c r="L1" s="12"/>
      <c r="M1" s="12"/>
      <c r="N1" s="12"/>
    </row>
    <row r="2" spans="1:23" ht="15" customHeight="1" x14ac:dyDescent="0.25">
      <c r="B2" s="121"/>
    </row>
    <row r="3" spans="1:23" ht="15" customHeight="1" x14ac:dyDescent="0.25"/>
    <row r="4" spans="1:23" x14ac:dyDescent="0.25">
      <c r="B4" s="96" t="s">
        <v>5</v>
      </c>
    </row>
    <row r="5" spans="1:23" ht="15" customHeight="1" x14ac:dyDescent="0.25">
      <c r="B5" s="239" t="s">
        <v>131</v>
      </c>
      <c r="C5" s="239"/>
      <c r="D5" s="239"/>
      <c r="E5" s="239"/>
      <c r="F5" s="239"/>
      <c r="G5" s="239"/>
      <c r="H5" s="239"/>
      <c r="I5" s="239"/>
      <c r="J5" s="239"/>
      <c r="K5" s="239"/>
      <c r="L5" s="239"/>
      <c r="M5" s="239"/>
      <c r="N5" s="239"/>
    </row>
    <row r="6" spans="1:23" ht="14.25" customHeight="1" x14ac:dyDescent="0.25">
      <c r="B6" s="239"/>
      <c r="C6" s="239"/>
      <c r="D6" s="239"/>
      <c r="E6" s="239"/>
      <c r="F6" s="239"/>
      <c r="G6" s="239"/>
      <c r="H6" s="239"/>
      <c r="I6" s="239"/>
      <c r="J6" s="239"/>
      <c r="K6" s="239"/>
      <c r="L6" s="239"/>
      <c r="M6" s="239"/>
      <c r="N6" s="239"/>
    </row>
    <row r="7" spans="1:23" x14ac:dyDescent="0.25">
      <c r="B7" s="100"/>
      <c r="C7" s="179"/>
      <c r="F7" s="91"/>
    </row>
    <row r="8" spans="1:23" ht="33.75" customHeight="1" x14ac:dyDescent="0.25">
      <c r="B8" s="248" t="s">
        <v>136</v>
      </c>
      <c r="C8" s="248"/>
      <c r="D8" s="248"/>
      <c r="E8" s="248"/>
      <c r="F8" s="91"/>
    </row>
    <row r="9" spans="1:23" x14ac:dyDescent="0.25">
      <c r="B9" s="135"/>
      <c r="C9" s="179"/>
      <c r="F9" s="91"/>
    </row>
    <row r="10" spans="1:23" x14ac:dyDescent="0.25">
      <c r="B10" s="135" t="s">
        <v>124</v>
      </c>
      <c r="C10" s="179"/>
      <c r="F10" s="91"/>
    </row>
    <row r="11" spans="1:23" x14ac:dyDescent="0.25">
      <c r="B11" s="135"/>
      <c r="C11" s="179"/>
      <c r="F11" s="91"/>
    </row>
    <row r="12" spans="1:23" ht="27" customHeight="1" x14ac:dyDescent="0.25">
      <c r="B12" s="248" t="s">
        <v>146</v>
      </c>
      <c r="C12" s="248"/>
      <c r="D12" s="248"/>
      <c r="E12" s="248"/>
      <c r="F12" s="91"/>
    </row>
    <row r="13" spans="1:23" x14ac:dyDescent="0.25">
      <c r="B13" s="100"/>
      <c r="D13" s="179"/>
      <c r="F13" s="91"/>
    </row>
    <row r="14" spans="1:23" ht="6" customHeight="1" thickBot="1" x14ac:dyDescent="0.3"/>
    <row r="15" spans="1:23" ht="15.75" customHeight="1" thickBot="1" x14ac:dyDescent="0.3">
      <c r="A15" s="59"/>
      <c r="B15" s="232" t="s">
        <v>147</v>
      </c>
      <c r="C15" s="243" t="s">
        <v>7</v>
      </c>
      <c r="D15" s="232" t="s">
        <v>80</v>
      </c>
      <c r="E15" s="232" t="s">
        <v>128</v>
      </c>
      <c r="F15" s="240">
        <f>Personal!F13</f>
        <v>2021</v>
      </c>
      <c r="G15" s="241"/>
      <c r="H15" s="242"/>
      <c r="I15" s="240">
        <f>F15+1</f>
        <v>2022</v>
      </c>
      <c r="J15" s="241"/>
      <c r="K15" s="242"/>
      <c r="L15" s="240">
        <f>I15+1</f>
        <v>2023</v>
      </c>
      <c r="M15" s="241"/>
      <c r="N15" s="242"/>
      <c r="O15" s="240">
        <f>L15+1</f>
        <v>2024</v>
      </c>
      <c r="P15" s="241"/>
      <c r="Q15" s="242"/>
      <c r="R15" s="240">
        <f>O15+1</f>
        <v>2025</v>
      </c>
      <c r="S15" s="241"/>
      <c r="T15" s="242"/>
      <c r="U15" s="240">
        <f>R15+1</f>
        <v>2026</v>
      </c>
      <c r="V15" s="241"/>
      <c r="W15" s="242"/>
    </row>
    <row r="16" spans="1:23" s="59" customFormat="1" ht="78.75" customHeight="1" thickBot="1" x14ac:dyDescent="0.3">
      <c r="A16" s="16"/>
      <c r="B16" s="233" t="s">
        <v>1</v>
      </c>
      <c r="C16" s="244" t="s">
        <v>0</v>
      </c>
      <c r="D16" s="233"/>
      <c r="E16" s="233"/>
      <c r="F16" s="149" t="s">
        <v>8</v>
      </c>
      <c r="G16" s="150" t="s">
        <v>149</v>
      </c>
      <c r="H16" s="151" t="s">
        <v>9</v>
      </c>
      <c r="I16" s="149" t="s">
        <v>8</v>
      </c>
      <c r="J16" s="150" t="s">
        <v>149</v>
      </c>
      <c r="K16" s="151" t="s">
        <v>9</v>
      </c>
      <c r="L16" s="149" t="s">
        <v>8</v>
      </c>
      <c r="M16" s="150" t="s">
        <v>149</v>
      </c>
      <c r="N16" s="151" t="s">
        <v>9</v>
      </c>
      <c r="O16" s="149" t="s">
        <v>8</v>
      </c>
      <c r="P16" s="150" t="s">
        <v>149</v>
      </c>
      <c r="Q16" s="151" t="s">
        <v>9</v>
      </c>
      <c r="R16" s="149" t="s">
        <v>8</v>
      </c>
      <c r="S16" s="150" t="s">
        <v>149</v>
      </c>
      <c r="T16" s="151" t="s">
        <v>9</v>
      </c>
      <c r="U16" s="149" t="s">
        <v>8</v>
      </c>
      <c r="V16" s="150" t="s">
        <v>149</v>
      </c>
      <c r="W16" s="151" t="s">
        <v>9</v>
      </c>
    </row>
    <row r="17" spans="2:23" ht="15.75" customHeight="1" x14ac:dyDescent="0.25">
      <c r="B17" s="140">
        <v>1</v>
      </c>
      <c r="C17" s="69"/>
      <c r="D17" s="69"/>
      <c r="E17" s="70"/>
      <c r="F17" s="61"/>
      <c r="G17" s="67"/>
      <c r="H17" s="188">
        <f>SUM(F17:G17)</f>
        <v>0</v>
      </c>
      <c r="I17" s="61"/>
      <c r="J17" s="67"/>
      <c r="K17" s="188">
        <f>SUM(I17:J17)</f>
        <v>0</v>
      </c>
      <c r="L17" s="61"/>
      <c r="M17" s="67"/>
      <c r="N17" s="188">
        <f>SUM(L17:M17)</f>
        <v>0</v>
      </c>
      <c r="O17" s="61"/>
      <c r="P17" s="67"/>
      <c r="Q17" s="188">
        <f>SUM(O17:P17)</f>
        <v>0</v>
      </c>
      <c r="R17" s="61"/>
      <c r="S17" s="67"/>
      <c r="T17" s="188">
        <f>SUM(R17:S17)</f>
        <v>0</v>
      </c>
      <c r="U17" s="61"/>
      <c r="V17" s="67"/>
      <c r="W17" s="188">
        <f>U17+V17</f>
        <v>0</v>
      </c>
    </row>
    <row r="18" spans="2:23" x14ac:dyDescent="0.25">
      <c r="B18" s="141">
        <f>B17+1</f>
        <v>2</v>
      </c>
      <c r="C18" s="71"/>
      <c r="D18" s="71"/>
      <c r="E18" s="72"/>
      <c r="F18" s="61"/>
      <c r="G18" s="62"/>
      <c r="H18" s="188">
        <f t="shared" ref="H18:H36" si="0">SUM(F18:G18)</f>
        <v>0</v>
      </c>
      <c r="I18" s="73"/>
      <c r="J18" s="74"/>
      <c r="K18" s="188">
        <f t="shared" ref="K18:K36" si="1">SUM(I18:J18)</f>
        <v>0</v>
      </c>
      <c r="L18" s="67"/>
      <c r="M18" s="67"/>
      <c r="N18" s="188">
        <f t="shared" ref="N18:N36" si="2">SUM(L18:M18)</f>
        <v>0</v>
      </c>
      <c r="O18" s="67"/>
      <c r="P18" s="67"/>
      <c r="Q18" s="188">
        <f t="shared" ref="Q18:Q36" si="3">SUM(O18:P18)</f>
        <v>0</v>
      </c>
      <c r="R18" s="67"/>
      <c r="S18" s="67"/>
      <c r="T18" s="188">
        <f t="shared" ref="T18:T36" si="4">SUM(R18:S18)</f>
        <v>0</v>
      </c>
      <c r="U18" s="67"/>
      <c r="V18" s="67"/>
      <c r="W18" s="188">
        <f t="shared" ref="W18:W36" si="5">U18+V18</f>
        <v>0</v>
      </c>
    </row>
    <row r="19" spans="2:23" x14ac:dyDescent="0.25">
      <c r="B19" s="141">
        <f t="shared" ref="B19:B35" si="6">B18+1</f>
        <v>3</v>
      </c>
      <c r="C19" s="71"/>
      <c r="D19" s="71"/>
      <c r="E19" s="72"/>
      <c r="F19" s="61"/>
      <c r="G19" s="62"/>
      <c r="H19" s="188">
        <f t="shared" si="0"/>
        <v>0</v>
      </c>
      <c r="I19" s="73"/>
      <c r="J19" s="74"/>
      <c r="K19" s="188">
        <f t="shared" si="1"/>
        <v>0</v>
      </c>
      <c r="L19" s="67"/>
      <c r="M19" s="67"/>
      <c r="N19" s="188">
        <f t="shared" si="2"/>
        <v>0</v>
      </c>
      <c r="O19" s="67"/>
      <c r="P19" s="67"/>
      <c r="Q19" s="188">
        <f t="shared" si="3"/>
        <v>0</v>
      </c>
      <c r="R19" s="67"/>
      <c r="S19" s="67"/>
      <c r="T19" s="188">
        <f t="shared" si="4"/>
        <v>0</v>
      </c>
      <c r="U19" s="67"/>
      <c r="V19" s="67"/>
      <c r="W19" s="188">
        <f t="shared" si="5"/>
        <v>0</v>
      </c>
    </row>
    <row r="20" spans="2:23" x14ac:dyDescent="0.25">
      <c r="B20" s="141">
        <f t="shared" si="6"/>
        <v>4</v>
      </c>
      <c r="C20" s="71"/>
      <c r="D20" s="71"/>
      <c r="E20" s="72"/>
      <c r="F20" s="61"/>
      <c r="G20" s="62"/>
      <c r="H20" s="188">
        <f t="shared" si="0"/>
        <v>0</v>
      </c>
      <c r="I20" s="73"/>
      <c r="J20" s="74"/>
      <c r="K20" s="188">
        <f t="shared" si="1"/>
        <v>0</v>
      </c>
      <c r="L20" s="67"/>
      <c r="M20" s="67"/>
      <c r="N20" s="188">
        <f t="shared" si="2"/>
        <v>0</v>
      </c>
      <c r="O20" s="67"/>
      <c r="P20" s="67"/>
      <c r="Q20" s="188">
        <f t="shared" si="3"/>
        <v>0</v>
      </c>
      <c r="R20" s="67"/>
      <c r="S20" s="67"/>
      <c r="T20" s="188">
        <f t="shared" si="4"/>
        <v>0</v>
      </c>
      <c r="U20" s="67"/>
      <c r="V20" s="67"/>
      <c r="W20" s="188">
        <f t="shared" si="5"/>
        <v>0</v>
      </c>
    </row>
    <row r="21" spans="2:23" x14ac:dyDescent="0.25">
      <c r="B21" s="141">
        <f t="shared" si="6"/>
        <v>5</v>
      </c>
      <c r="C21" s="71"/>
      <c r="D21" s="71"/>
      <c r="E21" s="72"/>
      <c r="F21" s="61"/>
      <c r="G21" s="62"/>
      <c r="H21" s="188">
        <f t="shared" si="0"/>
        <v>0</v>
      </c>
      <c r="I21" s="73"/>
      <c r="J21" s="74"/>
      <c r="K21" s="188">
        <f t="shared" si="1"/>
        <v>0</v>
      </c>
      <c r="L21" s="67"/>
      <c r="M21" s="67"/>
      <c r="N21" s="188">
        <f t="shared" si="2"/>
        <v>0</v>
      </c>
      <c r="O21" s="67"/>
      <c r="P21" s="67"/>
      <c r="Q21" s="188">
        <f t="shared" si="3"/>
        <v>0</v>
      </c>
      <c r="R21" s="67"/>
      <c r="S21" s="67"/>
      <c r="T21" s="188">
        <f t="shared" si="4"/>
        <v>0</v>
      </c>
      <c r="U21" s="67"/>
      <c r="V21" s="67"/>
      <c r="W21" s="188">
        <f t="shared" si="5"/>
        <v>0</v>
      </c>
    </row>
    <row r="22" spans="2:23" x14ac:dyDescent="0.25">
      <c r="B22" s="141">
        <f t="shared" si="6"/>
        <v>6</v>
      </c>
      <c r="C22" s="71"/>
      <c r="D22" s="71"/>
      <c r="E22" s="72"/>
      <c r="F22" s="61"/>
      <c r="G22" s="62"/>
      <c r="H22" s="188">
        <f t="shared" si="0"/>
        <v>0</v>
      </c>
      <c r="I22" s="73"/>
      <c r="J22" s="74"/>
      <c r="K22" s="188">
        <f t="shared" si="1"/>
        <v>0</v>
      </c>
      <c r="L22" s="67"/>
      <c r="M22" s="67"/>
      <c r="N22" s="188">
        <f t="shared" si="2"/>
        <v>0</v>
      </c>
      <c r="O22" s="67"/>
      <c r="P22" s="67"/>
      <c r="Q22" s="188">
        <f t="shared" si="3"/>
        <v>0</v>
      </c>
      <c r="R22" s="67"/>
      <c r="S22" s="67"/>
      <c r="T22" s="188">
        <f t="shared" si="4"/>
        <v>0</v>
      </c>
      <c r="U22" s="67"/>
      <c r="V22" s="67"/>
      <c r="W22" s="188">
        <f t="shared" si="5"/>
        <v>0</v>
      </c>
    </row>
    <row r="23" spans="2:23" x14ac:dyDescent="0.25">
      <c r="B23" s="141">
        <f t="shared" si="6"/>
        <v>7</v>
      </c>
      <c r="C23" s="71"/>
      <c r="D23" s="71"/>
      <c r="E23" s="72"/>
      <c r="F23" s="61"/>
      <c r="G23" s="62"/>
      <c r="H23" s="188">
        <f t="shared" si="0"/>
        <v>0</v>
      </c>
      <c r="I23" s="73"/>
      <c r="J23" s="74"/>
      <c r="K23" s="188">
        <f t="shared" si="1"/>
        <v>0</v>
      </c>
      <c r="L23" s="67"/>
      <c r="M23" s="67"/>
      <c r="N23" s="188">
        <f t="shared" si="2"/>
        <v>0</v>
      </c>
      <c r="O23" s="67"/>
      <c r="P23" s="67"/>
      <c r="Q23" s="188">
        <f t="shared" si="3"/>
        <v>0</v>
      </c>
      <c r="R23" s="67"/>
      <c r="S23" s="67"/>
      <c r="T23" s="188">
        <f t="shared" si="4"/>
        <v>0</v>
      </c>
      <c r="U23" s="67"/>
      <c r="V23" s="67"/>
      <c r="W23" s="188">
        <f t="shared" si="5"/>
        <v>0</v>
      </c>
    </row>
    <row r="24" spans="2:23" x14ac:dyDescent="0.25">
      <c r="B24" s="141">
        <f t="shared" si="6"/>
        <v>8</v>
      </c>
      <c r="C24" s="71"/>
      <c r="D24" s="71"/>
      <c r="E24" s="72"/>
      <c r="F24" s="61"/>
      <c r="G24" s="62"/>
      <c r="H24" s="188">
        <f t="shared" si="0"/>
        <v>0</v>
      </c>
      <c r="I24" s="73"/>
      <c r="J24" s="74"/>
      <c r="K24" s="188">
        <f t="shared" si="1"/>
        <v>0</v>
      </c>
      <c r="L24" s="67"/>
      <c r="M24" s="67"/>
      <c r="N24" s="188">
        <f t="shared" si="2"/>
        <v>0</v>
      </c>
      <c r="O24" s="67"/>
      <c r="P24" s="67"/>
      <c r="Q24" s="188">
        <f t="shared" si="3"/>
        <v>0</v>
      </c>
      <c r="R24" s="67"/>
      <c r="S24" s="67"/>
      <c r="T24" s="188">
        <f t="shared" si="4"/>
        <v>0</v>
      </c>
      <c r="U24" s="67"/>
      <c r="V24" s="67"/>
      <c r="W24" s="188">
        <f t="shared" si="5"/>
        <v>0</v>
      </c>
    </row>
    <row r="25" spans="2:23" x14ac:dyDescent="0.25">
      <c r="B25" s="141">
        <f t="shared" si="6"/>
        <v>9</v>
      </c>
      <c r="C25" s="71"/>
      <c r="D25" s="71"/>
      <c r="E25" s="72"/>
      <c r="F25" s="61"/>
      <c r="G25" s="62"/>
      <c r="H25" s="188">
        <f t="shared" si="0"/>
        <v>0</v>
      </c>
      <c r="I25" s="73"/>
      <c r="J25" s="74"/>
      <c r="K25" s="188">
        <f t="shared" si="1"/>
        <v>0</v>
      </c>
      <c r="L25" s="67"/>
      <c r="M25" s="67"/>
      <c r="N25" s="188">
        <f t="shared" si="2"/>
        <v>0</v>
      </c>
      <c r="O25" s="67"/>
      <c r="P25" s="67"/>
      <c r="Q25" s="188">
        <f t="shared" si="3"/>
        <v>0</v>
      </c>
      <c r="R25" s="67"/>
      <c r="S25" s="67"/>
      <c r="T25" s="188">
        <f t="shared" si="4"/>
        <v>0</v>
      </c>
      <c r="U25" s="67"/>
      <c r="V25" s="67"/>
      <c r="W25" s="188">
        <f t="shared" si="5"/>
        <v>0</v>
      </c>
    </row>
    <row r="26" spans="2:23" x14ac:dyDescent="0.25">
      <c r="B26" s="141">
        <f t="shared" si="6"/>
        <v>10</v>
      </c>
      <c r="C26" s="71"/>
      <c r="D26" s="71"/>
      <c r="E26" s="72"/>
      <c r="F26" s="61"/>
      <c r="G26" s="62"/>
      <c r="H26" s="188">
        <f t="shared" si="0"/>
        <v>0</v>
      </c>
      <c r="I26" s="73"/>
      <c r="J26" s="74"/>
      <c r="K26" s="188">
        <f t="shared" si="1"/>
        <v>0</v>
      </c>
      <c r="L26" s="67"/>
      <c r="M26" s="67"/>
      <c r="N26" s="188">
        <f t="shared" si="2"/>
        <v>0</v>
      </c>
      <c r="O26" s="67"/>
      <c r="P26" s="67"/>
      <c r="Q26" s="188">
        <f t="shared" si="3"/>
        <v>0</v>
      </c>
      <c r="R26" s="67"/>
      <c r="S26" s="67"/>
      <c r="T26" s="188">
        <f t="shared" si="4"/>
        <v>0</v>
      </c>
      <c r="U26" s="67"/>
      <c r="V26" s="67"/>
      <c r="W26" s="188">
        <f t="shared" si="5"/>
        <v>0</v>
      </c>
    </row>
    <row r="27" spans="2:23" x14ac:dyDescent="0.25">
      <c r="B27" s="141">
        <f t="shared" si="6"/>
        <v>11</v>
      </c>
      <c r="C27" s="71"/>
      <c r="D27" s="71"/>
      <c r="E27" s="72"/>
      <c r="F27" s="61"/>
      <c r="G27" s="62"/>
      <c r="H27" s="188">
        <f t="shared" si="0"/>
        <v>0</v>
      </c>
      <c r="I27" s="73"/>
      <c r="J27" s="74"/>
      <c r="K27" s="188">
        <f t="shared" si="1"/>
        <v>0</v>
      </c>
      <c r="L27" s="67"/>
      <c r="M27" s="67"/>
      <c r="N27" s="188">
        <f t="shared" si="2"/>
        <v>0</v>
      </c>
      <c r="O27" s="67"/>
      <c r="P27" s="67"/>
      <c r="Q27" s="188">
        <f t="shared" si="3"/>
        <v>0</v>
      </c>
      <c r="R27" s="67"/>
      <c r="S27" s="67"/>
      <c r="T27" s="188">
        <f t="shared" si="4"/>
        <v>0</v>
      </c>
      <c r="U27" s="67"/>
      <c r="V27" s="67"/>
      <c r="W27" s="188">
        <f t="shared" si="5"/>
        <v>0</v>
      </c>
    </row>
    <row r="28" spans="2:23" x14ac:dyDescent="0.25">
      <c r="B28" s="141">
        <f t="shared" si="6"/>
        <v>12</v>
      </c>
      <c r="C28" s="71"/>
      <c r="D28" s="71"/>
      <c r="E28" s="72"/>
      <c r="F28" s="61"/>
      <c r="G28" s="62"/>
      <c r="H28" s="188">
        <f t="shared" si="0"/>
        <v>0</v>
      </c>
      <c r="I28" s="73"/>
      <c r="J28" s="74"/>
      <c r="K28" s="188">
        <f t="shared" si="1"/>
        <v>0</v>
      </c>
      <c r="L28" s="67"/>
      <c r="M28" s="67"/>
      <c r="N28" s="188">
        <f t="shared" si="2"/>
        <v>0</v>
      </c>
      <c r="O28" s="67"/>
      <c r="P28" s="67"/>
      <c r="Q28" s="188">
        <f t="shared" si="3"/>
        <v>0</v>
      </c>
      <c r="R28" s="67"/>
      <c r="S28" s="67"/>
      <c r="T28" s="188">
        <f t="shared" si="4"/>
        <v>0</v>
      </c>
      <c r="U28" s="67"/>
      <c r="V28" s="67"/>
      <c r="W28" s="188">
        <f t="shared" si="5"/>
        <v>0</v>
      </c>
    </row>
    <row r="29" spans="2:23" x14ac:dyDescent="0.25">
      <c r="B29" s="141">
        <f t="shared" si="6"/>
        <v>13</v>
      </c>
      <c r="C29" s="71"/>
      <c r="D29" s="71"/>
      <c r="E29" s="72"/>
      <c r="F29" s="61"/>
      <c r="G29" s="62"/>
      <c r="H29" s="188">
        <f t="shared" si="0"/>
        <v>0</v>
      </c>
      <c r="I29" s="73"/>
      <c r="J29" s="74"/>
      <c r="K29" s="188">
        <f t="shared" si="1"/>
        <v>0</v>
      </c>
      <c r="L29" s="67"/>
      <c r="M29" s="67"/>
      <c r="N29" s="188">
        <f t="shared" si="2"/>
        <v>0</v>
      </c>
      <c r="O29" s="67"/>
      <c r="P29" s="67"/>
      <c r="Q29" s="188">
        <f t="shared" si="3"/>
        <v>0</v>
      </c>
      <c r="R29" s="67"/>
      <c r="S29" s="67"/>
      <c r="T29" s="188">
        <f t="shared" si="4"/>
        <v>0</v>
      </c>
      <c r="U29" s="67"/>
      <c r="V29" s="67"/>
      <c r="W29" s="188">
        <f t="shared" si="5"/>
        <v>0</v>
      </c>
    </row>
    <row r="30" spans="2:23" x14ac:dyDescent="0.25">
      <c r="B30" s="141">
        <f t="shared" si="6"/>
        <v>14</v>
      </c>
      <c r="C30" s="71"/>
      <c r="D30" s="71"/>
      <c r="E30" s="72"/>
      <c r="F30" s="61"/>
      <c r="G30" s="62"/>
      <c r="H30" s="188">
        <f t="shared" si="0"/>
        <v>0</v>
      </c>
      <c r="I30" s="73"/>
      <c r="J30" s="74"/>
      <c r="K30" s="188">
        <f t="shared" si="1"/>
        <v>0</v>
      </c>
      <c r="L30" s="67"/>
      <c r="M30" s="67"/>
      <c r="N30" s="188">
        <f t="shared" si="2"/>
        <v>0</v>
      </c>
      <c r="O30" s="67"/>
      <c r="P30" s="67"/>
      <c r="Q30" s="188">
        <f t="shared" si="3"/>
        <v>0</v>
      </c>
      <c r="R30" s="67"/>
      <c r="S30" s="67"/>
      <c r="T30" s="188">
        <f t="shared" si="4"/>
        <v>0</v>
      </c>
      <c r="U30" s="67"/>
      <c r="V30" s="67"/>
      <c r="W30" s="188">
        <f t="shared" si="5"/>
        <v>0</v>
      </c>
    </row>
    <row r="31" spans="2:23" x14ac:dyDescent="0.25">
      <c r="B31" s="141">
        <f t="shared" si="6"/>
        <v>15</v>
      </c>
      <c r="C31" s="71"/>
      <c r="D31" s="71"/>
      <c r="E31" s="72"/>
      <c r="F31" s="61"/>
      <c r="G31" s="62"/>
      <c r="H31" s="188">
        <f t="shared" si="0"/>
        <v>0</v>
      </c>
      <c r="I31" s="73"/>
      <c r="J31" s="74"/>
      <c r="K31" s="188">
        <f t="shared" si="1"/>
        <v>0</v>
      </c>
      <c r="L31" s="67"/>
      <c r="M31" s="67"/>
      <c r="N31" s="188">
        <f t="shared" si="2"/>
        <v>0</v>
      </c>
      <c r="O31" s="67"/>
      <c r="P31" s="67"/>
      <c r="Q31" s="188">
        <f t="shared" si="3"/>
        <v>0</v>
      </c>
      <c r="R31" s="67"/>
      <c r="S31" s="67"/>
      <c r="T31" s="188">
        <f t="shared" si="4"/>
        <v>0</v>
      </c>
      <c r="U31" s="67"/>
      <c r="V31" s="67"/>
      <c r="W31" s="188">
        <f t="shared" si="5"/>
        <v>0</v>
      </c>
    </row>
    <row r="32" spans="2:23" x14ac:dyDescent="0.25">
      <c r="B32" s="141">
        <f t="shared" si="6"/>
        <v>16</v>
      </c>
      <c r="C32" s="71"/>
      <c r="D32" s="71"/>
      <c r="E32" s="72"/>
      <c r="F32" s="61"/>
      <c r="G32" s="62"/>
      <c r="H32" s="188">
        <f t="shared" si="0"/>
        <v>0</v>
      </c>
      <c r="I32" s="73"/>
      <c r="J32" s="74"/>
      <c r="K32" s="188">
        <f t="shared" si="1"/>
        <v>0</v>
      </c>
      <c r="L32" s="67"/>
      <c r="M32" s="67"/>
      <c r="N32" s="188">
        <f t="shared" si="2"/>
        <v>0</v>
      </c>
      <c r="O32" s="67"/>
      <c r="P32" s="67"/>
      <c r="Q32" s="188">
        <f t="shared" si="3"/>
        <v>0</v>
      </c>
      <c r="R32" s="67"/>
      <c r="S32" s="67"/>
      <c r="T32" s="188">
        <f t="shared" si="4"/>
        <v>0</v>
      </c>
      <c r="U32" s="67"/>
      <c r="V32" s="67"/>
      <c r="W32" s="188">
        <f t="shared" si="5"/>
        <v>0</v>
      </c>
    </row>
    <row r="33" spans="2:23" x14ac:dyDescent="0.25">
      <c r="B33" s="141">
        <f t="shared" si="6"/>
        <v>17</v>
      </c>
      <c r="C33" s="71"/>
      <c r="D33" s="71"/>
      <c r="E33" s="72"/>
      <c r="F33" s="61"/>
      <c r="G33" s="62"/>
      <c r="H33" s="188">
        <f t="shared" si="0"/>
        <v>0</v>
      </c>
      <c r="I33" s="73"/>
      <c r="J33" s="74"/>
      <c r="K33" s="188">
        <f t="shared" si="1"/>
        <v>0</v>
      </c>
      <c r="L33" s="67"/>
      <c r="M33" s="67"/>
      <c r="N33" s="188">
        <f t="shared" si="2"/>
        <v>0</v>
      </c>
      <c r="O33" s="67"/>
      <c r="P33" s="67"/>
      <c r="Q33" s="188">
        <f t="shared" si="3"/>
        <v>0</v>
      </c>
      <c r="R33" s="67"/>
      <c r="S33" s="67"/>
      <c r="T33" s="188">
        <f t="shared" si="4"/>
        <v>0</v>
      </c>
      <c r="U33" s="67"/>
      <c r="V33" s="67"/>
      <c r="W33" s="188">
        <f t="shared" si="5"/>
        <v>0</v>
      </c>
    </row>
    <row r="34" spans="2:23" x14ac:dyDescent="0.25">
      <c r="B34" s="147">
        <f t="shared" si="6"/>
        <v>18</v>
      </c>
      <c r="C34" s="71"/>
      <c r="D34" s="71"/>
      <c r="E34" s="72"/>
      <c r="F34" s="61"/>
      <c r="G34" s="62"/>
      <c r="H34" s="188">
        <f t="shared" si="0"/>
        <v>0</v>
      </c>
      <c r="I34" s="73"/>
      <c r="J34" s="74"/>
      <c r="K34" s="188">
        <f t="shared" si="1"/>
        <v>0</v>
      </c>
      <c r="L34" s="67"/>
      <c r="M34" s="67"/>
      <c r="N34" s="188">
        <f t="shared" si="2"/>
        <v>0</v>
      </c>
      <c r="O34" s="67"/>
      <c r="P34" s="67"/>
      <c r="Q34" s="188">
        <f t="shared" si="3"/>
        <v>0</v>
      </c>
      <c r="R34" s="67"/>
      <c r="S34" s="67"/>
      <c r="T34" s="188">
        <f t="shared" si="4"/>
        <v>0</v>
      </c>
      <c r="U34" s="67"/>
      <c r="V34" s="67"/>
      <c r="W34" s="188">
        <f t="shared" si="5"/>
        <v>0</v>
      </c>
    </row>
    <row r="35" spans="2:23" x14ac:dyDescent="0.25">
      <c r="B35" s="147">
        <f t="shared" si="6"/>
        <v>19</v>
      </c>
      <c r="C35" s="71"/>
      <c r="D35" s="71"/>
      <c r="E35" s="72"/>
      <c r="F35" s="61"/>
      <c r="G35" s="62"/>
      <c r="H35" s="188">
        <f t="shared" si="0"/>
        <v>0</v>
      </c>
      <c r="I35" s="73"/>
      <c r="J35" s="74"/>
      <c r="K35" s="188">
        <f t="shared" si="1"/>
        <v>0</v>
      </c>
      <c r="L35" s="67"/>
      <c r="M35" s="67"/>
      <c r="N35" s="188">
        <f t="shared" si="2"/>
        <v>0</v>
      </c>
      <c r="O35" s="67"/>
      <c r="P35" s="67"/>
      <c r="Q35" s="188">
        <f t="shared" si="3"/>
        <v>0</v>
      </c>
      <c r="R35" s="67"/>
      <c r="S35" s="67"/>
      <c r="T35" s="188">
        <f t="shared" si="4"/>
        <v>0</v>
      </c>
      <c r="U35" s="67"/>
      <c r="V35" s="67"/>
      <c r="W35" s="188">
        <f t="shared" si="5"/>
        <v>0</v>
      </c>
    </row>
    <row r="36" spans="2:23" ht="14.5" thickBot="1" x14ac:dyDescent="0.3">
      <c r="B36" s="148">
        <f>B35+1</f>
        <v>20</v>
      </c>
      <c r="C36" s="75"/>
      <c r="D36" s="75"/>
      <c r="E36" s="72"/>
      <c r="F36" s="61"/>
      <c r="G36" s="76"/>
      <c r="H36" s="189">
        <f t="shared" si="0"/>
        <v>0</v>
      </c>
      <c r="I36" s="77"/>
      <c r="J36" s="78"/>
      <c r="K36" s="189">
        <f t="shared" si="1"/>
        <v>0</v>
      </c>
      <c r="L36" s="67"/>
      <c r="M36" s="67"/>
      <c r="N36" s="189">
        <f t="shared" si="2"/>
        <v>0</v>
      </c>
      <c r="O36" s="67"/>
      <c r="P36" s="67"/>
      <c r="Q36" s="189">
        <f t="shared" si="3"/>
        <v>0</v>
      </c>
      <c r="R36" s="67"/>
      <c r="S36" s="67"/>
      <c r="T36" s="189">
        <f t="shared" si="4"/>
        <v>0</v>
      </c>
      <c r="U36" s="67"/>
      <c r="V36" s="67"/>
      <c r="W36" s="188">
        <f t="shared" si="5"/>
        <v>0</v>
      </c>
    </row>
    <row r="37" spans="2:23" ht="21" customHeight="1" thickBot="1" x14ac:dyDescent="0.3">
      <c r="C37" s="245" t="s">
        <v>18</v>
      </c>
      <c r="D37" s="246"/>
      <c r="E37" s="152" t="s">
        <v>15</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7" t="s">
        <v>19</v>
      </c>
      <c r="D38" s="177"/>
      <c r="E38" s="152" t="s">
        <v>16</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7" t="s">
        <v>20</v>
      </c>
      <c r="D39" s="177"/>
      <c r="E39" s="152" t="s">
        <v>29</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36" t="s">
        <v>129</v>
      </c>
      <c r="D40" s="237"/>
      <c r="E40" s="238"/>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O15:Q15"/>
    <mergeCell ref="R15:T15"/>
    <mergeCell ref="U15:W15"/>
    <mergeCell ref="E1:J1"/>
    <mergeCell ref="B8:E8"/>
    <mergeCell ref="B12:E12"/>
    <mergeCell ref="C40:E40"/>
    <mergeCell ref="B5:N6"/>
    <mergeCell ref="I15:K15"/>
    <mergeCell ref="L15:N15"/>
    <mergeCell ref="B15:B16"/>
    <mergeCell ref="C15:C16"/>
    <mergeCell ref="F15:H15"/>
    <mergeCell ref="E15:E16"/>
    <mergeCell ref="D15:D16"/>
    <mergeCell ref="C37:D37"/>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6"/>
  <sheetViews>
    <sheetView showGridLines="0" showZeros="0" zoomScale="75" workbookViewId="0">
      <pane xSplit="4" ySplit="14" topLeftCell="F15" activePane="bottomRight" state="frozen"/>
      <selection activeCell="C5" sqref="C5:D5"/>
      <selection pane="topRight" activeCell="C5" sqref="C5:D5"/>
      <selection pane="bottomLeft" activeCell="C5" sqref="C5:D5"/>
      <selection pane="bottomRight" activeCell="Z43" sqref="Z43"/>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hidden="1" customWidth="1"/>
    <col min="6" max="13" width="14.7265625" style="16" customWidth="1"/>
    <col min="14" max="14" width="15.453125" style="16" customWidth="1"/>
    <col min="15" max="15" width="15.26953125" style="16" customWidth="1"/>
    <col min="16" max="16" width="16" style="16" customWidth="1"/>
    <col min="17" max="19" width="15" style="16" hidden="1" customWidth="1"/>
    <col min="20" max="20" width="15.453125" style="16" hidden="1" customWidth="1"/>
    <col min="21" max="21" width="14.26953125" style="16" hidden="1" customWidth="1"/>
    <col min="22" max="22" width="14.7265625" style="16" hidden="1" customWidth="1"/>
    <col min="23" max="16384" width="11.453125" style="16"/>
  </cols>
  <sheetData>
    <row r="1" spans="1:22" ht="63" customHeight="1" x14ac:dyDescent="0.25">
      <c r="E1" s="247"/>
      <c r="F1" s="247"/>
      <c r="G1" s="247"/>
      <c r="H1" s="247"/>
      <c r="I1" s="247"/>
      <c r="J1" s="12"/>
      <c r="K1" s="12"/>
      <c r="L1" s="12"/>
      <c r="M1" s="12"/>
    </row>
    <row r="4" spans="1:22" x14ac:dyDescent="0.25">
      <c r="B4" s="96" t="s">
        <v>5</v>
      </c>
    </row>
    <row r="5" spans="1:22" x14ac:dyDescent="0.25">
      <c r="B5" s="21" t="s">
        <v>17</v>
      </c>
    </row>
    <row r="8" spans="1:22" ht="28.5" customHeight="1" x14ac:dyDescent="0.25">
      <c r="B8" s="248" t="s">
        <v>136</v>
      </c>
      <c r="C8" s="248"/>
      <c r="D8" s="248"/>
    </row>
    <row r="9" spans="1:22" x14ac:dyDescent="0.25">
      <c r="B9" s="135"/>
      <c r="C9" s="182"/>
      <c r="D9" s="104"/>
      <c r="E9" s="91"/>
    </row>
    <row r="10" spans="1:22" ht="29.25" customHeight="1" x14ac:dyDescent="0.25">
      <c r="B10" s="248" t="s">
        <v>137</v>
      </c>
      <c r="C10" s="248"/>
      <c r="D10" s="248"/>
      <c r="E10" s="91"/>
    </row>
    <row r="11" spans="1:22" x14ac:dyDescent="0.25">
      <c r="B11" s="135"/>
      <c r="C11" s="182"/>
      <c r="D11" s="182"/>
      <c r="E11" s="91"/>
    </row>
    <row r="12" spans="1:22" ht="6" customHeight="1" thickBot="1" x14ac:dyDescent="0.3"/>
    <row r="13" spans="1:22" ht="15.75" customHeight="1" thickBot="1" x14ac:dyDescent="0.3">
      <c r="A13" s="59"/>
      <c r="B13" s="232" t="s">
        <v>147</v>
      </c>
      <c r="C13" s="243" t="s">
        <v>7</v>
      </c>
      <c r="D13" s="232" t="s">
        <v>80</v>
      </c>
      <c r="E13" s="240">
        <f>Personal!F13</f>
        <v>2021</v>
      </c>
      <c r="F13" s="241"/>
      <c r="G13" s="242"/>
      <c r="H13" s="240">
        <f>E13+1</f>
        <v>2022</v>
      </c>
      <c r="I13" s="241"/>
      <c r="J13" s="242"/>
      <c r="K13" s="240">
        <f>H13+1</f>
        <v>2023</v>
      </c>
      <c r="L13" s="241"/>
      <c r="M13" s="242"/>
      <c r="N13" s="240">
        <f>K13+1</f>
        <v>2024</v>
      </c>
      <c r="O13" s="241"/>
      <c r="P13" s="242"/>
      <c r="Q13" s="240">
        <f>N13+1</f>
        <v>2025</v>
      </c>
      <c r="R13" s="241"/>
      <c r="S13" s="242"/>
      <c r="T13" s="240">
        <f>Q13+1</f>
        <v>2026</v>
      </c>
      <c r="U13" s="241"/>
      <c r="V13" s="242"/>
    </row>
    <row r="14" spans="1:22" s="59" customFormat="1" ht="66.75" customHeight="1" thickBot="1" x14ac:dyDescent="0.3">
      <c r="A14" s="16"/>
      <c r="B14" s="233" t="s">
        <v>1</v>
      </c>
      <c r="C14" s="244" t="s">
        <v>0</v>
      </c>
      <c r="D14" s="233"/>
      <c r="E14" s="149" t="s">
        <v>8</v>
      </c>
      <c r="F14" s="150" t="s">
        <v>149</v>
      </c>
      <c r="G14" s="151" t="s">
        <v>9</v>
      </c>
      <c r="H14" s="149" t="s">
        <v>8</v>
      </c>
      <c r="I14" s="150" t="s">
        <v>149</v>
      </c>
      <c r="J14" s="151" t="s">
        <v>9</v>
      </c>
      <c r="K14" s="153" t="s">
        <v>8</v>
      </c>
      <c r="L14" s="150" t="s">
        <v>149</v>
      </c>
      <c r="M14" s="151" t="s">
        <v>9</v>
      </c>
      <c r="N14" s="153" t="s">
        <v>8</v>
      </c>
      <c r="O14" s="150" t="s">
        <v>149</v>
      </c>
      <c r="P14" s="151" t="s">
        <v>9</v>
      </c>
      <c r="Q14" s="153" t="s">
        <v>8</v>
      </c>
      <c r="R14" s="150" t="s">
        <v>149</v>
      </c>
      <c r="S14" s="151" t="s">
        <v>9</v>
      </c>
      <c r="T14" s="153" t="s">
        <v>8</v>
      </c>
      <c r="U14" s="150" t="s">
        <v>149</v>
      </c>
      <c r="V14" s="151" t="s">
        <v>9</v>
      </c>
    </row>
    <row r="15" spans="1:22" ht="15.75" customHeight="1" x14ac:dyDescent="0.25">
      <c r="B15" s="140">
        <v>1</v>
      </c>
      <c r="C15" s="66" t="s">
        <v>210</v>
      </c>
      <c r="D15" s="173" t="s">
        <v>166</v>
      </c>
      <c r="E15" s="61"/>
      <c r="F15" s="67">
        <v>89996.84</v>
      </c>
      <c r="G15" s="188">
        <f>E15+F15</f>
        <v>89996.84</v>
      </c>
      <c r="H15" s="61"/>
      <c r="I15" s="67"/>
      <c r="J15" s="188">
        <f>SUM(H15:I15)</f>
        <v>0</v>
      </c>
      <c r="K15" s="61"/>
      <c r="L15" s="67"/>
      <c r="M15" s="188">
        <f>SUM(K15:L15)</f>
        <v>0</v>
      </c>
      <c r="N15" s="61"/>
      <c r="O15" s="67"/>
      <c r="P15" s="188">
        <f>SUM(N15:O15)</f>
        <v>0</v>
      </c>
      <c r="Q15" s="61"/>
      <c r="R15" s="67"/>
      <c r="S15" s="188">
        <f>SUM(Q15:R15)</f>
        <v>0</v>
      </c>
      <c r="T15" s="61"/>
      <c r="U15" s="67"/>
      <c r="V15" s="188">
        <f>SUM(T15:U15)</f>
        <v>0</v>
      </c>
    </row>
    <row r="16" spans="1:22" x14ac:dyDescent="0.25">
      <c r="B16" s="141">
        <f>B15+1</f>
        <v>2</v>
      </c>
      <c r="C16" s="68" t="s">
        <v>167</v>
      </c>
      <c r="D16" s="174" t="s">
        <v>168</v>
      </c>
      <c r="E16" s="61"/>
      <c r="F16" s="62">
        <v>20466.78</v>
      </c>
      <c r="G16" s="188">
        <f t="shared" ref="G16:G34" si="0">E16+F16</f>
        <v>20466.78</v>
      </c>
      <c r="H16" s="61"/>
      <c r="I16" s="62"/>
      <c r="J16" s="188">
        <f t="shared" ref="J16:J34" si="1">SUM(H16:I16)</f>
        <v>0</v>
      </c>
      <c r="K16" s="61"/>
      <c r="L16" s="62"/>
      <c r="M16" s="188">
        <f t="shared" ref="M16:M34" si="2">SUM(K16:L16)</f>
        <v>0</v>
      </c>
      <c r="N16" s="61"/>
      <c r="O16" s="62"/>
      <c r="P16" s="188">
        <f t="shared" ref="P16:P34" si="3">SUM(N16:O16)</f>
        <v>0</v>
      </c>
      <c r="Q16" s="61"/>
      <c r="R16" s="62"/>
      <c r="S16" s="188">
        <f t="shared" ref="S16:S34" si="4">SUM(Q16:R16)</f>
        <v>0</v>
      </c>
      <c r="T16" s="61"/>
      <c r="U16" s="62"/>
      <c r="V16" s="188">
        <f t="shared" ref="V16:V34" si="5">SUM(T16:U16)</f>
        <v>0</v>
      </c>
    </row>
    <row r="17" spans="2:22" x14ac:dyDescent="0.25">
      <c r="B17" s="141">
        <f t="shared" ref="B17:B33" si="6">B16+1</f>
        <v>3</v>
      </c>
      <c r="C17" s="68" t="s">
        <v>169</v>
      </c>
      <c r="D17" s="174" t="s">
        <v>170</v>
      </c>
      <c r="E17" s="61"/>
      <c r="F17" s="62">
        <v>4224</v>
      </c>
      <c r="G17" s="188">
        <f t="shared" si="0"/>
        <v>4224</v>
      </c>
      <c r="H17" s="61"/>
      <c r="I17" s="62"/>
      <c r="J17" s="188">
        <f t="shared" si="1"/>
        <v>0</v>
      </c>
      <c r="K17" s="61"/>
      <c r="L17" s="62"/>
      <c r="M17" s="188">
        <f t="shared" si="2"/>
        <v>0</v>
      </c>
      <c r="N17" s="61"/>
      <c r="O17" s="62"/>
      <c r="P17" s="188">
        <f t="shared" si="3"/>
        <v>0</v>
      </c>
      <c r="Q17" s="61"/>
      <c r="R17" s="62"/>
      <c r="S17" s="188">
        <f t="shared" si="4"/>
        <v>0</v>
      </c>
      <c r="T17" s="61"/>
      <c r="U17" s="62"/>
      <c r="V17" s="188">
        <f t="shared" si="5"/>
        <v>0</v>
      </c>
    </row>
    <row r="18" spans="2:22" x14ac:dyDescent="0.25">
      <c r="B18" s="141">
        <f t="shared" si="6"/>
        <v>4</v>
      </c>
      <c r="C18" s="68" t="s">
        <v>171</v>
      </c>
      <c r="D18" s="174" t="s">
        <v>172</v>
      </c>
      <c r="E18" s="61"/>
      <c r="F18" s="62">
        <v>32873.440000000002</v>
      </c>
      <c r="G18" s="188">
        <f t="shared" si="0"/>
        <v>32873.440000000002</v>
      </c>
      <c r="H18" s="61"/>
      <c r="I18" s="62"/>
      <c r="J18" s="188">
        <f t="shared" si="1"/>
        <v>0</v>
      </c>
      <c r="K18" s="61"/>
      <c r="L18" s="62"/>
      <c r="M18" s="188">
        <f t="shared" si="2"/>
        <v>0</v>
      </c>
      <c r="N18" s="61"/>
      <c r="O18" s="62"/>
      <c r="P18" s="188">
        <f t="shared" si="3"/>
        <v>0</v>
      </c>
      <c r="Q18" s="61"/>
      <c r="R18" s="62"/>
      <c r="S18" s="188">
        <f t="shared" si="4"/>
        <v>0</v>
      </c>
      <c r="T18" s="61"/>
      <c r="U18" s="62"/>
      <c r="V18" s="188">
        <f t="shared" si="5"/>
        <v>0</v>
      </c>
    </row>
    <row r="19" spans="2:22" x14ac:dyDescent="0.25">
      <c r="B19" s="141">
        <f t="shared" si="6"/>
        <v>5</v>
      </c>
      <c r="C19" s="68" t="s">
        <v>173</v>
      </c>
      <c r="D19" s="174" t="s">
        <v>174</v>
      </c>
      <c r="E19" s="61"/>
      <c r="F19" s="62">
        <v>91500</v>
      </c>
      <c r="G19" s="188">
        <f t="shared" si="0"/>
        <v>91500</v>
      </c>
      <c r="H19" s="61"/>
      <c r="I19" s="62"/>
      <c r="J19" s="188">
        <f t="shared" si="1"/>
        <v>0</v>
      </c>
      <c r="K19" s="61"/>
      <c r="L19" s="62"/>
      <c r="M19" s="188">
        <f t="shared" si="2"/>
        <v>0</v>
      </c>
      <c r="N19" s="61"/>
      <c r="O19" s="62"/>
      <c r="P19" s="188">
        <f t="shared" si="3"/>
        <v>0</v>
      </c>
      <c r="Q19" s="61"/>
      <c r="R19" s="62"/>
      <c r="S19" s="188">
        <f t="shared" si="4"/>
        <v>0</v>
      </c>
      <c r="T19" s="61"/>
      <c r="U19" s="62"/>
      <c r="V19" s="188">
        <f t="shared" si="5"/>
        <v>0</v>
      </c>
    </row>
    <row r="20" spans="2:22" x14ac:dyDescent="0.25">
      <c r="B20" s="141">
        <f t="shared" si="6"/>
        <v>6</v>
      </c>
      <c r="C20" s="68" t="s">
        <v>175</v>
      </c>
      <c r="D20" s="174" t="s">
        <v>176</v>
      </c>
      <c r="E20" s="61"/>
      <c r="F20" s="62">
        <v>217604.97</v>
      </c>
      <c r="G20" s="188">
        <f t="shared" si="0"/>
        <v>217604.97</v>
      </c>
      <c r="H20" s="61"/>
      <c r="I20" s="62"/>
      <c r="J20" s="188">
        <f t="shared" si="1"/>
        <v>0</v>
      </c>
      <c r="K20" s="61"/>
      <c r="L20" s="62"/>
      <c r="M20" s="188">
        <f t="shared" si="2"/>
        <v>0</v>
      </c>
      <c r="N20" s="61"/>
      <c r="O20" s="62"/>
      <c r="P20" s="188">
        <f t="shared" si="3"/>
        <v>0</v>
      </c>
      <c r="Q20" s="61"/>
      <c r="R20" s="62"/>
      <c r="S20" s="188">
        <f t="shared" si="4"/>
        <v>0</v>
      </c>
      <c r="T20" s="61"/>
      <c r="U20" s="62"/>
      <c r="V20" s="188">
        <f t="shared" si="5"/>
        <v>0</v>
      </c>
    </row>
    <row r="21" spans="2:22" x14ac:dyDescent="0.25">
      <c r="B21" s="141">
        <f t="shared" si="6"/>
        <v>7</v>
      </c>
      <c r="C21" s="68"/>
      <c r="D21" s="174"/>
      <c r="E21" s="61"/>
      <c r="F21" s="62"/>
      <c r="G21" s="188">
        <f t="shared" si="0"/>
        <v>0</v>
      </c>
      <c r="H21" s="61"/>
      <c r="I21" s="62"/>
      <c r="J21" s="188">
        <f t="shared" si="1"/>
        <v>0</v>
      </c>
      <c r="K21" s="61"/>
      <c r="L21" s="62"/>
      <c r="M21" s="188">
        <f t="shared" si="2"/>
        <v>0</v>
      </c>
      <c r="N21" s="61"/>
      <c r="O21" s="62"/>
      <c r="P21" s="188">
        <f t="shared" si="3"/>
        <v>0</v>
      </c>
      <c r="Q21" s="61"/>
      <c r="R21" s="62"/>
      <c r="S21" s="188">
        <f t="shared" si="4"/>
        <v>0</v>
      </c>
      <c r="T21" s="61"/>
      <c r="U21" s="62"/>
      <c r="V21" s="188">
        <f t="shared" si="5"/>
        <v>0</v>
      </c>
    </row>
    <row r="22" spans="2:22" x14ac:dyDescent="0.25">
      <c r="B22" s="141">
        <f t="shared" si="6"/>
        <v>8</v>
      </c>
      <c r="C22" s="68" t="s">
        <v>211</v>
      </c>
      <c r="D22" s="174"/>
      <c r="E22" s="61"/>
      <c r="F22" s="62"/>
      <c r="G22" s="188">
        <f t="shared" si="0"/>
        <v>0</v>
      </c>
      <c r="H22" s="61">
        <v>519249.72</v>
      </c>
      <c r="I22" s="62">
        <v>519249.72</v>
      </c>
      <c r="J22" s="188">
        <f t="shared" si="1"/>
        <v>1038499.44</v>
      </c>
      <c r="K22" s="61"/>
      <c r="L22" s="62"/>
      <c r="M22" s="188">
        <f t="shared" si="2"/>
        <v>0</v>
      </c>
      <c r="N22" s="61"/>
      <c r="O22" s="62"/>
      <c r="P22" s="188">
        <f t="shared" si="3"/>
        <v>0</v>
      </c>
      <c r="Q22" s="61"/>
      <c r="R22" s="62"/>
      <c r="S22" s="188">
        <f t="shared" si="4"/>
        <v>0</v>
      </c>
      <c r="T22" s="61"/>
      <c r="U22" s="62"/>
      <c r="V22" s="188">
        <f t="shared" si="5"/>
        <v>0</v>
      </c>
    </row>
    <row r="23" spans="2:22" x14ac:dyDescent="0.25">
      <c r="B23" s="141">
        <f t="shared" si="6"/>
        <v>9</v>
      </c>
      <c r="C23" s="68" t="s">
        <v>212</v>
      </c>
      <c r="D23" s="174"/>
      <c r="E23" s="61"/>
      <c r="F23" s="62"/>
      <c r="G23" s="188">
        <f t="shared" si="0"/>
        <v>0</v>
      </c>
      <c r="H23" s="61"/>
      <c r="I23" s="62"/>
      <c r="J23" s="188">
        <f t="shared" si="1"/>
        <v>0</v>
      </c>
      <c r="K23" s="61">
        <v>732292.42999999993</v>
      </c>
      <c r="L23" s="62">
        <v>732292.42999999993</v>
      </c>
      <c r="M23" s="188">
        <f t="shared" si="2"/>
        <v>1464584.8599999999</v>
      </c>
      <c r="N23" s="61"/>
      <c r="O23" s="62"/>
      <c r="P23" s="188">
        <f t="shared" si="3"/>
        <v>0</v>
      </c>
      <c r="Q23" s="61"/>
      <c r="R23" s="62"/>
      <c r="S23" s="188">
        <f t="shared" si="4"/>
        <v>0</v>
      </c>
      <c r="T23" s="61"/>
      <c r="U23" s="62"/>
      <c r="V23" s="188">
        <f t="shared" si="5"/>
        <v>0</v>
      </c>
    </row>
    <row r="24" spans="2:22" x14ac:dyDescent="0.25">
      <c r="B24" s="141">
        <f t="shared" si="6"/>
        <v>10</v>
      </c>
      <c r="C24" s="68" t="s">
        <v>213</v>
      </c>
      <c r="D24" s="174"/>
      <c r="E24" s="61"/>
      <c r="F24" s="62"/>
      <c r="G24" s="188">
        <f t="shared" si="0"/>
        <v>0</v>
      </c>
      <c r="H24" s="61"/>
      <c r="I24" s="62"/>
      <c r="J24" s="188">
        <f t="shared" si="1"/>
        <v>0</v>
      </c>
      <c r="K24" s="61"/>
      <c r="L24" s="62"/>
      <c r="M24" s="188">
        <f t="shared" si="2"/>
        <v>0</v>
      </c>
      <c r="N24" s="61">
        <v>615333.57999999996</v>
      </c>
      <c r="O24" s="62">
        <v>615333.57999999996</v>
      </c>
      <c r="P24" s="188">
        <f t="shared" si="3"/>
        <v>1230667.1599999999</v>
      </c>
      <c r="Q24" s="61"/>
      <c r="R24" s="62"/>
      <c r="S24" s="188">
        <f t="shared" si="4"/>
        <v>0</v>
      </c>
      <c r="T24" s="61"/>
      <c r="U24" s="62"/>
      <c r="V24" s="188">
        <f t="shared" si="5"/>
        <v>0</v>
      </c>
    </row>
    <row r="25" spans="2:22" ht="14.5" thickBot="1" x14ac:dyDescent="0.3">
      <c r="B25" s="141">
        <f t="shared" si="6"/>
        <v>11</v>
      </c>
      <c r="C25" s="68"/>
      <c r="D25" s="174"/>
      <c r="E25" s="61"/>
      <c r="F25" s="62"/>
      <c r="G25" s="188">
        <f t="shared" si="0"/>
        <v>0</v>
      </c>
      <c r="H25" s="61"/>
      <c r="I25" s="62"/>
      <c r="J25" s="188">
        <f t="shared" si="1"/>
        <v>0</v>
      </c>
      <c r="K25" s="61"/>
      <c r="L25" s="62"/>
      <c r="M25" s="188">
        <f t="shared" si="2"/>
        <v>0</v>
      </c>
      <c r="N25" s="61"/>
      <c r="O25" s="62"/>
      <c r="P25" s="188">
        <f t="shared" si="3"/>
        <v>0</v>
      </c>
      <c r="Q25" s="61"/>
      <c r="R25" s="62"/>
      <c r="S25" s="188">
        <f t="shared" si="4"/>
        <v>0</v>
      </c>
      <c r="T25" s="61"/>
      <c r="U25" s="62"/>
      <c r="V25" s="188">
        <f t="shared" si="5"/>
        <v>0</v>
      </c>
    </row>
    <row r="26" spans="2:22" hidden="1" x14ac:dyDescent="0.25">
      <c r="B26" s="141">
        <f t="shared" si="6"/>
        <v>12</v>
      </c>
      <c r="C26" s="68"/>
      <c r="D26" s="174"/>
      <c r="E26" s="61"/>
      <c r="F26" s="62"/>
      <c r="G26" s="188">
        <f t="shared" si="0"/>
        <v>0</v>
      </c>
      <c r="H26" s="61"/>
      <c r="I26" s="62"/>
      <c r="J26" s="188">
        <f t="shared" si="1"/>
        <v>0</v>
      </c>
      <c r="K26" s="61"/>
      <c r="L26" s="62"/>
      <c r="M26" s="188">
        <f t="shared" si="2"/>
        <v>0</v>
      </c>
      <c r="N26" s="61"/>
      <c r="O26" s="62"/>
      <c r="P26" s="188">
        <f t="shared" si="3"/>
        <v>0</v>
      </c>
      <c r="Q26" s="61"/>
      <c r="R26" s="62"/>
      <c r="S26" s="188">
        <f t="shared" si="4"/>
        <v>0</v>
      </c>
      <c r="T26" s="61"/>
      <c r="U26" s="62"/>
      <c r="V26" s="188">
        <f t="shared" si="5"/>
        <v>0</v>
      </c>
    </row>
    <row r="27" spans="2:22" hidden="1" x14ac:dyDescent="0.25">
      <c r="B27" s="141">
        <f t="shared" si="6"/>
        <v>13</v>
      </c>
      <c r="C27" s="68"/>
      <c r="D27" s="174"/>
      <c r="E27" s="61"/>
      <c r="F27" s="62"/>
      <c r="G27" s="188">
        <f t="shared" si="0"/>
        <v>0</v>
      </c>
      <c r="H27" s="61"/>
      <c r="I27" s="62"/>
      <c r="J27" s="188">
        <f t="shared" si="1"/>
        <v>0</v>
      </c>
      <c r="K27" s="61"/>
      <c r="L27" s="62"/>
      <c r="M27" s="188">
        <f t="shared" si="2"/>
        <v>0</v>
      </c>
      <c r="N27" s="61"/>
      <c r="O27" s="62"/>
      <c r="P27" s="188">
        <f t="shared" si="3"/>
        <v>0</v>
      </c>
      <c r="Q27" s="61"/>
      <c r="R27" s="62"/>
      <c r="S27" s="188">
        <f t="shared" si="4"/>
        <v>0</v>
      </c>
      <c r="T27" s="61"/>
      <c r="U27" s="62"/>
      <c r="V27" s="188">
        <f t="shared" si="5"/>
        <v>0</v>
      </c>
    </row>
    <row r="28" spans="2:22" hidden="1" x14ac:dyDescent="0.25">
      <c r="B28" s="141">
        <f t="shared" si="6"/>
        <v>14</v>
      </c>
      <c r="C28" s="68"/>
      <c r="D28" s="174"/>
      <c r="E28" s="61"/>
      <c r="F28" s="62"/>
      <c r="G28" s="188">
        <f t="shared" si="0"/>
        <v>0</v>
      </c>
      <c r="H28" s="61"/>
      <c r="I28" s="62"/>
      <c r="J28" s="188">
        <f t="shared" si="1"/>
        <v>0</v>
      </c>
      <c r="K28" s="61"/>
      <c r="L28" s="62"/>
      <c r="M28" s="188">
        <f t="shared" si="2"/>
        <v>0</v>
      </c>
      <c r="N28" s="61"/>
      <c r="O28" s="62"/>
      <c r="P28" s="188">
        <f t="shared" si="3"/>
        <v>0</v>
      </c>
      <c r="Q28" s="61"/>
      <c r="R28" s="62"/>
      <c r="S28" s="188">
        <f t="shared" si="4"/>
        <v>0</v>
      </c>
      <c r="T28" s="61"/>
      <c r="U28" s="62"/>
      <c r="V28" s="188">
        <f t="shared" si="5"/>
        <v>0</v>
      </c>
    </row>
    <row r="29" spans="2:22" hidden="1" x14ac:dyDescent="0.25">
      <c r="B29" s="141">
        <f t="shared" si="6"/>
        <v>15</v>
      </c>
      <c r="C29" s="68"/>
      <c r="D29" s="174"/>
      <c r="E29" s="61"/>
      <c r="F29" s="62"/>
      <c r="G29" s="188">
        <f t="shared" si="0"/>
        <v>0</v>
      </c>
      <c r="H29" s="61"/>
      <c r="I29" s="62"/>
      <c r="J29" s="188">
        <f t="shared" si="1"/>
        <v>0</v>
      </c>
      <c r="K29" s="61"/>
      <c r="L29" s="62"/>
      <c r="M29" s="188">
        <f t="shared" si="2"/>
        <v>0</v>
      </c>
      <c r="N29" s="61"/>
      <c r="O29" s="62"/>
      <c r="P29" s="188">
        <f t="shared" si="3"/>
        <v>0</v>
      </c>
      <c r="Q29" s="61"/>
      <c r="R29" s="62"/>
      <c r="S29" s="188">
        <f t="shared" si="4"/>
        <v>0</v>
      </c>
      <c r="T29" s="61"/>
      <c r="U29" s="62"/>
      <c r="V29" s="188">
        <f t="shared" si="5"/>
        <v>0</v>
      </c>
    </row>
    <row r="30" spans="2:22" hidden="1" x14ac:dyDescent="0.25">
      <c r="B30" s="141">
        <f t="shared" si="6"/>
        <v>16</v>
      </c>
      <c r="C30" s="68"/>
      <c r="D30" s="174"/>
      <c r="E30" s="61"/>
      <c r="F30" s="62"/>
      <c r="G30" s="188">
        <f t="shared" si="0"/>
        <v>0</v>
      </c>
      <c r="H30" s="61"/>
      <c r="I30" s="62"/>
      <c r="J30" s="188">
        <f t="shared" si="1"/>
        <v>0</v>
      </c>
      <c r="K30" s="61"/>
      <c r="L30" s="62"/>
      <c r="M30" s="188">
        <f t="shared" si="2"/>
        <v>0</v>
      </c>
      <c r="N30" s="61"/>
      <c r="O30" s="62"/>
      <c r="P30" s="188">
        <f t="shared" si="3"/>
        <v>0</v>
      </c>
      <c r="Q30" s="61"/>
      <c r="R30" s="62"/>
      <c r="S30" s="188">
        <f t="shared" si="4"/>
        <v>0</v>
      </c>
      <c r="T30" s="61"/>
      <c r="U30" s="62"/>
      <c r="V30" s="188">
        <f t="shared" si="5"/>
        <v>0</v>
      </c>
    </row>
    <row r="31" spans="2:22" hidden="1" x14ac:dyDescent="0.25">
      <c r="B31" s="141">
        <f t="shared" si="6"/>
        <v>17</v>
      </c>
      <c r="C31" s="68"/>
      <c r="D31" s="174"/>
      <c r="E31" s="61"/>
      <c r="F31" s="62"/>
      <c r="G31" s="188">
        <f t="shared" si="0"/>
        <v>0</v>
      </c>
      <c r="H31" s="61"/>
      <c r="I31" s="62"/>
      <c r="J31" s="188">
        <f t="shared" si="1"/>
        <v>0</v>
      </c>
      <c r="K31" s="61"/>
      <c r="L31" s="62"/>
      <c r="M31" s="188">
        <f t="shared" si="2"/>
        <v>0</v>
      </c>
      <c r="N31" s="61"/>
      <c r="O31" s="62"/>
      <c r="P31" s="188">
        <f t="shared" si="3"/>
        <v>0</v>
      </c>
      <c r="Q31" s="61"/>
      <c r="R31" s="62"/>
      <c r="S31" s="188">
        <f t="shared" si="4"/>
        <v>0</v>
      </c>
      <c r="T31" s="61"/>
      <c r="U31" s="62"/>
      <c r="V31" s="188">
        <f t="shared" si="5"/>
        <v>0</v>
      </c>
    </row>
    <row r="32" spans="2:22" hidden="1" x14ac:dyDescent="0.25">
      <c r="B32" s="147">
        <f t="shared" si="6"/>
        <v>18</v>
      </c>
      <c r="C32" s="68"/>
      <c r="D32" s="174"/>
      <c r="E32" s="61"/>
      <c r="F32" s="62"/>
      <c r="G32" s="188">
        <f t="shared" si="0"/>
        <v>0</v>
      </c>
      <c r="H32" s="61"/>
      <c r="I32" s="62"/>
      <c r="J32" s="188">
        <f t="shared" si="1"/>
        <v>0</v>
      </c>
      <c r="K32" s="61"/>
      <c r="L32" s="62"/>
      <c r="M32" s="188">
        <f t="shared" si="2"/>
        <v>0</v>
      </c>
      <c r="N32" s="61"/>
      <c r="O32" s="62"/>
      <c r="P32" s="188">
        <f t="shared" si="3"/>
        <v>0</v>
      </c>
      <c r="Q32" s="61"/>
      <c r="R32" s="62"/>
      <c r="S32" s="188">
        <f t="shared" si="4"/>
        <v>0</v>
      </c>
      <c r="T32" s="61"/>
      <c r="U32" s="62"/>
      <c r="V32" s="188">
        <f t="shared" si="5"/>
        <v>0</v>
      </c>
    </row>
    <row r="33" spans="2:22" hidden="1" x14ac:dyDescent="0.25">
      <c r="B33" s="147">
        <f t="shared" si="6"/>
        <v>19</v>
      </c>
      <c r="C33" s="68"/>
      <c r="D33" s="175"/>
      <c r="E33" s="61"/>
      <c r="F33" s="62"/>
      <c r="G33" s="188">
        <f t="shared" si="0"/>
        <v>0</v>
      </c>
      <c r="H33" s="61"/>
      <c r="I33" s="62"/>
      <c r="J33" s="188">
        <f t="shared" si="1"/>
        <v>0</v>
      </c>
      <c r="K33" s="61"/>
      <c r="L33" s="62"/>
      <c r="M33" s="188">
        <f t="shared" si="2"/>
        <v>0</v>
      </c>
      <c r="N33" s="61"/>
      <c r="O33" s="62"/>
      <c r="P33" s="188">
        <f t="shared" si="3"/>
        <v>0</v>
      </c>
      <c r="Q33" s="61"/>
      <c r="R33" s="62"/>
      <c r="S33" s="188">
        <f t="shared" si="4"/>
        <v>0</v>
      </c>
      <c r="T33" s="61"/>
      <c r="U33" s="62"/>
      <c r="V33" s="188">
        <f t="shared" si="5"/>
        <v>0</v>
      </c>
    </row>
    <row r="34" spans="2:22" ht="14.5" hidden="1" thickBot="1" x14ac:dyDescent="0.3">
      <c r="B34" s="148">
        <f>B33+1</f>
        <v>20</v>
      </c>
      <c r="C34" s="68"/>
      <c r="D34" s="176"/>
      <c r="E34" s="169"/>
      <c r="F34" s="76"/>
      <c r="G34" s="189">
        <f t="shared" si="0"/>
        <v>0</v>
      </c>
      <c r="H34" s="169"/>
      <c r="I34" s="76"/>
      <c r="J34" s="189">
        <f t="shared" si="1"/>
        <v>0</v>
      </c>
      <c r="K34" s="169"/>
      <c r="L34" s="76"/>
      <c r="M34" s="189">
        <f t="shared" si="2"/>
        <v>0</v>
      </c>
      <c r="N34" s="169"/>
      <c r="O34" s="76"/>
      <c r="P34" s="189">
        <f t="shared" si="3"/>
        <v>0</v>
      </c>
      <c r="Q34" s="169"/>
      <c r="R34" s="76"/>
      <c r="S34" s="189">
        <f t="shared" si="4"/>
        <v>0</v>
      </c>
      <c r="T34" s="169"/>
      <c r="U34" s="76"/>
      <c r="V34" s="189">
        <f t="shared" si="5"/>
        <v>0</v>
      </c>
    </row>
    <row r="35" spans="2:22" ht="31.5" customHeight="1" thickBot="1" x14ac:dyDescent="0.3">
      <c r="C35" s="245" t="s">
        <v>138</v>
      </c>
      <c r="D35" s="246"/>
      <c r="E35" s="65">
        <f>SUM(E15:E34)</f>
        <v>0</v>
      </c>
      <c r="F35" s="170">
        <f>SUM(F15:F34)</f>
        <v>456666.03</v>
      </c>
      <c r="G35" s="64">
        <f>E35+F35</f>
        <v>456666.03</v>
      </c>
      <c r="H35" s="172">
        <f>SUM(H15:H34)</f>
        <v>519249.72</v>
      </c>
      <c r="I35" s="170">
        <f t="shared" ref="I35:V35" si="7">SUM(I15:I34)</f>
        <v>519249.72</v>
      </c>
      <c r="J35" s="171">
        <f t="shared" si="7"/>
        <v>1038499.44</v>
      </c>
      <c r="K35" s="65">
        <f t="shared" si="7"/>
        <v>732292.42999999993</v>
      </c>
      <c r="L35" s="170">
        <f t="shared" si="7"/>
        <v>732292.42999999993</v>
      </c>
      <c r="M35" s="64">
        <f t="shared" si="7"/>
        <v>1464584.8599999999</v>
      </c>
      <c r="N35" s="172">
        <f t="shared" si="7"/>
        <v>615333.57999999996</v>
      </c>
      <c r="O35" s="170">
        <f t="shared" si="7"/>
        <v>615333.57999999996</v>
      </c>
      <c r="P35" s="171">
        <f t="shared" si="7"/>
        <v>1230667.1599999999</v>
      </c>
      <c r="Q35" s="65">
        <f t="shared" si="7"/>
        <v>0</v>
      </c>
      <c r="R35" s="170">
        <f t="shared" si="7"/>
        <v>0</v>
      </c>
      <c r="S35" s="64">
        <f t="shared" si="7"/>
        <v>0</v>
      </c>
      <c r="T35" s="172">
        <f t="shared" si="7"/>
        <v>0</v>
      </c>
      <c r="U35" s="170">
        <f t="shared" si="7"/>
        <v>0</v>
      </c>
      <c r="V35" s="64">
        <f t="shared" si="7"/>
        <v>0</v>
      </c>
    </row>
    <row r="36" spans="2:22" ht="6" customHeight="1" x14ac:dyDescent="0.25"/>
  </sheetData>
  <sheetProtection insertRows="0"/>
  <protectedRanges>
    <protectedRange password="CC9E" sqref="A8:A11 E10:IU10 E12:IU13 A12:D12 C11:IU11 C9:IU9 A1:D7 E1:IU8 A13:A14 C13:D14 E14 G14:H14 J14:K14 M14:N14 P14:Q14 S14:T14 V14:IU14 A15:IU65535"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E1:I1"/>
    <mergeCell ref="C35:D35"/>
    <mergeCell ref="H13:J13"/>
    <mergeCell ref="K13:M13"/>
    <mergeCell ref="D13:D14"/>
    <mergeCell ref="B8:D8"/>
    <mergeCell ref="B10:D10"/>
    <mergeCell ref="T13:V13"/>
    <mergeCell ref="B13:B14"/>
    <mergeCell ref="C13:C14"/>
    <mergeCell ref="E13:G13"/>
    <mergeCell ref="N13:P13"/>
    <mergeCell ref="Q13:S13"/>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7"/>
      <c r="E1" s="247"/>
      <c r="F1" s="247"/>
      <c r="G1" s="247"/>
      <c r="H1" s="247"/>
      <c r="I1" s="247"/>
      <c r="J1" s="12"/>
      <c r="K1" s="12"/>
      <c r="L1" s="12"/>
    </row>
    <row r="4" spans="2:21" x14ac:dyDescent="0.25">
      <c r="B4" s="96" t="s">
        <v>85</v>
      </c>
    </row>
    <row r="6" spans="2:21" x14ac:dyDescent="0.25">
      <c r="B6" s="100"/>
      <c r="C6" s="182"/>
      <c r="D6" s="91"/>
    </row>
    <row r="7" spans="2:21" ht="30" customHeight="1" x14ac:dyDescent="0.25">
      <c r="B7" s="248" t="s">
        <v>139</v>
      </c>
      <c r="C7" s="248"/>
      <c r="D7" s="91"/>
    </row>
    <row r="8" spans="2:21" x14ac:dyDescent="0.25">
      <c r="B8" s="100"/>
      <c r="C8" s="182"/>
      <c r="D8" s="91"/>
    </row>
    <row r="9" spans="2:21" ht="6" customHeight="1" thickBot="1" x14ac:dyDescent="0.3"/>
    <row r="10" spans="2:21" ht="15.75" customHeight="1" thickBot="1" x14ac:dyDescent="0.3">
      <c r="B10" s="232" t="s">
        <v>82</v>
      </c>
      <c r="C10" s="249" t="s">
        <v>132</v>
      </c>
      <c r="D10" s="240">
        <f>Personal!F13</f>
        <v>2021</v>
      </c>
      <c r="E10" s="241"/>
      <c r="F10" s="242"/>
      <c r="G10" s="240">
        <f>D10+1</f>
        <v>2022</v>
      </c>
      <c r="H10" s="241"/>
      <c r="I10" s="242"/>
      <c r="J10" s="240">
        <f>G10+1</f>
        <v>2023</v>
      </c>
      <c r="K10" s="241"/>
      <c r="L10" s="242"/>
      <c r="M10" s="240">
        <f>J10+1</f>
        <v>2024</v>
      </c>
      <c r="N10" s="241"/>
      <c r="O10" s="242"/>
      <c r="P10" s="240">
        <f>M10+1</f>
        <v>2025</v>
      </c>
      <c r="Q10" s="241"/>
      <c r="R10" s="242"/>
      <c r="S10" s="240">
        <f>P10+1</f>
        <v>2026</v>
      </c>
      <c r="T10" s="241"/>
      <c r="U10" s="242"/>
    </row>
    <row r="11" spans="2:21" s="59" customFormat="1" ht="57.65" customHeight="1" thickBot="1" x14ac:dyDescent="0.3">
      <c r="B11" s="233" t="s">
        <v>1</v>
      </c>
      <c r="C11" s="250"/>
      <c r="D11" s="149" t="s">
        <v>6</v>
      </c>
      <c r="E11" s="150" t="s">
        <v>149</v>
      </c>
      <c r="F11" s="151" t="s">
        <v>4</v>
      </c>
      <c r="G11" s="149" t="s">
        <v>6</v>
      </c>
      <c r="H11" s="150" t="s">
        <v>149</v>
      </c>
      <c r="I11" s="151" t="s">
        <v>4</v>
      </c>
      <c r="J11" s="149" t="s">
        <v>6</v>
      </c>
      <c r="K11" s="150" t="s">
        <v>149</v>
      </c>
      <c r="L11" s="151" t="s">
        <v>4</v>
      </c>
      <c r="M11" s="149" t="s">
        <v>6</v>
      </c>
      <c r="N11" s="150" t="s">
        <v>149</v>
      </c>
      <c r="O11" s="151" t="s">
        <v>4</v>
      </c>
      <c r="P11" s="149" t="s">
        <v>6</v>
      </c>
      <c r="Q11" s="150" t="s">
        <v>149</v>
      </c>
      <c r="R11" s="151" t="s">
        <v>4</v>
      </c>
      <c r="S11" s="149" t="s">
        <v>6</v>
      </c>
      <c r="T11" s="150" t="s">
        <v>149</v>
      </c>
      <c r="U11" s="151" t="s">
        <v>4</v>
      </c>
    </row>
    <row r="12" spans="2:21" ht="15.75" customHeight="1" x14ac:dyDescent="0.25">
      <c r="B12" s="140">
        <v>1</v>
      </c>
      <c r="C12" s="60"/>
      <c r="D12" s="61"/>
      <c r="E12" s="62"/>
      <c r="F12" s="188">
        <f>SUM(D12:E12)</f>
        <v>0</v>
      </c>
      <c r="G12" s="61"/>
      <c r="H12" s="62"/>
      <c r="I12" s="188">
        <f>SUM(G12:H12)</f>
        <v>0</v>
      </c>
      <c r="J12" s="61"/>
      <c r="K12" s="62"/>
      <c r="L12" s="188">
        <f>SUM(J12:K12)</f>
        <v>0</v>
      </c>
      <c r="M12" s="61"/>
      <c r="N12" s="62"/>
      <c r="O12" s="188">
        <f>SUM(M12:N12)</f>
        <v>0</v>
      </c>
      <c r="P12" s="61"/>
      <c r="Q12" s="62"/>
      <c r="R12" s="188">
        <f>SUM(P12:Q12)</f>
        <v>0</v>
      </c>
      <c r="S12" s="61"/>
      <c r="T12" s="62"/>
      <c r="U12" s="188">
        <f>SUM(S12:T12)</f>
        <v>0</v>
      </c>
    </row>
    <row r="13" spans="2:21" ht="15.75" customHeight="1" x14ac:dyDescent="0.25">
      <c r="B13" s="141">
        <f>B12+1</f>
        <v>2</v>
      </c>
      <c r="C13" s="63"/>
      <c r="D13" s="61"/>
      <c r="E13" s="62"/>
      <c r="F13" s="188">
        <f t="shared" ref="F13:F31" si="0">SUM(D13:E13)</f>
        <v>0</v>
      </c>
      <c r="G13" s="61"/>
      <c r="H13" s="62"/>
      <c r="I13" s="188">
        <f t="shared" ref="I13:I31" si="1">SUM(G13:H13)</f>
        <v>0</v>
      </c>
      <c r="J13" s="61"/>
      <c r="K13" s="62"/>
      <c r="L13" s="188">
        <f t="shared" ref="L13:L31" si="2">SUM(J13:K13)</f>
        <v>0</v>
      </c>
      <c r="M13" s="61"/>
      <c r="N13" s="62"/>
      <c r="O13" s="188">
        <f t="shared" ref="O13:O31" si="3">SUM(M13:N13)</f>
        <v>0</v>
      </c>
      <c r="P13" s="61"/>
      <c r="Q13" s="62"/>
      <c r="R13" s="188">
        <f t="shared" ref="R13:R31" si="4">SUM(P13:Q13)</f>
        <v>0</v>
      </c>
      <c r="S13" s="61"/>
      <c r="T13" s="62"/>
      <c r="U13" s="188">
        <f t="shared" ref="U13:U31" si="5">SUM(S13:T13)</f>
        <v>0</v>
      </c>
    </row>
    <row r="14" spans="2:21" ht="15.75" customHeight="1" x14ac:dyDescent="0.25">
      <c r="B14" s="141">
        <f t="shared" ref="B14:B30" si="6">B13+1</f>
        <v>3</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4</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5</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2:21" ht="15.75" customHeight="1" x14ac:dyDescent="0.25">
      <c r="B17" s="141">
        <f t="shared" si="6"/>
        <v>6</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2:21" ht="15.75" customHeight="1" x14ac:dyDescent="0.25">
      <c r="B18" s="141">
        <f t="shared" si="6"/>
        <v>7</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2:21" ht="15.75" customHeight="1" x14ac:dyDescent="0.25">
      <c r="B19" s="141">
        <f t="shared" si="6"/>
        <v>8</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2:21" ht="15.75" customHeight="1" x14ac:dyDescent="0.25">
      <c r="B20" s="141">
        <f t="shared" si="6"/>
        <v>9</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2:21" ht="15.75" customHeight="1" x14ac:dyDescent="0.25">
      <c r="B21" s="141">
        <f t="shared" si="6"/>
        <v>10</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2:21" ht="15.75" customHeight="1" x14ac:dyDescent="0.25">
      <c r="B22" s="141">
        <f t="shared" si="6"/>
        <v>11</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2:21" ht="15.75" customHeight="1" x14ac:dyDescent="0.25">
      <c r="B23" s="141">
        <f t="shared" si="6"/>
        <v>12</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2:21" ht="15.75" customHeight="1" x14ac:dyDescent="0.25">
      <c r="B24" s="141">
        <f t="shared" si="6"/>
        <v>13</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2:21" ht="15.75" customHeight="1" x14ac:dyDescent="0.25">
      <c r="B25" s="141">
        <f t="shared" si="6"/>
        <v>14</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2:21" ht="15.75" customHeight="1" x14ac:dyDescent="0.25">
      <c r="B26" s="141">
        <f t="shared" si="6"/>
        <v>15</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2:21" ht="15.75" customHeight="1" x14ac:dyDescent="0.25">
      <c r="B27" s="141">
        <f t="shared" si="6"/>
        <v>16</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2:21" ht="15.75" customHeight="1" x14ac:dyDescent="0.25">
      <c r="B28" s="141">
        <f t="shared" si="6"/>
        <v>17</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2:21" ht="15.75" customHeight="1" x14ac:dyDescent="0.25">
      <c r="B29" s="147">
        <f t="shared" si="6"/>
        <v>18</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2:21" ht="15" customHeight="1" x14ac:dyDescent="0.25">
      <c r="B30" s="147">
        <f t="shared" si="6"/>
        <v>19</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2:21" ht="14.5" thickBot="1" x14ac:dyDescent="0.3">
      <c r="B31" s="148">
        <f>B30+1</f>
        <v>20</v>
      </c>
      <c r="C31" s="63"/>
      <c r="D31" s="61"/>
      <c r="E31" s="62"/>
      <c r="F31" s="188">
        <f t="shared" si="0"/>
        <v>0</v>
      </c>
      <c r="G31" s="61"/>
      <c r="H31" s="62"/>
      <c r="I31" s="188">
        <f t="shared" si="1"/>
        <v>0</v>
      </c>
      <c r="J31" s="61"/>
      <c r="K31" s="62"/>
      <c r="L31" s="188">
        <f t="shared" si="2"/>
        <v>0</v>
      </c>
      <c r="M31" s="61"/>
      <c r="N31" s="62"/>
      <c r="O31" s="188">
        <f t="shared" si="3"/>
        <v>0</v>
      </c>
      <c r="P31" s="61"/>
      <c r="Q31" s="62"/>
      <c r="R31" s="188">
        <f t="shared" si="4"/>
        <v>0</v>
      </c>
      <c r="S31" s="61"/>
      <c r="T31" s="62"/>
      <c r="U31" s="188">
        <f t="shared" si="5"/>
        <v>0</v>
      </c>
    </row>
    <row r="32" spans="2:21" ht="31.5" customHeight="1" thickBot="1" x14ac:dyDescent="0.3">
      <c r="C32" s="181" t="s">
        <v>2</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47"/>
      <c r="E1" s="247"/>
      <c r="F1" s="247"/>
      <c r="G1" s="247"/>
      <c r="H1" s="247"/>
      <c r="I1" s="247"/>
      <c r="J1" s="12"/>
      <c r="K1" s="12"/>
      <c r="L1" s="12"/>
    </row>
    <row r="2" spans="2:21" ht="14.5" x14ac:dyDescent="0.25">
      <c r="B2" s="121"/>
    </row>
    <row r="4" spans="2:21" x14ac:dyDescent="0.25">
      <c r="B4" s="96" t="s">
        <v>144</v>
      </c>
    </row>
    <row r="6" spans="2:21" ht="26.5" customHeight="1" x14ac:dyDescent="0.25">
      <c r="B6" s="248" t="s">
        <v>139</v>
      </c>
      <c r="C6" s="248"/>
      <c r="D6" s="91"/>
    </row>
    <row r="7" spans="2:21" x14ac:dyDescent="0.25">
      <c r="B7" s="100"/>
      <c r="C7" s="182"/>
      <c r="D7" s="91"/>
    </row>
    <row r="8" spans="2:21" ht="6" customHeight="1" thickBot="1" x14ac:dyDescent="0.3"/>
    <row r="9" spans="2:21" ht="15.75" customHeight="1" thickBot="1" x14ac:dyDescent="0.3">
      <c r="B9" s="232" t="s">
        <v>82</v>
      </c>
      <c r="C9" s="249" t="s">
        <v>86</v>
      </c>
      <c r="D9" s="240">
        <f>Personal!F13</f>
        <v>2021</v>
      </c>
      <c r="E9" s="241"/>
      <c r="F9" s="242"/>
      <c r="G9" s="240">
        <f>D9+1</f>
        <v>2022</v>
      </c>
      <c r="H9" s="241"/>
      <c r="I9" s="242"/>
      <c r="J9" s="240">
        <f>G9+1</f>
        <v>2023</v>
      </c>
      <c r="K9" s="241"/>
      <c r="L9" s="242"/>
      <c r="M9" s="240">
        <f>J9+1</f>
        <v>2024</v>
      </c>
      <c r="N9" s="241"/>
      <c r="O9" s="242"/>
      <c r="P9" s="240">
        <f>M9+1</f>
        <v>2025</v>
      </c>
      <c r="Q9" s="241"/>
      <c r="R9" s="242"/>
      <c r="S9" s="240">
        <f>P9+1</f>
        <v>2026</v>
      </c>
      <c r="T9" s="241"/>
      <c r="U9" s="242"/>
    </row>
    <row r="10" spans="2:21" s="59" customFormat="1" ht="63" customHeight="1" thickBot="1" x14ac:dyDescent="0.3">
      <c r="B10" s="233" t="s">
        <v>1</v>
      </c>
      <c r="C10" s="250"/>
      <c r="D10" s="149" t="s">
        <v>6</v>
      </c>
      <c r="E10" s="150" t="s">
        <v>149</v>
      </c>
      <c r="F10" s="151" t="s">
        <v>4</v>
      </c>
      <c r="G10" s="149" t="s">
        <v>6</v>
      </c>
      <c r="H10" s="150" t="s">
        <v>149</v>
      </c>
      <c r="I10" s="151" t="s">
        <v>4</v>
      </c>
      <c r="J10" s="149" t="s">
        <v>6</v>
      </c>
      <c r="K10" s="150" t="s">
        <v>149</v>
      </c>
      <c r="L10" s="151" t="s">
        <v>4</v>
      </c>
      <c r="M10" s="149" t="s">
        <v>6</v>
      </c>
      <c r="N10" s="150" t="s">
        <v>149</v>
      </c>
      <c r="O10" s="151" t="s">
        <v>4</v>
      </c>
      <c r="P10" s="149" t="s">
        <v>6</v>
      </c>
      <c r="Q10" s="150" t="s">
        <v>149</v>
      </c>
      <c r="R10" s="151" t="s">
        <v>4</v>
      </c>
      <c r="S10" s="149" t="s">
        <v>6</v>
      </c>
      <c r="T10" s="150" t="s">
        <v>149</v>
      </c>
      <c r="U10" s="151" t="s">
        <v>4</v>
      </c>
    </row>
    <row r="11" spans="2:21" ht="15.75" customHeight="1" x14ac:dyDescent="0.25">
      <c r="B11" s="140">
        <v>1</v>
      </c>
      <c r="C11" s="60"/>
      <c r="D11" s="61"/>
      <c r="E11" s="190"/>
      <c r="F11" s="188">
        <f>SUM(D11:E11)</f>
        <v>0</v>
      </c>
      <c r="G11" s="61"/>
      <c r="H11" s="190"/>
      <c r="I11" s="188">
        <f>SUM(G11:H11)</f>
        <v>0</v>
      </c>
      <c r="J11" s="61"/>
      <c r="K11" s="190"/>
      <c r="L11" s="188">
        <f>SUM(J11:K11)</f>
        <v>0</v>
      </c>
      <c r="M11" s="61"/>
      <c r="N11" s="190"/>
      <c r="O11" s="188">
        <f>SUM(M11:N11)</f>
        <v>0</v>
      </c>
      <c r="P11" s="61"/>
      <c r="Q11" s="190"/>
      <c r="R11" s="188">
        <f>SUM(P11:Q11)</f>
        <v>0</v>
      </c>
      <c r="S11" s="61"/>
      <c r="T11" s="190"/>
      <c r="U11" s="188">
        <f>SUM(S11:T11)</f>
        <v>0</v>
      </c>
    </row>
    <row r="12" spans="2:21" ht="15.75" customHeight="1" x14ac:dyDescent="0.25">
      <c r="B12" s="141">
        <f>B11+1</f>
        <v>2</v>
      </c>
      <c r="C12" s="63"/>
      <c r="D12" s="61"/>
      <c r="E12" s="190"/>
      <c r="F12" s="188">
        <f t="shared" ref="F12:F30" si="0">SUM(D12:E12)</f>
        <v>0</v>
      </c>
      <c r="G12" s="61"/>
      <c r="H12" s="190"/>
      <c r="I12" s="188">
        <f t="shared" ref="I12:I30" si="1">SUM(G12:H12)</f>
        <v>0</v>
      </c>
      <c r="J12" s="61"/>
      <c r="K12" s="190"/>
      <c r="L12" s="188">
        <f t="shared" ref="L12:L30" si="2">SUM(J12:K12)</f>
        <v>0</v>
      </c>
      <c r="M12" s="61"/>
      <c r="N12" s="190"/>
      <c r="O12" s="188">
        <f t="shared" ref="O12:O30" si="3">SUM(M12:N12)</f>
        <v>0</v>
      </c>
      <c r="P12" s="61"/>
      <c r="Q12" s="190"/>
      <c r="R12" s="188">
        <f t="shared" ref="R12:R30" si="4">SUM(P12:Q12)</f>
        <v>0</v>
      </c>
      <c r="S12" s="61"/>
      <c r="T12" s="190"/>
      <c r="U12" s="188">
        <f t="shared" ref="U12:U30" si="5">SUM(S12:T12)</f>
        <v>0</v>
      </c>
    </row>
    <row r="13" spans="2:21" ht="15.75" customHeight="1" x14ac:dyDescent="0.25">
      <c r="B13" s="141">
        <f t="shared" ref="B13:B29" si="6">B12+1</f>
        <v>3</v>
      </c>
      <c r="C13" s="63"/>
      <c r="D13" s="61"/>
      <c r="E13" s="190"/>
      <c r="F13" s="188">
        <f t="shared" si="0"/>
        <v>0</v>
      </c>
      <c r="G13" s="61"/>
      <c r="H13" s="190"/>
      <c r="I13" s="188">
        <f t="shared" si="1"/>
        <v>0</v>
      </c>
      <c r="J13" s="61"/>
      <c r="K13" s="190"/>
      <c r="L13" s="188">
        <f t="shared" si="2"/>
        <v>0</v>
      </c>
      <c r="M13" s="61"/>
      <c r="N13" s="190"/>
      <c r="O13" s="188">
        <f t="shared" si="3"/>
        <v>0</v>
      </c>
      <c r="P13" s="61"/>
      <c r="Q13" s="190"/>
      <c r="R13" s="188">
        <f t="shared" si="4"/>
        <v>0</v>
      </c>
      <c r="S13" s="61"/>
      <c r="T13" s="190"/>
      <c r="U13" s="188">
        <f t="shared" si="5"/>
        <v>0</v>
      </c>
    </row>
    <row r="14" spans="2:21" ht="15.75" customHeight="1" x14ac:dyDescent="0.25">
      <c r="B14" s="141">
        <f t="shared" si="6"/>
        <v>4</v>
      </c>
      <c r="C14" s="63"/>
      <c r="D14" s="61"/>
      <c r="E14" s="190"/>
      <c r="F14" s="188">
        <f t="shared" si="0"/>
        <v>0</v>
      </c>
      <c r="G14" s="61"/>
      <c r="H14" s="190"/>
      <c r="I14" s="188">
        <f t="shared" si="1"/>
        <v>0</v>
      </c>
      <c r="J14" s="61"/>
      <c r="K14" s="190"/>
      <c r="L14" s="188">
        <f t="shared" si="2"/>
        <v>0</v>
      </c>
      <c r="M14" s="61"/>
      <c r="N14" s="190"/>
      <c r="O14" s="188">
        <f t="shared" si="3"/>
        <v>0</v>
      </c>
      <c r="P14" s="61"/>
      <c r="Q14" s="190"/>
      <c r="R14" s="188">
        <f t="shared" si="4"/>
        <v>0</v>
      </c>
      <c r="S14" s="61"/>
      <c r="T14" s="190"/>
      <c r="U14" s="188">
        <f t="shared" si="5"/>
        <v>0</v>
      </c>
    </row>
    <row r="15" spans="2:21" ht="15.75" customHeight="1" x14ac:dyDescent="0.25">
      <c r="B15" s="141">
        <f t="shared" si="6"/>
        <v>5</v>
      </c>
      <c r="C15" s="63"/>
      <c r="D15" s="61"/>
      <c r="E15" s="190"/>
      <c r="F15" s="188">
        <f t="shared" si="0"/>
        <v>0</v>
      </c>
      <c r="G15" s="61"/>
      <c r="H15" s="190"/>
      <c r="I15" s="188">
        <f t="shared" si="1"/>
        <v>0</v>
      </c>
      <c r="J15" s="61"/>
      <c r="K15" s="190"/>
      <c r="L15" s="188">
        <f t="shared" si="2"/>
        <v>0</v>
      </c>
      <c r="M15" s="61"/>
      <c r="N15" s="190"/>
      <c r="O15" s="188">
        <f t="shared" si="3"/>
        <v>0</v>
      </c>
      <c r="P15" s="61"/>
      <c r="Q15" s="190"/>
      <c r="R15" s="188">
        <f t="shared" si="4"/>
        <v>0</v>
      </c>
      <c r="S15" s="61"/>
      <c r="T15" s="190"/>
      <c r="U15" s="188">
        <f t="shared" si="5"/>
        <v>0</v>
      </c>
    </row>
    <row r="16" spans="2:21" ht="15.75" customHeight="1" x14ac:dyDescent="0.25">
      <c r="B16" s="141">
        <f t="shared" si="6"/>
        <v>6</v>
      </c>
      <c r="C16" s="63"/>
      <c r="D16" s="61"/>
      <c r="E16" s="190"/>
      <c r="F16" s="188">
        <f t="shared" si="0"/>
        <v>0</v>
      </c>
      <c r="G16" s="61"/>
      <c r="H16" s="190"/>
      <c r="I16" s="188">
        <f t="shared" si="1"/>
        <v>0</v>
      </c>
      <c r="J16" s="61"/>
      <c r="K16" s="190"/>
      <c r="L16" s="188">
        <f t="shared" si="2"/>
        <v>0</v>
      </c>
      <c r="M16" s="61"/>
      <c r="N16" s="190"/>
      <c r="O16" s="188">
        <f t="shared" si="3"/>
        <v>0</v>
      </c>
      <c r="P16" s="61"/>
      <c r="Q16" s="190"/>
      <c r="R16" s="188">
        <f t="shared" si="4"/>
        <v>0</v>
      </c>
      <c r="S16" s="61"/>
      <c r="T16" s="190"/>
      <c r="U16" s="188">
        <f t="shared" si="5"/>
        <v>0</v>
      </c>
    </row>
    <row r="17" spans="1:21" ht="15.75" customHeight="1" x14ac:dyDescent="0.25">
      <c r="B17" s="141">
        <f t="shared" si="6"/>
        <v>7</v>
      </c>
      <c r="C17" s="63"/>
      <c r="D17" s="61"/>
      <c r="E17" s="190"/>
      <c r="F17" s="188">
        <f t="shared" si="0"/>
        <v>0</v>
      </c>
      <c r="G17" s="61"/>
      <c r="H17" s="190"/>
      <c r="I17" s="188">
        <f t="shared" si="1"/>
        <v>0</v>
      </c>
      <c r="J17" s="61"/>
      <c r="K17" s="190"/>
      <c r="L17" s="188">
        <f t="shared" si="2"/>
        <v>0</v>
      </c>
      <c r="M17" s="61"/>
      <c r="N17" s="190"/>
      <c r="O17" s="188">
        <f t="shared" si="3"/>
        <v>0</v>
      </c>
      <c r="P17" s="61"/>
      <c r="Q17" s="190"/>
      <c r="R17" s="188">
        <f t="shared" si="4"/>
        <v>0</v>
      </c>
      <c r="S17" s="61"/>
      <c r="T17" s="190"/>
      <c r="U17" s="188">
        <f t="shared" si="5"/>
        <v>0</v>
      </c>
    </row>
    <row r="18" spans="1:21" ht="15.75" customHeight="1" x14ac:dyDescent="0.25">
      <c r="B18" s="141">
        <f t="shared" si="6"/>
        <v>8</v>
      </c>
      <c r="C18" s="63"/>
      <c r="D18" s="61"/>
      <c r="E18" s="190"/>
      <c r="F18" s="188">
        <f t="shared" si="0"/>
        <v>0</v>
      </c>
      <c r="G18" s="61"/>
      <c r="H18" s="190"/>
      <c r="I18" s="188">
        <f t="shared" si="1"/>
        <v>0</v>
      </c>
      <c r="J18" s="61"/>
      <c r="K18" s="190"/>
      <c r="L18" s="188">
        <f t="shared" si="2"/>
        <v>0</v>
      </c>
      <c r="M18" s="61"/>
      <c r="N18" s="190"/>
      <c r="O18" s="188">
        <f t="shared" si="3"/>
        <v>0</v>
      </c>
      <c r="P18" s="61"/>
      <c r="Q18" s="190"/>
      <c r="R18" s="188">
        <f t="shared" si="4"/>
        <v>0</v>
      </c>
      <c r="S18" s="61"/>
      <c r="T18" s="190"/>
      <c r="U18" s="188">
        <f t="shared" si="5"/>
        <v>0</v>
      </c>
    </row>
    <row r="19" spans="1:21" ht="15.75" customHeight="1" x14ac:dyDescent="0.25">
      <c r="B19" s="141">
        <f t="shared" si="6"/>
        <v>9</v>
      </c>
      <c r="C19" s="63"/>
      <c r="D19" s="61"/>
      <c r="E19" s="190"/>
      <c r="F19" s="188">
        <f t="shared" si="0"/>
        <v>0</v>
      </c>
      <c r="G19" s="61"/>
      <c r="H19" s="190"/>
      <c r="I19" s="188">
        <f t="shared" si="1"/>
        <v>0</v>
      </c>
      <c r="J19" s="61"/>
      <c r="K19" s="190"/>
      <c r="L19" s="188">
        <f t="shared" si="2"/>
        <v>0</v>
      </c>
      <c r="M19" s="61"/>
      <c r="N19" s="190"/>
      <c r="O19" s="188">
        <f t="shared" si="3"/>
        <v>0</v>
      </c>
      <c r="P19" s="61"/>
      <c r="Q19" s="190"/>
      <c r="R19" s="188">
        <f t="shared" si="4"/>
        <v>0</v>
      </c>
      <c r="S19" s="61"/>
      <c r="T19" s="190"/>
      <c r="U19" s="188">
        <f t="shared" si="5"/>
        <v>0</v>
      </c>
    </row>
    <row r="20" spans="1:21" ht="15.75" customHeight="1" x14ac:dyDescent="0.25">
      <c r="B20" s="141">
        <f t="shared" si="6"/>
        <v>10</v>
      </c>
      <c r="C20" s="63"/>
      <c r="D20" s="61"/>
      <c r="E20" s="190"/>
      <c r="F20" s="188">
        <f t="shared" si="0"/>
        <v>0</v>
      </c>
      <c r="G20" s="61"/>
      <c r="H20" s="190"/>
      <c r="I20" s="188">
        <f t="shared" si="1"/>
        <v>0</v>
      </c>
      <c r="J20" s="61"/>
      <c r="K20" s="190"/>
      <c r="L20" s="188">
        <f t="shared" si="2"/>
        <v>0</v>
      </c>
      <c r="M20" s="61"/>
      <c r="N20" s="190"/>
      <c r="O20" s="188">
        <f t="shared" si="3"/>
        <v>0</v>
      </c>
      <c r="P20" s="61"/>
      <c r="Q20" s="190"/>
      <c r="R20" s="188">
        <f t="shared" si="4"/>
        <v>0</v>
      </c>
      <c r="S20" s="61"/>
      <c r="T20" s="190"/>
      <c r="U20" s="188">
        <f t="shared" si="5"/>
        <v>0</v>
      </c>
    </row>
    <row r="21" spans="1:21" ht="15.75" customHeight="1" x14ac:dyDescent="0.25">
      <c r="B21" s="141">
        <f t="shared" si="6"/>
        <v>11</v>
      </c>
      <c r="C21" s="63"/>
      <c r="D21" s="61"/>
      <c r="E21" s="190"/>
      <c r="F21" s="188">
        <f t="shared" si="0"/>
        <v>0</v>
      </c>
      <c r="G21" s="61"/>
      <c r="H21" s="190"/>
      <c r="I21" s="188">
        <f t="shared" si="1"/>
        <v>0</v>
      </c>
      <c r="J21" s="61"/>
      <c r="K21" s="190"/>
      <c r="L21" s="188">
        <f t="shared" si="2"/>
        <v>0</v>
      </c>
      <c r="M21" s="61"/>
      <c r="N21" s="190"/>
      <c r="O21" s="188">
        <f t="shared" si="3"/>
        <v>0</v>
      </c>
      <c r="P21" s="61"/>
      <c r="Q21" s="190"/>
      <c r="R21" s="188">
        <f t="shared" si="4"/>
        <v>0</v>
      </c>
      <c r="S21" s="61"/>
      <c r="T21" s="190"/>
      <c r="U21" s="188">
        <f t="shared" si="5"/>
        <v>0</v>
      </c>
    </row>
    <row r="22" spans="1:21" ht="15.75" customHeight="1" x14ac:dyDescent="0.25">
      <c r="B22" s="141">
        <f t="shared" si="6"/>
        <v>12</v>
      </c>
      <c r="C22" s="63"/>
      <c r="D22" s="61"/>
      <c r="E22" s="190"/>
      <c r="F22" s="188">
        <f t="shared" si="0"/>
        <v>0</v>
      </c>
      <c r="G22" s="61"/>
      <c r="H22" s="190"/>
      <c r="I22" s="188">
        <f t="shared" si="1"/>
        <v>0</v>
      </c>
      <c r="J22" s="61"/>
      <c r="K22" s="190"/>
      <c r="L22" s="188">
        <f t="shared" si="2"/>
        <v>0</v>
      </c>
      <c r="M22" s="61"/>
      <c r="N22" s="190"/>
      <c r="O22" s="188">
        <f t="shared" si="3"/>
        <v>0</v>
      </c>
      <c r="P22" s="61"/>
      <c r="Q22" s="190"/>
      <c r="R22" s="188">
        <f t="shared" si="4"/>
        <v>0</v>
      </c>
      <c r="S22" s="61"/>
      <c r="T22" s="190"/>
      <c r="U22" s="188">
        <f t="shared" si="5"/>
        <v>0</v>
      </c>
    </row>
    <row r="23" spans="1:21" ht="15.75" customHeight="1" x14ac:dyDescent="0.25">
      <c r="B23" s="141">
        <f t="shared" si="6"/>
        <v>13</v>
      </c>
      <c r="C23" s="63"/>
      <c r="D23" s="61"/>
      <c r="E23" s="190"/>
      <c r="F23" s="188">
        <f t="shared" si="0"/>
        <v>0</v>
      </c>
      <c r="G23" s="61"/>
      <c r="H23" s="190"/>
      <c r="I23" s="188">
        <f t="shared" si="1"/>
        <v>0</v>
      </c>
      <c r="J23" s="61"/>
      <c r="K23" s="190"/>
      <c r="L23" s="188">
        <f t="shared" si="2"/>
        <v>0</v>
      </c>
      <c r="M23" s="61"/>
      <c r="N23" s="190"/>
      <c r="O23" s="188">
        <f t="shared" si="3"/>
        <v>0</v>
      </c>
      <c r="P23" s="61"/>
      <c r="Q23" s="190"/>
      <c r="R23" s="188">
        <f t="shared" si="4"/>
        <v>0</v>
      </c>
      <c r="S23" s="61"/>
      <c r="T23" s="190"/>
      <c r="U23" s="188">
        <f t="shared" si="5"/>
        <v>0</v>
      </c>
    </row>
    <row r="24" spans="1:21" ht="15.75" customHeight="1" x14ac:dyDescent="0.25">
      <c r="B24" s="141">
        <f t="shared" si="6"/>
        <v>14</v>
      </c>
      <c r="C24" s="63"/>
      <c r="D24" s="61"/>
      <c r="E24" s="190"/>
      <c r="F24" s="188">
        <f t="shared" si="0"/>
        <v>0</v>
      </c>
      <c r="G24" s="61"/>
      <c r="H24" s="190"/>
      <c r="I24" s="188">
        <f t="shared" si="1"/>
        <v>0</v>
      </c>
      <c r="J24" s="61"/>
      <c r="K24" s="190"/>
      <c r="L24" s="188">
        <f t="shared" si="2"/>
        <v>0</v>
      </c>
      <c r="M24" s="61"/>
      <c r="N24" s="190"/>
      <c r="O24" s="188">
        <f t="shared" si="3"/>
        <v>0</v>
      </c>
      <c r="P24" s="61"/>
      <c r="Q24" s="190"/>
      <c r="R24" s="188">
        <f t="shared" si="4"/>
        <v>0</v>
      </c>
      <c r="S24" s="61"/>
      <c r="T24" s="190"/>
      <c r="U24" s="188">
        <f t="shared" si="5"/>
        <v>0</v>
      </c>
    </row>
    <row r="25" spans="1:21" ht="15.75" customHeight="1" x14ac:dyDescent="0.25">
      <c r="B25" s="141">
        <f t="shared" si="6"/>
        <v>15</v>
      </c>
      <c r="C25" s="63"/>
      <c r="D25" s="61"/>
      <c r="E25" s="190"/>
      <c r="F25" s="188">
        <f t="shared" si="0"/>
        <v>0</v>
      </c>
      <c r="G25" s="61"/>
      <c r="H25" s="190"/>
      <c r="I25" s="188">
        <f t="shared" si="1"/>
        <v>0</v>
      </c>
      <c r="J25" s="61"/>
      <c r="K25" s="190"/>
      <c r="L25" s="188">
        <f t="shared" si="2"/>
        <v>0</v>
      </c>
      <c r="M25" s="61"/>
      <c r="N25" s="190"/>
      <c r="O25" s="188">
        <f t="shared" si="3"/>
        <v>0</v>
      </c>
      <c r="P25" s="61"/>
      <c r="Q25" s="190"/>
      <c r="R25" s="188">
        <f t="shared" si="4"/>
        <v>0</v>
      </c>
      <c r="S25" s="61"/>
      <c r="T25" s="190"/>
      <c r="U25" s="188">
        <f t="shared" si="5"/>
        <v>0</v>
      </c>
    </row>
    <row r="26" spans="1:21" ht="15.75" customHeight="1" x14ac:dyDescent="0.25">
      <c r="B26" s="141">
        <f t="shared" si="6"/>
        <v>16</v>
      </c>
      <c r="C26" s="63"/>
      <c r="D26" s="61"/>
      <c r="E26" s="190"/>
      <c r="F26" s="188">
        <f t="shared" si="0"/>
        <v>0</v>
      </c>
      <c r="G26" s="61"/>
      <c r="H26" s="190"/>
      <c r="I26" s="188">
        <f t="shared" si="1"/>
        <v>0</v>
      </c>
      <c r="J26" s="61"/>
      <c r="K26" s="190"/>
      <c r="L26" s="188">
        <f t="shared" si="2"/>
        <v>0</v>
      </c>
      <c r="M26" s="61"/>
      <c r="N26" s="190"/>
      <c r="O26" s="188">
        <f t="shared" si="3"/>
        <v>0</v>
      </c>
      <c r="P26" s="61"/>
      <c r="Q26" s="190"/>
      <c r="R26" s="188">
        <f t="shared" si="4"/>
        <v>0</v>
      </c>
      <c r="S26" s="61"/>
      <c r="T26" s="190"/>
      <c r="U26" s="188">
        <f t="shared" si="5"/>
        <v>0</v>
      </c>
    </row>
    <row r="27" spans="1:21" ht="15.75" customHeight="1" x14ac:dyDescent="0.25">
      <c r="B27" s="141">
        <f t="shared" si="6"/>
        <v>17</v>
      </c>
      <c r="C27" s="63"/>
      <c r="D27" s="61"/>
      <c r="E27" s="190"/>
      <c r="F27" s="188">
        <f t="shared" si="0"/>
        <v>0</v>
      </c>
      <c r="G27" s="61"/>
      <c r="H27" s="190"/>
      <c r="I27" s="188">
        <f t="shared" si="1"/>
        <v>0</v>
      </c>
      <c r="J27" s="61"/>
      <c r="K27" s="190"/>
      <c r="L27" s="188">
        <f t="shared" si="2"/>
        <v>0</v>
      </c>
      <c r="M27" s="61"/>
      <c r="N27" s="190"/>
      <c r="O27" s="188">
        <f t="shared" si="3"/>
        <v>0</v>
      </c>
      <c r="P27" s="61"/>
      <c r="Q27" s="190"/>
      <c r="R27" s="188">
        <f t="shared" si="4"/>
        <v>0</v>
      </c>
      <c r="S27" s="61"/>
      <c r="T27" s="190"/>
      <c r="U27" s="188">
        <f t="shared" si="5"/>
        <v>0</v>
      </c>
    </row>
    <row r="28" spans="1:21" ht="15.75" customHeight="1" x14ac:dyDescent="0.25">
      <c r="B28" s="147">
        <f t="shared" si="6"/>
        <v>18</v>
      </c>
      <c r="C28" s="63"/>
      <c r="D28" s="61"/>
      <c r="E28" s="190"/>
      <c r="F28" s="188">
        <f t="shared" si="0"/>
        <v>0</v>
      </c>
      <c r="G28" s="61"/>
      <c r="H28" s="190"/>
      <c r="I28" s="188">
        <f t="shared" si="1"/>
        <v>0</v>
      </c>
      <c r="J28" s="61"/>
      <c r="K28" s="190"/>
      <c r="L28" s="188">
        <f t="shared" si="2"/>
        <v>0</v>
      </c>
      <c r="M28" s="61"/>
      <c r="N28" s="190"/>
      <c r="O28" s="188">
        <f t="shared" si="3"/>
        <v>0</v>
      </c>
      <c r="P28" s="61"/>
      <c r="Q28" s="190"/>
      <c r="R28" s="188">
        <f t="shared" si="4"/>
        <v>0</v>
      </c>
      <c r="S28" s="61"/>
      <c r="T28" s="190"/>
      <c r="U28" s="188">
        <f t="shared" si="5"/>
        <v>0</v>
      </c>
    </row>
    <row r="29" spans="1:21" ht="15" customHeight="1" x14ac:dyDescent="0.25">
      <c r="B29" s="147">
        <f t="shared" si="6"/>
        <v>19</v>
      </c>
      <c r="C29" s="63"/>
      <c r="D29" s="61"/>
      <c r="E29" s="190"/>
      <c r="F29" s="188">
        <f t="shared" si="0"/>
        <v>0</v>
      </c>
      <c r="G29" s="61"/>
      <c r="H29" s="190"/>
      <c r="I29" s="188">
        <f t="shared" si="1"/>
        <v>0</v>
      </c>
      <c r="J29" s="61"/>
      <c r="K29" s="190"/>
      <c r="L29" s="188">
        <f t="shared" si="2"/>
        <v>0</v>
      </c>
      <c r="M29" s="61"/>
      <c r="N29" s="190"/>
      <c r="O29" s="188">
        <f t="shared" si="3"/>
        <v>0</v>
      </c>
      <c r="P29" s="61"/>
      <c r="Q29" s="190"/>
      <c r="R29" s="188">
        <f t="shared" si="4"/>
        <v>0</v>
      </c>
      <c r="S29" s="61"/>
      <c r="T29" s="190"/>
      <c r="U29" s="188">
        <f t="shared" si="5"/>
        <v>0</v>
      </c>
    </row>
    <row r="30" spans="1:21" ht="14.5" thickBot="1" x14ac:dyDescent="0.3">
      <c r="B30" s="148">
        <f>B29+1</f>
        <v>20</v>
      </c>
      <c r="C30" s="63"/>
      <c r="D30" s="61"/>
      <c r="E30" s="190"/>
      <c r="F30" s="188">
        <f t="shared" si="0"/>
        <v>0</v>
      </c>
      <c r="G30" s="61"/>
      <c r="H30" s="190"/>
      <c r="I30" s="188">
        <f t="shared" si="1"/>
        <v>0</v>
      </c>
      <c r="J30" s="61"/>
      <c r="K30" s="190"/>
      <c r="L30" s="188">
        <f t="shared" si="2"/>
        <v>0</v>
      </c>
      <c r="M30" s="61"/>
      <c r="N30" s="190"/>
      <c r="O30" s="188">
        <f t="shared" si="3"/>
        <v>0</v>
      </c>
      <c r="P30" s="61"/>
      <c r="Q30" s="190"/>
      <c r="R30" s="188">
        <f t="shared" si="4"/>
        <v>0</v>
      </c>
      <c r="S30" s="61"/>
      <c r="T30" s="190"/>
      <c r="U30" s="188">
        <f t="shared" si="5"/>
        <v>0</v>
      </c>
    </row>
    <row r="31" spans="1:21" ht="31.5" customHeight="1" thickBot="1" x14ac:dyDescent="0.3">
      <c r="C31" s="181" t="s">
        <v>2</v>
      </c>
      <c r="D31" s="56">
        <f>SUM(D11:D30)</f>
        <v>0</v>
      </c>
      <c r="E31" s="101"/>
      <c r="F31" s="58">
        <f>D31+E31</f>
        <v>0</v>
      </c>
      <c r="G31" s="56">
        <f>SUM(G11:G30)</f>
        <v>0</v>
      </c>
      <c r="H31" s="101"/>
      <c r="I31" s="58">
        <f>G31+H31</f>
        <v>0</v>
      </c>
      <c r="J31" s="56">
        <f>SUM(J11:J30)</f>
        <v>0</v>
      </c>
      <c r="K31" s="101"/>
      <c r="L31" s="58">
        <f>J31+K31</f>
        <v>0</v>
      </c>
      <c r="M31" s="56">
        <f>SUM(M11:M30)</f>
        <v>0</v>
      </c>
      <c r="N31" s="101"/>
      <c r="O31" s="58">
        <f>M31+N31</f>
        <v>0</v>
      </c>
      <c r="P31" s="56">
        <f>SUM(P11:P30)</f>
        <v>0</v>
      </c>
      <c r="Q31" s="101"/>
      <c r="R31" s="58">
        <f>P31+Q31</f>
        <v>0</v>
      </c>
      <c r="S31" s="56">
        <f>SUM(S11:S30)</f>
        <v>0</v>
      </c>
      <c r="T31" s="101"/>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47"/>
      <c r="E1" s="247"/>
      <c r="F1" s="247"/>
      <c r="G1" s="247"/>
      <c r="H1" s="247"/>
      <c r="I1" s="247"/>
      <c r="J1" s="12"/>
      <c r="K1" s="12"/>
      <c r="L1" s="12"/>
    </row>
    <row r="2" spans="2:21" ht="14.5" x14ac:dyDescent="0.25">
      <c r="B2" s="121"/>
    </row>
    <row r="4" spans="2:21" x14ac:dyDescent="0.25">
      <c r="B4" s="96" t="s">
        <v>83</v>
      </c>
    </row>
    <row r="6" spans="2:21" ht="43.5" customHeight="1" x14ac:dyDescent="0.25">
      <c r="B6" s="248" t="s">
        <v>140</v>
      </c>
      <c r="C6" s="248"/>
      <c r="D6" s="91"/>
    </row>
    <row r="7" spans="2:21" x14ac:dyDescent="0.25">
      <c r="B7" s="100"/>
      <c r="C7" s="182"/>
      <c r="D7" s="91"/>
    </row>
    <row r="8" spans="2:21" ht="6" customHeight="1" thickBot="1" x14ac:dyDescent="0.3"/>
    <row r="9" spans="2:21" ht="15.75" customHeight="1" thickBot="1" x14ac:dyDescent="0.3">
      <c r="B9" s="232" t="s">
        <v>12</v>
      </c>
      <c r="C9" s="243" t="s">
        <v>10</v>
      </c>
      <c r="D9" s="240">
        <f>Personal!F13</f>
        <v>2021</v>
      </c>
      <c r="E9" s="241"/>
      <c r="F9" s="242"/>
      <c r="G9" s="240">
        <f>D9+1</f>
        <v>2022</v>
      </c>
      <c r="H9" s="241"/>
      <c r="I9" s="242"/>
      <c r="J9" s="240">
        <f>G9+1</f>
        <v>2023</v>
      </c>
      <c r="K9" s="241"/>
      <c r="L9" s="242"/>
      <c r="M9" s="240">
        <f>J9+1</f>
        <v>2024</v>
      </c>
      <c r="N9" s="241"/>
      <c r="O9" s="242"/>
      <c r="P9" s="240">
        <f>M9+1</f>
        <v>2025</v>
      </c>
      <c r="Q9" s="241"/>
      <c r="R9" s="242"/>
      <c r="S9" s="240">
        <f>P9+1</f>
        <v>2026</v>
      </c>
      <c r="T9" s="241"/>
      <c r="U9" s="242"/>
    </row>
    <row r="10" spans="2:21" s="59" customFormat="1" ht="67.900000000000006" customHeight="1" thickBot="1" x14ac:dyDescent="0.3">
      <c r="B10" s="233"/>
      <c r="C10" s="244"/>
      <c r="D10" s="149" t="s">
        <v>6</v>
      </c>
      <c r="E10" s="150" t="s">
        <v>149</v>
      </c>
      <c r="F10" s="151" t="s">
        <v>4</v>
      </c>
      <c r="G10" s="149" t="s">
        <v>6</v>
      </c>
      <c r="H10" s="150" t="s">
        <v>149</v>
      </c>
      <c r="I10" s="151" t="s">
        <v>4</v>
      </c>
      <c r="J10" s="149" t="s">
        <v>6</v>
      </c>
      <c r="K10" s="150" t="s">
        <v>149</v>
      </c>
      <c r="L10" s="151" t="s">
        <v>4</v>
      </c>
      <c r="M10" s="149" t="s">
        <v>6</v>
      </c>
      <c r="N10" s="150" t="s">
        <v>149</v>
      </c>
      <c r="O10" s="151" t="s">
        <v>4</v>
      </c>
      <c r="P10" s="149" t="s">
        <v>6</v>
      </c>
      <c r="Q10" s="150" t="s">
        <v>149</v>
      </c>
      <c r="R10" s="151" t="s">
        <v>4</v>
      </c>
      <c r="S10" s="149" t="s">
        <v>6</v>
      </c>
      <c r="T10" s="150" t="s">
        <v>149</v>
      </c>
      <c r="U10" s="151" t="s">
        <v>4</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2</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1" sqref="C1"/>
      <selection pane="topRight" activeCell="C1" sqref="C1"/>
      <selection pane="bottomLeft" activeCell="C1" sqref="C1"/>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47"/>
      <c r="E1" s="247"/>
      <c r="F1" s="247"/>
      <c r="G1" s="247"/>
      <c r="H1" s="247"/>
      <c r="I1" s="247"/>
      <c r="J1" s="12"/>
      <c r="K1" s="12"/>
      <c r="L1" s="12"/>
    </row>
    <row r="2" spans="2:21" ht="14.5" x14ac:dyDescent="0.25">
      <c r="B2" s="121"/>
    </row>
    <row r="4" spans="2:21" x14ac:dyDescent="0.25">
      <c r="B4" s="96" t="s">
        <v>11</v>
      </c>
    </row>
    <row r="6" spans="2:21" ht="61.5" customHeight="1" x14ac:dyDescent="0.25">
      <c r="B6" s="248" t="s">
        <v>141</v>
      </c>
      <c r="C6" s="248"/>
    </row>
    <row r="7" spans="2:21" x14ac:dyDescent="0.25">
      <c r="B7" s="251"/>
      <c r="C7" s="251"/>
    </row>
    <row r="8" spans="2:21" ht="6" customHeight="1" thickBot="1" x14ac:dyDescent="0.3"/>
    <row r="9" spans="2:21" ht="15.75" customHeight="1" thickBot="1" x14ac:dyDescent="0.3">
      <c r="B9" s="232" t="s">
        <v>119</v>
      </c>
      <c r="C9" s="243" t="s">
        <v>84</v>
      </c>
      <c r="D9" s="240">
        <f>Personal!F13</f>
        <v>2021</v>
      </c>
      <c r="E9" s="241"/>
      <c r="F9" s="242"/>
      <c r="G9" s="240">
        <f>D9+1</f>
        <v>2022</v>
      </c>
      <c r="H9" s="241"/>
      <c r="I9" s="242"/>
      <c r="J9" s="240">
        <f>G9+1</f>
        <v>2023</v>
      </c>
      <c r="K9" s="241"/>
      <c r="L9" s="242"/>
      <c r="M9" s="240">
        <f>J9+1</f>
        <v>2024</v>
      </c>
      <c r="N9" s="241"/>
      <c r="O9" s="242"/>
      <c r="P9" s="240">
        <f>M9+1</f>
        <v>2025</v>
      </c>
      <c r="Q9" s="241"/>
      <c r="R9" s="242"/>
      <c r="S9" s="240">
        <f>P9+1</f>
        <v>2026</v>
      </c>
      <c r="T9" s="241"/>
      <c r="U9" s="242"/>
    </row>
    <row r="10" spans="2:21" s="59" customFormat="1" ht="67.150000000000006" customHeight="1" thickBot="1" x14ac:dyDescent="0.3">
      <c r="B10" s="233" t="s">
        <v>1</v>
      </c>
      <c r="C10" s="244"/>
      <c r="D10" s="149" t="s">
        <v>8</v>
      </c>
      <c r="E10" s="150" t="s">
        <v>149</v>
      </c>
      <c r="F10" s="151" t="s">
        <v>9</v>
      </c>
      <c r="G10" s="149" t="s">
        <v>8</v>
      </c>
      <c r="H10" s="150" t="s">
        <v>149</v>
      </c>
      <c r="I10" s="151" t="s">
        <v>9</v>
      </c>
      <c r="J10" s="149" t="s">
        <v>8</v>
      </c>
      <c r="K10" s="150" t="s">
        <v>149</v>
      </c>
      <c r="L10" s="151" t="s">
        <v>9</v>
      </c>
      <c r="M10" s="149" t="s">
        <v>8</v>
      </c>
      <c r="N10" s="150" t="s">
        <v>149</v>
      </c>
      <c r="O10" s="151" t="s">
        <v>9</v>
      </c>
      <c r="P10" s="149" t="s">
        <v>8</v>
      </c>
      <c r="Q10" s="150" t="s">
        <v>149</v>
      </c>
      <c r="R10" s="151" t="s">
        <v>9</v>
      </c>
      <c r="S10" s="149" t="s">
        <v>8</v>
      </c>
      <c r="T10" s="150" t="s">
        <v>149</v>
      </c>
      <c r="U10" s="151" t="s">
        <v>9</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2</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5"/>
      <c r="E1" s="95"/>
      <c r="F1" s="14"/>
    </row>
    <row r="2" spans="1:9" ht="18" customHeight="1" x14ac:dyDescent="0.35">
      <c r="A2" s="13"/>
      <c r="B2" s="122"/>
      <c r="D2" s="95"/>
      <c r="E2" s="95"/>
      <c r="F2" s="14"/>
    </row>
    <row r="3" spans="1:9" ht="18" customHeight="1" x14ac:dyDescent="0.35">
      <c r="A3" s="13"/>
      <c r="D3" s="95"/>
      <c r="E3" s="95"/>
      <c r="F3" s="14"/>
    </row>
    <row r="4" spans="1:9" ht="18" customHeight="1" x14ac:dyDescent="0.35">
      <c r="A4" s="13"/>
      <c r="B4" s="253" t="s">
        <v>89</v>
      </c>
      <c r="C4" s="253"/>
      <c r="D4" s="253"/>
      <c r="E4" s="253"/>
      <c r="F4" s="253"/>
      <c r="G4" s="253"/>
      <c r="H4" s="253"/>
      <c r="I4" s="253"/>
    </row>
    <row r="5" spans="1:9" ht="15.75" customHeight="1" x14ac:dyDescent="0.25">
      <c r="B5" s="125"/>
      <c r="C5" s="126"/>
      <c r="D5" s="95"/>
      <c r="E5" s="95"/>
    </row>
    <row r="6" spans="1:9" ht="4.5" customHeight="1" x14ac:dyDescent="0.25"/>
    <row r="7" spans="1:9" s="2" customFormat="1" ht="24" customHeight="1" x14ac:dyDescent="0.25">
      <c r="B7" s="255" t="s">
        <v>27</v>
      </c>
      <c r="C7" s="256"/>
      <c r="D7" s="256"/>
      <c r="E7" s="256"/>
      <c r="F7" s="256"/>
      <c r="G7" s="257"/>
      <c r="H7" s="257"/>
      <c r="I7" s="258"/>
    </row>
    <row r="8" spans="1:9" s="2" customFormat="1" ht="27.75" customHeight="1" x14ac:dyDescent="0.25">
      <c r="B8" s="252" t="s">
        <v>22</v>
      </c>
      <c r="C8" s="252"/>
      <c r="D8" s="154">
        <f>Personal!F13</f>
        <v>2021</v>
      </c>
      <c r="E8" s="154">
        <f>D8+1</f>
        <v>2022</v>
      </c>
      <c r="F8" s="154">
        <f>E8+1</f>
        <v>2023</v>
      </c>
      <c r="G8" s="154">
        <f>F8+1</f>
        <v>2024</v>
      </c>
      <c r="H8" s="154">
        <f>G8+1</f>
        <v>2025</v>
      </c>
      <c r="I8" s="154">
        <f>H8+1</f>
        <v>2026</v>
      </c>
    </row>
    <row r="9" spans="1:9" s="2" customFormat="1" ht="28.5" customHeight="1" x14ac:dyDescent="0.25">
      <c r="B9" s="254" t="s">
        <v>92</v>
      </c>
      <c r="C9" s="254"/>
      <c r="D9" s="3">
        <f>Personal!G35</f>
        <v>0</v>
      </c>
      <c r="E9" s="3">
        <f>Personal!L35</f>
        <v>0</v>
      </c>
      <c r="F9" s="3">
        <f>Personal!Q35</f>
        <v>0</v>
      </c>
      <c r="G9" s="3">
        <f>Personal!V35</f>
        <v>0</v>
      </c>
      <c r="H9" s="3">
        <f>Personal!AA35</f>
        <v>0</v>
      </c>
      <c r="I9" s="3">
        <f>Personal!AF35</f>
        <v>0</v>
      </c>
    </row>
    <row r="10" spans="1:9" s="2" customFormat="1" ht="28.5" customHeight="1" x14ac:dyDescent="0.25">
      <c r="B10" s="254" t="s">
        <v>23</v>
      </c>
      <c r="C10" s="254"/>
      <c r="D10" s="3">
        <f>Personal!G36</f>
        <v>0</v>
      </c>
      <c r="E10" s="3">
        <f>Personal!L36</f>
        <v>0</v>
      </c>
      <c r="F10" s="3">
        <f>Personal!Q36</f>
        <v>0</v>
      </c>
      <c r="G10" s="3">
        <f>Personal!V36</f>
        <v>0</v>
      </c>
      <c r="H10" s="3">
        <f>Personal!AA36</f>
        <v>0</v>
      </c>
      <c r="I10" s="3">
        <f>Personal!AF36</f>
        <v>0</v>
      </c>
    </row>
    <row r="11" spans="1:9" s="2" customFormat="1" ht="28.5" customHeight="1" x14ac:dyDescent="0.25">
      <c r="B11" s="254" t="s">
        <v>94</v>
      </c>
      <c r="C11" s="254"/>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4" t="s">
        <v>24</v>
      </c>
      <c r="C12" s="254"/>
      <c r="D12" s="3">
        <f>Fungibles!D31</f>
        <v>0</v>
      </c>
      <c r="E12" s="3">
        <f>Fungibles!G31</f>
        <v>0</v>
      </c>
      <c r="F12" s="3">
        <f>Fungibles!J31</f>
        <v>0</v>
      </c>
      <c r="G12" s="3">
        <f>Fungibles!M31</f>
        <v>0</v>
      </c>
      <c r="H12" s="3">
        <f>Fungibles!P31</f>
        <v>0</v>
      </c>
      <c r="I12" s="3">
        <f>Fungibles!S31</f>
        <v>0</v>
      </c>
    </row>
    <row r="13" spans="1:9" s="2" customFormat="1" ht="28.5" customHeight="1" x14ac:dyDescent="0.25">
      <c r="B13" s="254" t="s">
        <v>130</v>
      </c>
      <c r="C13" s="254"/>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4" t="s">
        <v>25</v>
      </c>
      <c r="C14" s="254"/>
      <c r="D14" s="3">
        <f>'C.Externas (Otros)'!E35</f>
        <v>0</v>
      </c>
      <c r="E14" s="3">
        <f>'C.Externas (Otros)'!H35</f>
        <v>519249.72</v>
      </c>
      <c r="F14" s="3">
        <f>'C.Externas (Otros)'!K35</f>
        <v>732292.42999999993</v>
      </c>
      <c r="G14" s="3">
        <f>'C.Externas (Otros)'!N35</f>
        <v>615333.57999999996</v>
      </c>
      <c r="H14" s="3">
        <f>'C.Externas (Otros)'!Q35</f>
        <v>0</v>
      </c>
      <c r="I14" s="3">
        <f>'C.Externas (Otros)'!T35</f>
        <v>0</v>
      </c>
    </row>
    <row r="15" spans="1:9" s="2" customFormat="1" ht="42" customHeight="1" x14ac:dyDescent="0.25">
      <c r="B15" s="254" t="s">
        <v>30</v>
      </c>
      <c r="C15" s="254"/>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2" t="s">
        <v>26</v>
      </c>
      <c r="C16" s="252"/>
      <c r="D16" s="155">
        <f t="shared" ref="D16:I16" si="0">SUM(D9:D15)</f>
        <v>0</v>
      </c>
      <c r="E16" s="155">
        <f t="shared" si="0"/>
        <v>519249.72</v>
      </c>
      <c r="F16" s="155">
        <f t="shared" si="0"/>
        <v>732292.42999999993</v>
      </c>
      <c r="G16" s="155">
        <f t="shared" si="0"/>
        <v>615333.57999999996</v>
      </c>
      <c r="H16" s="155">
        <f t="shared" si="0"/>
        <v>0</v>
      </c>
      <c r="I16" s="155">
        <f t="shared" si="0"/>
        <v>0</v>
      </c>
    </row>
    <row r="17" spans="2:9" ht="6" customHeight="1" x14ac:dyDescent="0.25"/>
    <row r="18" spans="2:9" s="2" customFormat="1" ht="30" customHeight="1" x14ac:dyDescent="0.25">
      <c r="B18" s="252" t="s">
        <v>88</v>
      </c>
      <c r="C18" s="252"/>
      <c r="D18" s="155">
        <f>'El._inmovilizado (INVERSIÓN)'!D31</f>
        <v>0</v>
      </c>
      <c r="E18" s="155">
        <f>'El._inmovilizado (INVERSIÓN)'!G31</f>
        <v>0</v>
      </c>
      <c r="F18" s="155">
        <f>'El._inmovilizado (INVERSIÓN)'!J31</f>
        <v>0</v>
      </c>
      <c r="G18" s="155">
        <f>'El._inmovilizado (INVERSIÓN)'!M31</f>
        <v>0</v>
      </c>
      <c r="H18" s="155">
        <f>'El._inmovilizado (INVERSIÓN)'!P31</f>
        <v>0</v>
      </c>
      <c r="I18" s="155">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zoomScale="90" zoomScaleNormal="90" workbookViewId="0">
      <selection activeCell="D9" sqref="D9"/>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59"/>
      <c r="E1" s="259"/>
      <c r="F1" s="14"/>
    </row>
    <row r="2" spans="1:9" ht="16.5" customHeight="1" x14ac:dyDescent="0.35">
      <c r="A2" s="13"/>
      <c r="B2" s="122"/>
      <c r="D2" s="92"/>
      <c r="E2" s="92"/>
      <c r="F2" s="14"/>
    </row>
    <row r="3" spans="1:9" ht="16.5" customHeight="1" x14ac:dyDescent="0.35">
      <c r="A3" s="13"/>
      <c r="D3" s="92"/>
      <c r="E3" s="92"/>
      <c r="F3" s="14"/>
    </row>
    <row r="4" spans="1:9" ht="16.5" customHeight="1" x14ac:dyDescent="0.35">
      <c r="A4" s="13"/>
      <c r="B4" s="253" t="s">
        <v>90</v>
      </c>
      <c r="C4" s="253"/>
      <c r="D4" s="253"/>
      <c r="E4" s="253"/>
      <c r="F4" s="253"/>
      <c r="G4" s="253"/>
      <c r="H4" s="253"/>
      <c r="I4" s="253"/>
    </row>
    <row r="5" spans="1:9" ht="15.75" customHeight="1" x14ac:dyDescent="0.25">
      <c r="B5" s="125"/>
      <c r="C5" s="127"/>
    </row>
    <row r="6" spans="1:9" ht="4.5" customHeight="1" x14ac:dyDescent="0.25"/>
    <row r="7" spans="1:9" s="2" customFormat="1" ht="24" customHeight="1" x14ac:dyDescent="0.25">
      <c r="B7" s="260" t="s">
        <v>28</v>
      </c>
      <c r="C7" s="260"/>
      <c r="D7" s="260"/>
      <c r="E7" s="260"/>
      <c r="F7" s="260"/>
      <c r="G7" s="261"/>
      <c r="H7" s="261"/>
      <c r="I7" s="261"/>
    </row>
    <row r="8" spans="1:9" s="2" customFormat="1" ht="27.75" customHeight="1" x14ac:dyDescent="0.25">
      <c r="B8" s="252" t="s">
        <v>22</v>
      </c>
      <c r="C8" s="252"/>
      <c r="D8" s="154">
        <f>Personal!F13</f>
        <v>2021</v>
      </c>
      <c r="E8" s="154">
        <f>D8+1</f>
        <v>2022</v>
      </c>
      <c r="F8" s="154">
        <f>E8+1</f>
        <v>2023</v>
      </c>
      <c r="G8" s="154">
        <f>F8+1</f>
        <v>2024</v>
      </c>
      <c r="H8" s="154">
        <f>G8+1</f>
        <v>2025</v>
      </c>
      <c r="I8" s="154">
        <f>H8+1</f>
        <v>2026</v>
      </c>
    </row>
    <row r="9" spans="1:9" s="2" customFormat="1" ht="28.5" customHeight="1" x14ac:dyDescent="0.25">
      <c r="B9" s="254" t="s">
        <v>92</v>
      </c>
      <c r="C9" s="254"/>
      <c r="D9" s="3">
        <f>Personal!I35</f>
        <v>511323.00000000012</v>
      </c>
      <c r="E9" s="3">
        <f>Personal!N35</f>
        <v>572889.74</v>
      </c>
      <c r="F9" s="3">
        <f>Personal!S35</f>
        <v>615985.37</v>
      </c>
      <c r="G9" s="3">
        <f>Personal!X35</f>
        <v>717312.07</v>
      </c>
      <c r="H9" s="3">
        <f>Personal!AC35</f>
        <v>0</v>
      </c>
      <c r="I9" s="3">
        <f>Personal!AH35</f>
        <v>0</v>
      </c>
    </row>
    <row r="10" spans="1:9" s="2" customFormat="1" ht="28.5" customHeight="1" x14ac:dyDescent="0.25">
      <c r="B10" s="254" t="s">
        <v>23</v>
      </c>
      <c r="C10" s="254"/>
      <c r="D10" s="4"/>
      <c r="E10" s="4"/>
      <c r="F10" s="4"/>
      <c r="G10" s="4"/>
      <c r="H10" s="4"/>
      <c r="I10" s="4"/>
    </row>
    <row r="11" spans="1:9" s="2" customFormat="1" ht="28.5" customHeight="1" x14ac:dyDescent="0.25">
      <c r="B11" s="254" t="s">
        <v>94</v>
      </c>
      <c r="C11" s="254"/>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4" t="s">
        <v>24</v>
      </c>
      <c r="C12" s="254"/>
      <c r="D12" s="3">
        <f>Fungibles!E31</f>
        <v>0</v>
      </c>
      <c r="E12" s="3">
        <f>Fungibles!H31</f>
        <v>0</v>
      </c>
      <c r="F12" s="3">
        <f>Fungibles!K31</f>
        <v>0</v>
      </c>
      <c r="G12" s="3">
        <f>Fungibles!N31</f>
        <v>0</v>
      </c>
      <c r="H12" s="3">
        <f>Fungibles!Q31</f>
        <v>0</v>
      </c>
      <c r="I12" s="3">
        <f>Fungibles!T31</f>
        <v>0</v>
      </c>
    </row>
    <row r="13" spans="1:9" s="2" customFormat="1" ht="28.5" customHeight="1" x14ac:dyDescent="0.25">
      <c r="B13" s="254" t="s">
        <v>130</v>
      </c>
      <c r="C13" s="254"/>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4" t="s">
        <v>25</v>
      </c>
      <c r="C14" s="254"/>
      <c r="D14" s="3">
        <f>'C.Externas (Otros)'!F35</f>
        <v>456666.03</v>
      </c>
      <c r="E14" s="3">
        <f>'C.Externas (Otros)'!I35</f>
        <v>519249.72</v>
      </c>
      <c r="F14" s="3">
        <f>'C.Externas (Otros)'!L35</f>
        <v>732292.42999999993</v>
      </c>
      <c r="G14" s="3">
        <f>'C.Externas (Otros)'!O35</f>
        <v>615333.57999999996</v>
      </c>
      <c r="H14" s="3">
        <f>'C.Externas (Otros)'!R35</f>
        <v>0</v>
      </c>
      <c r="I14" s="3">
        <f>'C.Externas (Otros)'!U35</f>
        <v>0</v>
      </c>
    </row>
    <row r="15" spans="1:9" s="2" customFormat="1" ht="42" customHeight="1" x14ac:dyDescent="0.25">
      <c r="B15" s="254" t="s">
        <v>30</v>
      </c>
      <c r="C15" s="254"/>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2" t="s">
        <v>26</v>
      </c>
      <c r="C16" s="252"/>
      <c r="D16" s="155">
        <f t="shared" ref="D16:I16" si="0">SUM(D9:D15)</f>
        <v>967989.03000000014</v>
      </c>
      <c r="E16" s="155">
        <f t="shared" si="0"/>
        <v>1092139.46</v>
      </c>
      <c r="F16" s="155">
        <f t="shared" si="0"/>
        <v>1348277.7999999998</v>
      </c>
      <c r="G16" s="155">
        <f t="shared" si="0"/>
        <v>1332645.6499999999</v>
      </c>
      <c r="H16" s="155">
        <f t="shared" si="0"/>
        <v>0</v>
      </c>
      <c r="I16" s="155">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zoomScale="90" zoomScaleNormal="90" workbookViewId="0">
      <selection activeCell="D15" sqref="D15"/>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5"/>
      <c r="E1" s="95"/>
      <c r="F1" s="14"/>
    </row>
    <row r="2" spans="1:9" ht="17.25" customHeight="1" x14ac:dyDescent="0.35">
      <c r="A2" s="13"/>
      <c r="B2" s="122"/>
      <c r="D2" s="95"/>
      <c r="E2" s="95"/>
      <c r="F2" s="14"/>
    </row>
    <row r="3" spans="1:9" ht="17.25" customHeight="1" x14ac:dyDescent="0.35">
      <c r="A3" s="13"/>
      <c r="D3" s="95"/>
      <c r="E3" s="95"/>
      <c r="F3" s="14"/>
    </row>
    <row r="4" spans="1:9" ht="17.25" customHeight="1" x14ac:dyDescent="0.35">
      <c r="A4" s="13"/>
      <c r="B4" s="97" t="s">
        <v>87</v>
      </c>
      <c r="D4" s="95"/>
      <c r="E4" s="95"/>
      <c r="F4" s="14"/>
    </row>
    <row r="5" spans="1:9" ht="15.75" customHeight="1" x14ac:dyDescent="0.25">
      <c r="B5" s="125"/>
      <c r="C5" s="126"/>
      <c r="D5" s="95"/>
      <c r="E5" s="95"/>
    </row>
    <row r="6" spans="1:9" ht="4.5" customHeight="1" x14ac:dyDescent="0.25"/>
    <row r="7" spans="1:9" s="2" customFormat="1" ht="24" customHeight="1" x14ac:dyDescent="0.25">
      <c r="B7" s="260" t="s">
        <v>21</v>
      </c>
      <c r="C7" s="260"/>
      <c r="D7" s="260"/>
      <c r="E7" s="260"/>
      <c r="F7" s="260"/>
      <c r="G7" s="261"/>
      <c r="H7" s="261"/>
      <c r="I7" s="261"/>
    </row>
    <row r="8" spans="1:9" s="2" customFormat="1" ht="11.25" customHeight="1" x14ac:dyDescent="0.25">
      <c r="B8" s="93"/>
      <c r="C8" s="93"/>
      <c r="D8" s="93"/>
      <c r="E8" s="93"/>
      <c r="F8" s="93"/>
      <c r="G8" s="94"/>
      <c r="H8" s="94"/>
      <c r="I8" s="94"/>
    </row>
    <row r="9" spans="1:9" s="2" customFormat="1" ht="27.75" customHeight="1" x14ac:dyDescent="0.25">
      <c r="B9" s="252" t="s">
        <v>22</v>
      </c>
      <c r="C9" s="252"/>
      <c r="D9" s="154">
        <f>Personal!F13</f>
        <v>2021</v>
      </c>
      <c r="E9" s="154">
        <f>D9+1</f>
        <v>2022</v>
      </c>
      <c r="F9" s="154">
        <f>E9+1</f>
        <v>2023</v>
      </c>
      <c r="G9" s="154">
        <f>F9+1</f>
        <v>2024</v>
      </c>
      <c r="H9" s="154">
        <f>G9+1</f>
        <v>2025</v>
      </c>
      <c r="I9" s="154">
        <f>H9+1</f>
        <v>2026</v>
      </c>
    </row>
    <row r="10" spans="1:9" s="2" customFormat="1" ht="28.5" customHeight="1" x14ac:dyDescent="0.25">
      <c r="B10" s="254" t="s">
        <v>92</v>
      </c>
      <c r="C10" s="254"/>
      <c r="D10" s="3">
        <f>'I+D'!D9+iT!D9</f>
        <v>511323.00000000012</v>
      </c>
      <c r="E10" s="3">
        <f>'I+D'!E9+iT!E9</f>
        <v>572889.74</v>
      </c>
      <c r="F10" s="3">
        <f>'I+D'!F9+iT!F9</f>
        <v>615985.37</v>
      </c>
      <c r="G10" s="3">
        <f>'I+D'!G9+iT!G9</f>
        <v>717312.07</v>
      </c>
      <c r="H10" s="3">
        <f>'I+D'!H9+iT!H9</f>
        <v>0</v>
      </c>
      <c r="I10" s="3">
        <f>'I+D'!I9+iT!I9</f>
        <v>0</v>
      </c>
    </row>
    <row r="11" spans="1:9" s="2" customFormat="1" ht="28.5" customHeight="1" x14ac:dyDescent="0.25">
      <c r="B11" s="254" t="s">
        <v>23</v>
      </c>
      <c r="C11" s="254"/>
      <c r="D11" s="3">
        <f>'I+D'!D10+iT!D10</f>
        <v>0</v>
      </c>
      <c r="E11" s="3">
        <f>'I+D'!E10+iT!E10</f>
        <v>0</v>
      </c>
      <c r="F11" s="3">
        <f>'I+D'!F10+iT!F10</f>
        <v>0</v>
      </c>
      <c r="G11" s="3">
        <f>'I+D'!G10+iT!G10</f>
        <v>0</v>
      </c>
      <c r="H11" s="3">
        <f>'I+D'!H10+iT!H10</f>
        <v>0</v>
      </c>
      <c r="I11" s="3">
        <f>'I+D'!I10+iT!I10</f>
        <v>0</v>
      </c>
    </row>
    <row r="12" spans="1:9" s="2" customFormat="1" ht="28.5" customHeight="1" x14ac:dyDescent="0.25">
      <c r="B12" s="254" t="s">
        <v>94</v>
      </c>
      <c r="C12" s="254"/>
      <c r="D12" s="3">
        <f>'I+D'!D11+iT!D11</f>
        <v>0</v>
      </c>
      <c r="E12" s="3">
        <f>'I+D'!E11+iT!E11</f>
        <v>0</v>
      </c>
      <c r="F12" s="3">
        <f>'I+D'!F11+iT!F11</f>
        <v>0</v>
      </c>
      <c r="G12" s="3">
        <f>'I+D'!G11+iT!G11</f>
        <v>0</v>
      </c>
      <c r="H12" s="3">
        <f>'I+D'!H11+iT!H11</f>
        <v>0</v>
      </c>
      <c r="I12" s="3">
        <f>'I+D'!I11+iT!I11</f>
        <v>0</v>
      </c>
    </row>
    <row r="13" spans="1:9" s="2" customFormat="1" ht="28.5" customHeight="1" x14ac:dyDescent="0.25">
      <c r="B13" s="254" t="s">
        <v>24</v>
      </c>
      <c r="C13" s="254"/>
      <c r="D13" s="3">
        <f>'I+D'!D12+iT!D12</f>
        <v>0</v>
      </c>
      <c r="E13" s="3">
        <f>'I+D'!E12+iT!E12</f>
        <v>0</v>
      </c>
      <c r="F13" s="3">
        <f>'I+D'!F12+iT!F12</f>
        <v>0</v>
      </c>
      <c r="G13" s="3">
        <f>'I+D'!G12+iT!G12</f>
        <v>0</v>
      </c>
      <c r="H13" s="3">
        <f>'I+D'!H12+iT!H12</f>
        <v>0</v>
      </c>
      <c r="I13" s="3">
        <f>'I+D'!I12+iT!I12</f>
        <v>0</v>
      </c>
    </row>
    <row r="14" spans="1:9" s="2" customFormat="1" ht="28.5" customHeight="1" x14ac:dyDescent="0.25">
      <c r="B14" s="254" t="s">
        <v>130</v>
      </c>
      <c r="C14" s="254"/>
      <c r="D14" s="3">
        <f>'I+D'!D13+iT!D13</f>
        <v>0</v>
      </c>
      <c r="E14" s="3">
        <f>'I+D'!E13+iT!E13</f>
        <v>0</v>
      </c>
      <c r="F14" s="3">
        <f>'I+D'!F13+iT!F13</f>
        <v>0</v>
      </c>
      <c r="G14" s="3">
        <f>'I+D'!G13+iT!G13</f>
        <v>0</v>
      </c>
      <c r="H14" s="3">
        <f>'I+D'!H13+iT!H13</f>
        <v>0</v>
      </c>
      <c r="I14" s="3">
        <f>'I+D'!I13+iT!I13</f>
        <v>0</v>
      </c>
    </row>
    <row r="15" spans="1:9" s="2" customFormat="1" ht="28.5" customHeight="1" x14ac:dyDescent="0.25">
      <c r="B15" s="254" t="s">
        <v>25</v>
      </c>
      <c r="C15" s="254"/>
      <c r="D15" s="3">
        <f>'I+D'!D14+iT!D14</f>
        <v>456666.03</v>
      </c>
      <c r="E15" s="3">
        <f>'I+D'!E14+iT!E14</f>
        <v>1038499.44</v>
      </c>
      <c r="F15" s="3">
        <f>'I+D'!F14+iT!F14</f>
        <v>1464584.8599999999</v>
      </c>
      <c r="G15" s="3">
        <f>'I+D'!G14+iT!G14</f>
        <v>1230667.1599999999</v>
      </c>
      <c r="H15" s="3">
        <f>'I+D'!H14+iT!H14</f>
        <v>0</v>
      </c>
      <c r="I15" s="3">
        <f>'I+D'!I14+iT!I14</f>
        <v>0</v>
      </c>
    </row>
    <row r="16" spans="1:9" s="2" customFormat="1" ht="42" customHeight="1" x14ac:dyDescent="0.25">
      <c r="B16" s="254" t="s">
        <v>30</v>
      </c>
      <c r="C16" s="254"/>
      <c r="D16" s="3">
        <f>'I+D'!D15+iT!D15</f>
        <v>0</v>
      </c>
      <c r="E16" s="3">
        <f>'I+D'!E15+iT!E15</f>
        <v>0</v>
      </c>
      <c r="F16" s="3">
        <f>'I+D'!F15+iT!F15</f>
        <v>0</v>
      </c>
      <c r="G16" s="3">
        <f>'I+D'!G15+iT!G15</f>
        <v>0</v>
      </c>
      <c r="H16" s="3">
        <f>'I+D'!H15+iT!H15</f>
        <v>0</v>
      </c>
      <c r="I16" s="3">
        <f>'I+D'!I15+iT!I15</f>
        <v>0</v>
      </c>
    </row>
    <row r="17" spans="2:9" s="2" customFormat="1" ht="30" customHeight="1" x14ac:dyDescent="0.25">
      <c r="B17" s="252" t="s">
        <v>26</v>
      </c>
      <c r="C17" s="252"/>
      <c r="D17" s="155">
        <f t="shared" ref="D17:I17" si="0">SUM(D10:D16)</f>
        <v>967989.03000000014</v>
      </c>
      <c r="E17" s="155">
        <f t="shared" si="0"/>
        <v>1611389.18</v>
      </c>
      <c r="F17" s="155">
        <f t="shared" si="0"/>
        <v>2080570.23</v>
      </c>
      <c r="G17" s="155">
        <f t="shared" si="0"/>
        <v>1947979.23</v>
      </c>
      <c r="H17" s="155">
        <f t="shared" si="0"/>
        <v>0</v>
      </c>
      <c r="I17" s="155">
        <f t="shared" si="0"/>
        <v>0</v>
      </c>
    </row>
    <row r="18" spans="2:9" ht="6" customHeight="1" x14ac:dyDescent="0.25"/>
    <row r="19" spans="2:9" s="2" customFormat="1" ht="30" customHeight="1" x14ac:dyDescent="0.25">
      <c r="B19" s="252" t="s">
        <v>88</v>
      </c>
      <c r="C19" s="252"/>
      <c r="D19" s="155">
        <f>'El._inmovilizado (INVERSIÓN)'!D31</f>
        <v>0</v>
      </c>
      <c r="E19" s="155">
        <f>'El._inmovilizado (INVERSIÓN)'!G31</f>
        <v>0</v>
      </c>
      <c r="F19" s="155">
        <f>'El._inmovilizado (INVERSIÓN)'!J31</f>
        <v>0</v>
      </c>
      <c r="G19" s="155">
        <f>'El._inmovilizado (INVERSIÓN)'!M31</f>
        <v>0</v>
      </c>
      <c r="H19" s="155">
        <f>'El._inmovilizado (INVERSIÓN)'!P31</f>
        <v>0</v>
      </c>
      <c r="I19" s="155">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B1" sqref="B1"/>
    </sheetView>
  </sheetViews>
  <sheetFormatPr baseColWidth="10" defaultColWidth="11.453125" defaultRowHeight="15.5" x14ac:dyDescent="0.25"/>
  <cols>
    <col min="1" max="1" width="14.7265625" style="50" customWidth="1"/>
    <col min="2" max="2" width="43.54296875" style="50" customWidth="1"/>
    <col min="3" max="3" width="28.1796875" style="50" customWidth="1"/>
    <col min="4" max="4" width="13.1796875" style="50" customWidth="1"/>
    <col min="5" max="5" width="12.1796875" style="50" customWidth="1"/>
    <col min="6" max="6" width="12.453125" style="50" customWidth="1"/>
    <col min="7" max="7" width="12.26953125" style="50" customWidth="1"/>
    <col min="8" max="8" width="12.54296875" style="50" customWidth="1"/>
    <col min="9" max="9" width="12.7265625" style="50" customWidth="1"/>
    <col min="10" max="10" width="15.1796875" style="50" customWidth="1"/>
    <col min="11" max="11" width="4.7265625" style="50" customWidth="1"/>
    <col min="12" max="16384" width="11.453125" style="50"/>
  </cols>
  <sheetData>
    <row r="1" spans="1:10" ht="72" customHeight="1" x14ac:dyDescent="0.25">
      <c r="C1" s="262"/>
      <c r="D1" s="262"/>
      <c r="E1" s="262"/>
      <c r="F1" s="262"/>
      <c r="G1" s="262"/>
      <c r="H1" s="262"/>
      <c r="I1" s="12"/>
      <c r="J1" s="12"/>
    </row>
    <row r="2" spans="1:10" ht="15.75" customHeight="1" x14ac:dyDescent="0.25">
      <c r="C2" s="180"/>
      <c r="D2" s="180"/>
      <c r="E2" s="180"/>
      <c r="F2" s="180"/>
      <c r="G2" s="180"/>
      <c r="H2" s="180"/>
      <c r="I2" s="12"/>
      <c r="J2" s="12"/>
    </row>
    <row r="3" spans="1:10" ht="15.75" customHeight="1" x14ac:dyDescent="0.25">
      <c r="A3" s="96" t="s">
        <v>79</v>
      </c>
      <c r="C3" s="51"/>
      <c r="D3" s="51"/>
      <c r="E3" s="51"/>
      <c r="F3" s="51"/>
      <c r="G3" s="51"/>
      <c r="H3" s="51"/>
      <c r="I3" s="51"/>
      <c r="J3" s="51"/>
    </row>
    <row r="4" spans="1:10" s="98" customFormat="1" ht="15.75" customHeight="1" x14ac:dyDescent="0.25">
      <c r="C4" s="51"/>
      <c r="D4" s="51"/>
      <c r="E4" s="51"/>
      <c r="F4" s="51"/>
      <c r="G4" s="51"/>
      <c r="H4" s="51"/>
      <c r="I4" s="51"/>
      <c r="J4" s="51"/>
    </row>
    <row r="5" spans="1:10" x14ac:dyDescent="0.25">
      <c r="A5" s="52" t="s">
        <v>35</v>
      </c>
    </row>
    <row r="6" spans="1:10" s="53" customFormat="1" ht="6" customHeight="1" thickBot="1" x14ac:dyDescent="0.3">
      <c r="B6" s="52"/>
      <c r="C6" s="54"/>
      <c r="D6" s="54"/>
      <c r="E6" s="54"/>
      <c r="F6" s="54"/>
      <c r="G6" s="54"/>
      <c r="H6" s="54"/>
    </row>
    <row r="7" spans="1:10" ht="15.75" customHeight="1" thickBot="1" x14ac:dyDescent="0.3">
      <c r="A7" s="263" t="s">
        <v>111</v>
      </c>
      <c r="B7" s="156" t="s">
        <v>32</v>
      </c>
      <c r="C7" s="157" t="s">
        <v>33</v>
      </c>
      <c r="D7" s="267" t="s">
        <v>36</v>
      </c>
      <c r="E7" s="268"/>
      <c r="F7" s="269"/>
      <c r="G7" s="270" t="s">
        <v>37</v>
      </c>
      <c r="H7" s="270"/>
      <c r="I7" s="270"/>
      <c r="J7" s="156" t="s">
        <v>122</v>
      </c>
    </row>
    <row r="8" spans="1:10" ht="39.75" customHeight="1" thickBot="1" x14ac:dyDescent="0.3">
      <c r="A8" s="264"/>
      <c r="B8" s="158" t="s">
        <v>120</v>
      </c>
      <c r="C8" s="183" t="s">
        <v>121</v>
      </c>
      <c r="D8" s="159" t="s">
        <v>8</v>
      </c>
      <c r="E8" s="160" t="s">
        <v>149</v>
      </c>
      <c r="F8" s="156" t="s">
        <v>34</v>
      </c>
      <c r="G8" s="159" t="s">
        <v>8</v>
      </c>
      <c r="H8" s="160" t="s">
        <v>149</v>
      </c>
      <c r="I8" s="161" t="s">
        <v>34</v>
      </c>
      <c r="J8" s="162" t="s">
        <v>123</v>
      </c>
    </row>
    <row r="9" spans="1:10" x14ac:dyDescent="0.25">
      <c r="A9" s="191">
        <v>1</v>
      </c>
      <c r="B9" s="192" t="s">
        <v>92</v>
      </c>
      <c r="C9" s="44"/>
      <c r="D9" s="46"/>
      <c r="E9" s="47"/>
      <c r="F9" s="193">
        <f>SUM(D9:E9)</f>
        <v>0</v>
      </c>
      <c r="G9" s="46"/>
      <c r="H9" s="47"/>
      <c r="I9" s="194">
        <f>SUM(G9:H9)</f>
        <v>0</v>
      </c>
      <c r="J9" s="195" t="str">
        <f>IF(F9=0,"",(I9-F9)/F9*100)</f>
        <v/>
      </c>
    </row>
    <row r="10" spans="1:10" ht="26" x14ac:dyDescent="0.25">
      <c r="A10" s="196">
        <v>2</v>
      </c>
      <c r="B10" s="197" t="s">
        <v>106</v>
      </c>
      <c r="C10" s="44"/>
      <c r="D10" s="46"/>
      <c r="E10" s="47"/>
      <c r="F10" s="193">
        <f t="shared" ref="F10:F15" si="0">SUM(D10:E10)</f>
        <v>0</v>
      </c>
      <c r="G10" s="133"/>
      <c r="H10" s="47"/>
      <c r="I10" s="194">
        <f t="shared" ref="I10:I15" si="1">SUM(G10:H10)</f>
        <v>0</v>
      </c>
      <c r="J10" s="198" t="str">
        <f t="shared" ref="J10:J16" si="2">IF(F10=0,"",(I10-F10)/F10*100)</f>
        <v/>
      </c>
    </row>
    <row r="11" spans="1:10" ht="26" x14ac:dyDescent="0.25">
      <c r="A11" s="199">
        <v>3</v>
      </c>
      <c r="B11" s="200" t="s">
        <v>91</v>
      </c>
      <c r="C11" s="45"/>
      <c r="D11" s="48"/>
      <c r="E11" s="49"/>
      <c r="F11" s="201">
        <f t="shared" si="0"/>
        <v>0</v>
      </c>
      <c r="G11" s="48"/>
      <c r="H11" s="49"/>
      <c r="I11" s="202">
        <f t="shared" si="1"/>
        <v>0</v>
      </c>
      <c r="J11" s="198" t="str">
        <f t="shared" si="2"/>
        <v/>
      </c>
    </row>
    <row r="12" spans="1:10" x14ac:dyDescent="0.25">
      <c r="A12" s="199">
        <v>4</v>
      </c>
      <c r="B12" s="200" t="s">
        <v>24</v>
      </c>
      <c r="C12" s="45"/>
      <c r="D12" s="48"/>
      <c r="E12" s="49"/>
      <c r="F12" s="201">
        <f t="shared" si="0"/>
        <v>0</v>
      </c>
      <c r="G12" s="48"/>
      <c r="H12" s="49"/>
      <c r="I12" s="202">
        <f t="shared" si="1"/>
        <v>0</v>
      </c>
      <c r="J12" s="198" t="str">
        <f t="shared" si="2"/>
        <v/>
      </c>
    </row>
    <row r="13" spans="1:10" ht="26" x14ac:dyDescent="0.25">
      <c r="A13" s="199">
        <v>5</v>
      </c>
      <c r="B13" s="200" t="s">
        <v>130</v>
      </c>
      <c r="C13" s="45"/>
      <c r="D13" s="48"/>
      <c r="E13" s="49"/>
      <c r="F13" s="201">
        <f t="shared" si="0"/>
        <v>0</v>
      </c>
      <c r="G13" s="48"/>
      <c r="H13" s="49"/>
      <c r="I13" s="202">
        <f t="shared" si="1"/>
        <v>0</v>
      </c>
      <c r="J13" s="198" t="str">
        <f t="shared" si="2"/>
        <v/>
      </c>
    </row>
    <row r="14" spans="1:10" x14ac:dyDescent="0.25">
      <c r="A14" s="199">
        <v>6</v>
      </c>
      <c r="B14" s="200" t="s">
        <v>68</v>
      </c>
      <c r="C14" s="45"/>
      <c r="D14" s="48"/>
      <c r="E14" s="49"/>
      <c r="F14" s="201">
        <f t="shared" si="0"/>
        <v>0</v>
      </c>
      <c r="G14" s="48"/>
      <c r="H14" s="49"/>
      <c r="I14" s="202">
        <f t="shared" si="1"/>
        <v>0</v>
      </c>
      <c r="J14" s="198" t="str">
        <f t="shared" si="2"/>
        <v/>
      </c>
    </row>
    <row r="15" spans="1:10" ht="16" thickBot="1" x14ac:dyDescent="0.3">
      <c r="A15" s="199">
        <v>7</v>
      </c>
      <c r="B15" s="200" t="s">
        <v>30</v>
      </c>
      <c r="C15" s="45"/>
      <c r="D15" s="48"/>
      <c r="E15" s="49"/>
      <c r="F15" s="201">
        <f t="shared" si="0"/>
        <v>0</v>
      </c>
      <c r="G15" s="48"/>
      <c r="H15" s="49"/>
      <c r="I15" s="202">
        <f t="shared" si="1"/>
        <v>0</v>
      </c>
      <c r="J15" s="203" t="str">
        <f t="shared" si="2"/>
        <v/>
      </c>
    </row>
    <row r="16" spans="1:10" ht="16" thickBot="1" x14ac:dyDescent="0.3">
      <c r="A16" s="265" t="s">
        <v>2</v>
      </c>
      <c r="B16" s="266"/>
      <c r="C16" s="266"/>
      <c r="D16" s="163">
        <f t="shared" ref="D16:I16" si="3">SUM(D9:D15)</f>
        <v>0</v>
      </c>
      <c r="E16" s="164">
        <f t="shared" si="3"/>
        <v>0</v>
      </c>
      <c r="F16" s="165">
        <f t="shared" si="3"/>
        <v>0</v>
      </c>
      <c r="G16" s="163">
        <f t="shared" si="3"/>
        <v>0</v>
      </c>
      <c r="H16" s="164">
        <f t="shared" si="3"/>
        <v>0</v>
      </c>
      <c r="I16" s="166">
        <f t="shared" si="3"/>
        <v>0</v>
      </c>
      <c r="J16" s="204" t="str">
        <f t="shared" si="2"/>
        <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58"/>
  <sheetViews>
    <sheetView showGridLines="0" zoomScale="75" workbookViewId="0">
      <pane ySplit="6" topLeftCell="A7" activePane="bottomLeft" state="frozen"/>
      <selection pane="bottomLeft" activeCell="E15" sqref="E15"/>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47.26953125" style="6" customWidth="1"/>
    <col min="6" max="6" width="38.1796875" style="6" bestFit="1" customWidth="1"/>
    <col min="7" max="7" width="14.81640625" style="7" bestFit="1" customWidth="1"/>
    <col min="8" max="8" width="212.453125" style="6" bestFit="1" customWidth="1"/>
    <col min="9" max="9" width="18.81640625" style="6" hidden="1" customWidth="1"/>
    <col min="10" max="11" width="18.81640625" style="6" customWidth="1"/>
    <col min="12" max="12" width="17.1796875" style="16" customWidth="1"/>
    <col min="13" max="36" width="11.453125" style="16"/>
    <col min="37" max="16384" width="11.453125" style="6"/>
  </cols>
  <sheetData>
    <row r="1" spans="3:15" s="15" customFormat="1" ht="64.5" customHeight="1" x14ac:dyDescent="0.25">
      <c r="F1" s="262"/>
      <c r="G1" s="262"/>
      <c r="H1" s="262"/>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9" t="s">
        <v>143</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273" t="s">
        <v>111</v>
      </c>
      <c r="D5" s="273"/>
      <c r="E5" s="273" t="s">
        <v>39</v>
      </c>
      <c r="F5" s="273" t="s">
        <v>40</v>
      </c>
      <c r="G5" s="273" t="s">
        <v>41</v>
      </c>
      <c r="H5" s="273" t="s">
        <v>42</v>
      </c>
      <c r="I5" s="273" t="s">
        <v>43</v>
      </c>
      <c r="J5" s="274"/>
      <c r="K5" s="274"/>
    </row>
    <row r="6" spans="3:15" s="20" customFormat="1" ht="30" customHeight="1" thickBot="1" x14ac:dyDescent="0.3">
      <c r="C6" s="274"/>
      <c r="D6" s="274"/>
      <c r="E6" s="274"/>
      <c r="F6" s="274"/>
      <c r="G6" s="274"/>
      <c r="H6" s="274"/>
      <c r="I6" s="167" t="s">
        <v>14</v>
      </c>
      <c r="J6" s="167" t="s">
        <v>44</v>
      </c>
      <c r="K6" s="167" t="s">
        <v>2</v>
      </c>
    </row>
    <row r="7" spans="3:15" s="20" customFormat="1" ht="17.25" customHeight="1" thickBot="1" x14ac:dyDescent="0.3">
      <c r="C7" s="325"/>
      <c r="D7" s="327"/>
      <c r="E7" s="327"/>
      <c r="F7" s="327"/>
      <c r="G7" s="327"/>
      <c r="H7" s="327"/>
      <c r="I7" s="327"/>
      <c r="J7" s="327"/>
      <c r="K7" s="328"/>
    </row>
    <row r="8" spans="3:15" s="20" customFormat="1" ht="17.25" customHeight="1" thickBot="1" x14ac:dyDescent="0.3">
      <c r="C8" s="278" t="s">
        <v>92</v>
      </c>
      <c r="D8" s="279"/>
      <c r="E8" s="279"/>
      <c r="F8" s="279"/>
      <c r="G8" s="279"/>
      <c r="H8" s="279"/>
      <c r="I8" s="279"/>
      <c r="J8" s="279"/>
      <c r="K8" s="280"/>
    </row>
    <row r="9" spans="3:15" ht="19.5" customHeight="1" x14ac:dyDescent="0.25">
      <c r="C9" s="317">
        <v>1</v>
      </c>
      <c r="D9" s="318"/>
      <c r="E9" s="25" t="s">
        <v>152</v>
      </c>
      <c r="F9" s="30" t="s">
        <v>177</v>
      </c>
      <c r="G9" s="8">
        <v>44561</v>
      </c>
      <c r="H9" s="30" t="str">
        <f>Personal!D15</f>
        <v>Ingeniero Superior en Organización Industrial</v>
      </c>
      <c r="I9" s="32"/>
      <c r="J9" s="33">
        <v>68037.48</v>
      </c>
      <c r="K9" s="33">
        <f>I9+J9</f>
        <v>68037.48</v>
      </c>
    </row>
    <row r="10" spans="3:15" ht="19.5" customHeight="1" x14ac:dyDescent="0.25">
      <c r="C10" s="319">
        <f>C9+1</f>
        <v>2</v>
      </c>
      <c r="D10" s="320"/>
      <c r="E10" s="23" t="s">
        <v>153</v>
      </c>
      <c r="F10" s="30" t="s">
        <v>177</v>
      </c>
      <c r="G10" s="8">
        <v>44561</v>
      </c>
      <c r="H10" s="30" t="str">
        <f>Personal!D16</f>
        <v>Ingeniero de Telecomunicaciones</v>
      </c>
      <c r="I10" s="32"/>
      <c r="J10" s="34">
        <v>42547.69</v>
      </c>
      <c r="K10" s="33">
        <f t="shared" ref="K10:K18" si="0">I10+J10</f>
        <v>42547.69</v>
      </c>
    </row>
    <row r="11" spans="3:15" ht="19.5" customHeight="1" x14ac:dyDescent="0.25">
      <c r="C11" s="319">
        <f t="shared" ref="C11:C18" si="1">C10+1</f>
        <v>3</v>
      </c>
      <c r="D11" s="320"/>
      <c r="E11" s="23" t="s">
        <v>154</v>
      </c>
      <c r="F11" s="30" t="s">
        <v>177</v>
      </c>
      <c r="G11" s="8">
        <v>44561</v>
      </c>
      <c r="H11" s="30" t="str">
        <f>Personal!D17</f>
        <v>Ingeniero de Telecomunicaciones</v>
      </c>
      <c r="I11" s="32"/>
      <c r="J11" s="34">
        <v>63772.74</v>
      </c>
      <c r="K11" s="33">
        <f t="shared" si="0"/>
        <v>63772.74</v>
      </c>
    </row>
    <row r="12" spans="3:15" ht="19.5" customHeight="1" x14ac:dyDescent="0.25">
      <c r="C12" s="319">
        <f t="shared" si="1"/>
        <v>4</v>
      </c>
      <c r="D12" s="320"/>
      <c r="E12" s="23" t="s">
        <v>155</v>
      </c>
      <c r="F12" s="30" t="s">
        <v>177</v>
      </c>
      <c r="G12" s="8">
        <v>44561</v>
      </c>
      <c r="H12" s="30" t="str">
        <f>Personal!D18</f>
        <v>Ingeniería electrónica y de Comunicaciones</v>
      </c>
      <c r="I12" s="32"/>
      <c r="J12" s="34">
        <v>64169.46</v>
      </c>
      <c r="K12" s="33">
        <f t="shared" si="0"/>
        <v>64169.46</v>
      </c>
    </row>
    <row r="13" spans="3:15" ht="19.5" customHeight="1" x14ac:dyDescent="0.25">
      <c r="C13" s="319">
        <f t="shared" si="1"/>
        <v>5</v>
      </c>
      <c r="D13" s="320"/>
      <c r="E13" s="23" t="s">
        <v>156</v>
      </c>
      <c r="F13" s="30" t="s">
        <v>177</v>
      </c>
      <c r="G13" s="8">
        <v>44561</v>
      </c>
      <c r="H13" s="30" t="str">
        <f>Personal!D19</f>
        <v>Ingeniero de Telecomunicaciones</v>
      </c>
      <c r="I13" s="32"/>
      <c r="J13" s="34">
        <v>45397.4</v>
      </c>
      <c r="K13" s="33">
        <f t="shared" si="0"/>
        <v>45397.4</v>
      </c>
    </row>
    <row r="14" spans="3:15" ht="19.5" customHeight="1" x14ac:dyDescent="0.25">
      <c r="C14" s="319">
        <f t="shared" si="1"/>
        <v>6</v>
      </c>
      <c r="D14" s="320"/>
      <c r="E14" s="23" t="s">
        <v>157</v>
      </c>
      <c r="F14" s="30" t="s">
        <v>177</v>
      </c>
      <c r="G14" s="8">
        <v>44561</v>
      </c>
      <c r="H14" s="30" t="str">
        <f>Personal!D20</f>
        <v>CFGS Electrónica</v>
      </c>
      <c r="I14" s="32"/>
      <c r="J14" s="34">
        <v>52171.15</v>
      </c>
      <c r="K14" s="33">
        <f t="shared" si="0"/>
        <v>52171.15</v>
      </c>
    </row>
    <row r="15" spans="3:15" ht="19.5" customHeight="1" x14ac:dyDescent="0.25">
      <c r="C15" s="319">
        <f t="shared" si="1"/>
        <v>7</v>
      </c>
      <c r="D15" s="320"/>
      <c r="E15" s="23" t="s">
        <v>158</v>
      </c>
      <c r="F15" s="30" t="s">
        <v>177</v>
      </c>
      <c r="G15" s="8">
        <v>44561</v>
      </c>
      <c r="H15" s="30" t="str">
        <f>Personal!D21</f>
        <v>Ingeniería Informática</v>
      </c>
      <c r="I15" s="32"/>
      <c r="J15" s="34">
        <v>58631.91</v>
      </c>
      <c r="K15" s="33">
        <f t="shared" si="0"/>
        <v>58631.91</v>
      </c>
    </row>
    <row r="16" spans="3:15" ht="19.5" customHeight="1" x14ac:dyDescent="0.25">
      <c r="C16" s="319">
        <f t="shared" si="1"/>
        <v>8</v>
      </c>
      <c r="D16" s="320"/>
      <c r="E16" s="23" t="s">
        <v>159</v>
      </c>
      <c r="F16" s="30" t="s">
        <v>177</v>
      </c>
      <c r="G16" s="8">
        <v>44561</v>
      </c>
      <c r="H16" s="30" t="str">
        <f>Personal!D22</f>
        <v>Ingeniero Superior Telecomunicación</v>
      </c>
      <c r="I16" s="32"/>
      <c r="J16" s="34">
        <v>54177.89</v>
      </c>
      <c r="K16" s="33">
        <f t="shared" si="0"/>
        <v>54177.89</v>
      </c>
    </row>
    <row r="17" spans="3:11" ht="19.5" customHeight="1" thickBot="1" x14ac:dyDescent="0.3">
      <c r="C17" s="319">
        <f t="shared" si="1"/>
        <v>9</v>
      </c>
      <c r="D17" s="320"/>
      <c r="E17" s="26" t="s">
        <v>160</v>
      </c>
      <c r="F17" s="30" t="s">
        <v>177</v>
      </c>
      <c r="G17" s="8">
        <v>44561</v>
      </c>
      <c r="H17" s="30" t="str">
        <f>Personal!D23</f>
        <v xml:space="preserve"> 
Ingeniero Técnico industrial, especialidad Eléctrica </v>
      </c>
      <c r="I17" s="32"/>
      <c r="J17" s="34">
        <v>62417.279999999999</v>
      </c>
      <c r="K17" s="33">
        <f t="shared" si="0"/>
        <v>62417.279999999999</v>
      </c>
    </row>
    <row r="18" spans="3:11" ht="19.5" hidden="1" customHeight="1" thickBot="1" x14ac:dyDescent="0.3">
      <c r="C18" s="321">
        <f t="shared" si="1"/>
        <v>10</v>
      </c>
      <c r="D18" s="322"/>
      <c r="E18" s="24"/>
      <c r="F18" s="30"/>
      <c r="G18" s="8"/>
      <c r="H18" s="30"/>
      <c r="I18" s="32"/>
      <c r="J18" s="34"/>
      <c r="K18" s="33">
        <f t="shared" si="0"/>
        <v>0</v>
      </c>
    </row>
    <row r="19" spans="3:11" s="21" customFormat="1" ht="19.5" customHeight="1" thickBot="1" x14ac:dyDescent="0.3">
      <c r="C19" s="211" t="s">
        <v>38</v>
      </c>
      <c r="D19" s="308"/>
      <c r="E19" s="308"/>
      <c r="F19" s="308"/>
      <c r="G19" s="308"/>
      <c r="H19" s="310"/>
      <c r="I19" s="168">
        <f>SUM(I9:I18)</f>
        <v>0</v>
      </c>
      <c r="J19" s="168">
        <f>SUM(J9:J18)</f>
        <v>511323.00000000012</v>
      </c>
      <c r="K19" s="168">
        <f>SUM(K9:K18)</f>
        <v>511323.00000000012</v>
      </c>
    </row>
    <row r="20" spans="3:11" s="20" customFormat="1" ht="17.25" hidden="1" customHeight="1" thickBot="1" x14ac:dyDescent="0.3">
      <c r="C20" s="325"/>
      <c r="D20" s="326"/>
      <c r="E20" s="326"/>
      <c r="F20" s="326"/>
      <c r="G20" s="326"/>
      <c r="H20" s="326"/>
      <c r="I20" s="326"/>
      <c r="J20" s="327"/>
      <c r="K20" s="328"/>
    </row>
    <row r="21" spans="3:11" s="20" customFormat="1" ht="17.25" hidden="1" customHeight="1" thickBot="1" x14ac:dyDescent="0.3">
      <c r="C21" s="323" t="s">
        <v>93</v>
      </c>
      <c r="D21" s="324"/>
      <c r="E21" s="324"/>
      <c r="F21" s="324"/>
      <c r="G21" s="324"/>
      <c r="H21" s="324"/>
      <c r="I21" s="324"/>
      <c r="J21" s="324"/>
      <c r="K21" s="324"/>
    </row>
    <row r="22" spans="3:11" ht="19.5" hidden="1" customHeight="1" x14ac:dyDescent="0.25">
      <c r="C22" s="329">
        <v>1</v>
      </c>
      <c r="D22" s="330"/>
      <c r="E22" s="25"/>
      <c r="F22" s="9"/>
      <c r="G22" s="8"/>
      <c r="H22" s="41"/>
      <c r="I22" s="35"/>
      <c r="J22" s="36"/>
      <c r="K22" s="33">
        <f>I22</f>
        <v>0</v>
      </c>
    </row>
    <row r="23" spans="3:11" ht="19.5" hidden="1" customHeight="1" x14ac:dyDescent="0.25">
      <c r="C23" s="315">
        <f t="shared" ref="C23:C31" si="2">C22+1</f>
        <v>2</v>
      </c>
      <c r="D23" s="316"/>
      <c r="E23" s="23"/>
      <c r="F23" s="9"/>
      <c r="G23" s="8"/>
      <c r="H23" s="42"/>
      <c r="I23" s="33"/>
      <c r="J23" s="37"/>
      <c r="K23" s="33">
        <f t="shared" ref="K23:K31" si="3">I23</f>
        <v>0</v>
      </c>
    </row>
    <row r="24" spans="3:11" ht="19.5" hidden="1" customHeight="1" x14ac:dyDescent="0.25">
      <c r="C24" s="315">
        <f t="shared" si="2"/>
        <v>3</v>
      </c>
      <c r="D24" s="316"/>
      <c r="E24" s="23"/>
      <c r="F24" s="9"/>
      <c r="G24" s="8"/>
      <c r="H24" s="31"/>
      <c r="I24" s="33"/>
      <c r="J24" s="37"/>
      <c r="K24" s="33">
        <f t="shared" si="3"/>
        <v>0</v>
      </c>
    </row>
    <row r="25" spans="3:11" ht="19.5" hidden="1" customHeight="1" x14ac:dyDescent="0.25">
      <c r="C25" s="315">
        <f t="shared" si="2"/>
        <v>4</v>
      </c>
      <c r="D25" s="316"/>
      <c r="E25" s="23"/>
      <c r="F25" s="9"/>
      <c r="G25" s="8"/>
      <c r="H25" s="31"/>
      <c r="I25" s="33"/>
      <c r="J25" s="37"/>
      <c r="K25" s="33">
        <f t="shared" si="3"/>
        <v>0</v>
      </c>
    </row>
    <row r="26" spans="3:11" ht="19.5" hidden="1" customHeight="1" x14ac:dyDescent="0.25">
      <c r="C26" s="315">
        <f t="shared" si="2"/>
        <v>5</v>
      </c>
      <c r="D26" s="316"/>
      <c r="E26" s="23"/>
      <c r="F26" s="9"/>
      <c r="G26" s="8"/>
      <c r="H26" s="31"/>
      <c r="I26" s="33"/>
      <c r="J26" s="37"/>
      <c r="K26" s="33">
        <f t="shared" si="3"/>
        <v>0</v>
      </c>
    </row>
    <row r="27" spans="3:11" ht="19.5" hidden="1" customHeight="1" x14ac:dyDescent="0.25">
      <c r="C27" s="315">
        <f t="shared" si="2"/>
        <v>6</v>
      </c>
      <c r="D27" s="316"/>
      <c r="E27" s="23"/>
      <c r="F27" s="9"/>
      <c r="G27" s="8"/>
      <c r="H27" s="31"/>
      <c r="I27" s="33"/>
      <c r="J27" s="37"/>
      <c r="K27" s="33">
        <f t="shared" si="3"/>
        <v>0</v>
      </c>
    </row>
    <row r="28" spans="3:11" ht="19.5" hidden="1" customHeight="1" x14ac:dyDescent="0.25">
      <c r="C28" s="315">
        <f t="shared" si="2"/>
        <v>7</v>
      </c>
      <c r="D28" s="316"/>
      <c r="E28" s="23"/>
      <c r="F28" s="9"/>
      <c r="G28" s="8"/>
      <c r="H28" s="31"/>
      <c r="I28" s="33"/>
      <c r="J28" s="37"/>
      <c r="K28" s="33">
        <f t="shared" si="3"/>
        <v>0</v>
      </c>
    </row>
    <row r="29" spans="3:11" ht="19.5" hidden="1" customHeight="1" x14ac:dyDescent="0.25">
      <c r="C29" s="315">
        <f t="shared" si="2"/>
        <v>8</v>
      </c>
      <c r="D29" s="316"/>
      <c r="E29" s="23"/>
      <c r="F29" s="9"/>
      <c r="G29" s="8"/>
      <c r="H29" s="31"/>
      <c r="I29" s="33"/>
      <c r="J29" s="37"/>
      <c r="K29" s="33">
        <f t="shared" si="3"/>
        <v>0</v>
      </c>
    </row>
    <row r="30" spans="3:11" ht="19.5" hidden="1" customHeight="1" x14ac:dyDescent="0.25">
      <c r="C30" s="315">
        <f t="shared" si="2"/>
        <v>9</v>
      </c>
      <c r="D30" s="316"/>
      <c r="E30" s="23"/>
      <c r="F30" s="9"/>
      <c r="G30" s="8"/>
      <c r="H30" s="31"/>
      <c r="I30" s="33"/>
      <c r="J30" s="37"/>
      <c r="K30" s="33">
        <f t="shared" si="3"/>
        <v>0</v>
      </c>
    </row>
    <row r="31" spans="3:11" ht="19.5" hidden="1" customHeight="1" thickBot="1" x14ac:dyDescent="0.3">
      <c r="C31" s="315">
        <f t="shared" si="2"/>
        <v>10</v>
      </c>
      <c r="D31" s="316"/>
      <c r="E31" s="24"/>
      <c r="F31" s="9"/>
      <c r="G31" s="8"/>
      <c r="H31" s="31"/>
      <c r="I31" s="38"/>
      <c r="J31" s="37"/>
      <c r="K31" s="33">
        <f t="shared" si="3"/>
        <v>0</v>
      </c>
    </row>
    <row r="32" spans="3:11" s="21" customFormat="1" ht="19.5" hidden="1" customHeight="1" thickBot="1" x14ac:dyDescent="0.3">
      <c r="C32" s="211" t="s">
        <v>38</v>
      </c>
      <c r="D32" s="300"/>
      <c r="E32" s="300"/>
      <c r="F32" s="300"/>
      <c r="G32" s="300"/>
      <c r="H32" s="301"/>
      <c r="I32" s="168">
        <f>SUM(I22:I31)</f>
        <v>0</v>
      </c>
      <c r="J32" s="39"/>
      <c r="K32" s="168">
        <f>SUM(K22:K31)</f>
        <v>0</v>
      </c>
    </row>
    <row r="33" spans="3:11" s="21" customFormat="1" ht="19.5" customHeight="1" thickBot="1" x14ac:dyDescent="0.3">
      <c r="C33" s="275"/>
      <c r="D33" s="276"/>
      <c r="E33" s="276"/>
      <c r="F33" s="276"/>
      <c r="G33" s="276"/>
      <c r="H33" s="276"/>
      <c r="I33" s="276"/>
      <c r="J33" s="277"/>
      <c r="K33" s="277"/>
    </row>
    <row r="34" spans="3:11" s="21" customFormat="1" ht="32.25" customHeight="1" thickBot="1" x14ac:dyDescent="0.3">
      <c r="C34" s="273" t="s">
        <v>111</v>
      </c>
      <c r="D34" s="273"/>
      <c r="E34" s="273" t="s">
        <v>45</v>
      </c>
      <c r="F34" s="273" t="s">
        <v>46</v>
      </c>
      <c r="G34" s="273" t="s">
        <v>41</v>
      </c>
      <c r="H34" s="273" t="s">
        <v>32</v>
      </c>
      <c r="I34" s="273" t="s">
        <v>43</v>
      </c>
      <c r="J34" s="274"/>
      <c r="K34" s="274"/>
    </row>
    <row r="35" spans="3:11" s="21" customFormat="1" ht="30.75" customHeight="1" thickBot="1" x14ac:dyDescent="0.3">
      <c r="C35" s="274"/>
      <c r="D35" s="274"/>
      <c r="E35" s="274"/>
      <c r="F35" s="274"/>
      <c r="G35" s="274"/>
      <c r="H35" s="274"/>
      <c r="I35" s="167" t="s">
        <v>14</v>
      </c>
      <c r="J35" s="167" t="s">
        <v>44</v>
      </c>
      <c r="K35" s="167" t="s">
        <v>2</v>
      </c>
    </row>
    <row r="36" spans="3:11" s="20" customFormat="1" ht="17.25" customHeight="1" thickBot="1" x14ac:dyDescent="0.3">
      <c r="C36" s="275"/>
      <c r="D36" s="276"/>
      <c r="E36" s="276"/>
      <c r="F36" s="276"/>
      <c r="G36" s="276"/>
      <c r="H36" s="276"/>
      <c r="I36" s="276"/>
      <c r="J36" s="277"/>
      <c r="K36" s="277"/>
    </row>
    <row r="37" spans="3:11" s="20" customFormat="1" ht="17.25" hidden="1" customHeight="1" thickBot="1" x14ac:dyDescent="0.3">
      <c r="C37" s="278" t="s">
        <v>94</v>
      </c>
      <c r="D37" s="279"/>
      <c r="E37" s="279"/>
      <c r="F37" s="279"/>
      <c r="G37" s="279"/>
      <c r="H37" s="279"/>
      <c r="I37" s="279"/>
      <c r="J37" s="279"/>
      <c r="K37" s="280"/>
    </row>
    <row r="38" spans="3:11" ht="19.5" hidden="1" customHeight="1" x14ac:dyDescent="0.25">
      <c r="C38" s="294">
        <v>1</v>
      </c>
      <c r="D38" s="295"/>
      <c r="E38" s="25"/>
      <c r="F38" s="9"/>
      <c r="G38" s="8"/>
      <c r="H38" s="30"/>
      <c r="I38" s="35"/>
      <c r="J38" s="33"/>
      <c r="K38" s="33">
        <f>I38+J38</f>
        <v>0</v>
      </c>
    </row>
    <row r="39" spans="3:11" ht="19.5" hidden="1" customHeight="1" x14ac:dyDescent="0.25">
      <c r="C39" s="286">
        <f t="shared" ref="C39:C47" si="4">C38+1</f>
        <v>2</v>
      </c>
      <c r="D39" s="287"/>
      <c r="E39" s="23"/>
      <c r="F39" s="9"/>
      <c r="G39" s="8"/>
      <c r="H39" s="30"/>
      <c r="I39" s="33"/>
      <c r="J39" s="34"/>
      <c r="K39" s="33">
        <f t="shared" ref="K39:K47" si="5">I39+J39</f>
        <v>0</v>
      </c>
    </row>
    <row r="40" spans="3:11" ht="19.5" hidden="1" customHeight="1" x14ac:dyDescent="0.25">
      <c r="C40" s="286">
        <f t="shared" si="4"/>
        <v>3</v>
      </c>
      <c r="D40" s="287"/>
      <c r="E40" s="23"/>
      <c r="F40" s="9"/>
      <c r="G40" s="8"/>
      <c r="H40" s="30"/>
      <c r="I40" s="33"/>
      <c r="J40" s="34"/>
      <c r="K40" s="33">
        <f t="shared" si="5"/>
        <v>0</v>
      </c>
    </row>
    <row r="41" spans="3:11" ht="19.5" hidden="1" customHeight="1" x14ac:dyDescent="0.25">
      <c r="C41" s="286">
        <f t="shared" si="4"/>
        <v>4</v>
      </c>
      <c r="D41" s="287"/>
      <c r="E41" s="23"/>
      <c r="F41" s="9"/>
      <c r="G41" s="8"/>
      <c r="H41" s="30"/>
      <c r="I41" s="33"/>
      <c r="J41" s="34"/>
      <c r="K41" s="33">
        <f t="shared" si="5"/>
        <v>0</v>
      </c>
    </row>
    <row r="42" spans="3:11" ht="19.5" hidden="1" customHeight="1" x14ac:dyDescent="0.25">
      <c r="C42" s="286">
        <f t="shared" si="4"/>
        <v>5</v>
      </c>
      <c r="D42" s="287"/>
      <c r="E42" s="23"/>
      <c r="F42" s="9"/>
      <c r="G42" s="8"/>
      <c r="H42" s="30"/>
      <c r="I42" s="33"/>
      <c r="J42" s="34"/>
      <c r="K42" s="33">
        <f t="shared" si="5"/>
        <v>0</v>
      </c>
    </row>
    <row r="43" spans="3:11" ht="19.5" hidden="1" customHeight="1" x14ac:dyDescent="0.25">
      <c r="C43" s="286">
        <f t="shared" si="4"/>
        <v>6</v>
      </c>
      <c r="D43" s="287"/>
      <c r="E43" s="23"/>
      <c r="F43" s="9"/>
      <c r="G43" s="8"/>
      <c r="H43" s="30"/>
      <c r="I43" s="33"/>
      <c r="J43" s="34"/>
      <c r="K43" s="33">
        <f t="shared" si="5"/>
        <v>0</v>
      </c>
    </row>
    <row r="44" spans="3:11" ht="19.5" hidden="1" customHeight="1" x14ac:dyDescent="0.25">
      <c r="C44" s="286">
        <f t="shared" si="4"/>
        <v>7</v>
      </c>
      <c r="D44" s="287"/>
      <c r="E44" s="23"/>
      <c r="F44" s="9"/>
      <c r="G44" s="8"/>
      <c r="H44" s="30"/>
      <c r="I44" s="33"/>
      <c r="J44" s="34"/>
      <c r="K44" s="33">
        <f t="shared" si="5"/>
        <v>0</v>
      </c>
    </row>
    <row r="45" spans="3:11" ht="19.5" hidden="1" customHeight="1" x14ac:dyDescent="0.25">
      <c r="C45" s="286">
        <f t="shared" si="4"/>
        <v>8</v>
      </c>
      <c r="D45" s="287"/>
      <c r="E45" s="23"/>
      <c r="F45" s="9"/>
      <c r="G45" s="8"/>
      <c r="H45" s="30"/>
      <c r="I45" s="33"/>
      <c r="J45" s="34"/>
      <c r="K45" s="33">
        <f t="shared" si="5"/>
        <v>0</v>
      </c>
    </row>
    <row r="46" spans="3:11" ht="19.5" hidden="1" customHeight="1" x14ac:dyDescent="0.25">
      <c r="C46" s="286">
        <f t="shared" si="4"/>
        <v>9</v>
      </c>
      <c r="D46" s="287"/>
      <c r="E46" s="23"/>
      <c r="F46" s="9"/>
      <c r="G46" s="8"/>
      <c r="H46" s="30"/>
      <c r="I46" s="33"/>
      <c r="J46" s="34"/>
      <c r="K46" s="33">
        <f t="shared" si="5"/>
        <v>0</v>
      </c>
    </row>
    <row r="47" spans="3:11" ht="19.5" hidden="1" customHeight="1" thickBot="1" x14ac:dyDescent="0.3">
      <c r="C47" s="286">
        <f t="shared" si="4"/>
        <v>10</v>
      </c>
      <c r="D47" s="287"/>
      <c r="E47" s="24"/>
      <c r="F47" s="9"/>
      <c r="G47" s="8"/>
      <c r="H47" s="30"/>
      <c r="I47" s="38"/>
      <c r="J47" s="34"/>
      <c r="K47" s="33">
        <f t="shared" si="5"/>
        <v>0</v>
      </c>
    </row>
    <row r="48" spans="3:11" s="21" customFormat="1" ht="19.5" hidden="1" customHeight="1" thickBot="1" x14ac:dyDescent="0.3">
      <c r="C48" s="211" t="s">
        <v>38</v>
      </c>
      <c r="D48" s="308"/>
      <c r="E48" s="309"/>
      <c r="F48" s="308"/>
      <c r="G48" s="308"/>
      <c r="H48" s="310"/>
      <c r="I48" s="168">
        <f>SUM(I38:I47)</f>
        <v>0</v>
      </c>
      <c r="J48" s="168">
        <f>SUM(J38:J47)</f>
        <v>0</v>
      </c>
      <c r="K48" s="168">
        <f>SUM(K38:K47)</f>
        <v>0</v>
      </c>
    </row>
    <row r="49" spans="3:11" s="21" customFormat="1" ht="19.5" hidden="1" customHeight="1" thickBot="1" x14ac:dyDescent="0.3">
      <c r="C49" s="275"/>
      <c r="D49" s="276"/>
      <c r="E49" s="276"/>
      <c r="F49" s="276"/>
      <c r="G49" s="276"/>
      <c r="H49" s="276"/>
      <c r="I49" s="276"/>
      <c r="J49" s="277"/>
      <c r="K49" s="277"/>
    </row>
    <row r="50" spans="3:11" s="21" customFormat="1" ht="19.5" hidden="1" customHeight="1" thickBot="1" x14ac:dyDescent="0.3">
      <c r="C50" s="278" t="s">
        <v>47</v>
      </c>
      <c r="D50" s="279"/>
      <c r="E50" s="279"/>
      <c r="F50" s="279"/>
      <c r="G50" s="279"/>
      <c r="H50" s="279"/>
      <c r="I50" s="279"/>
      <c r="J50" s="279"/>
      <c r="K50" s="280"/>
    </row>
    <row r="51" spans="3:11" ht="19.5" hidden="1" customHeight="1" x14ac:dyDescent="0.25">
      <c r="C51" s="311">
        <v>1</v>
      </c>
      <c r="D51" s="312"/>
      <c r="E51" s="43"/>
      <c r="F51" s="10"/>
      <c r="G51" s="8"/>
      <c r="H51" s="30"/>
      <c r="I51" s="35"/>
      <c r="J51" s="33"/>
      <c r="K51" s="33">
        <f>I51+J51</f>
        <v>0</v>
      </c>
    </row>
    <row r="52" spans="3:11" ht="19.5" hidden="1" customHeight="1" x14ac:dyDescent="0.25">
      <c r="C52" s="298">
        <f t="shared" ref="C52:C60" si="6">C51+1</f>
        <v>2</v>
      </c>
      <c r="D52" s="299"/>
      <c r="E52" s="43"/>
      <c r="F52" s="10"/>
      <c r="G52" s="8"/>
      <c r="H52" s="30"/>
      <c r="I52" s="33"/>
      <c r="J52" s="34"/>
      <c r="K52" s="33">
        <f t="shared" ref="K52:K60" si="7">I52+J52</f>
        <v>0</v>
      </c>
    </row>
    <row r="53" spans="3:11" ht="19.5" hidden="1" customHeight="1" x14ac:dyDescent="0.25">
      <c r="C53" s="298">
        <f t="shared" si="6"/>
        <v>3</v>
      </c>
      <c r="D53" s="299"/>
      <c r="E53" s="23"/>
      <c r="F53" s="10"/>
      <c r="G53" s="8"/>
      <c r="H53" s="30"/>
      <c r="I53" s="33"/>
      <c r="J53" s="34"/>
      <c r="K53" s="33">
        <f t="shared" si="7"/>
        <v>0</v>
      </c>
    </row>
    <row r="54" spans="3:11" ht="19.5" hidden="1" customHeight="1" x14ac:dyDescent="0.25">
      <c r="C54" s="298">
        <f>C53+1</f>
        <v>4</v>
      </c>
      <c r="D54" s="299"/>
      <c r="E54" s="23"/>
      <c r="F54" s="10"/>
      <c r="G54" s="8"/>
      <c r="H54" s="30"/>
      <c r="I54" s="33"/>
      <c r="J54" s="34"/>
      <c r="K54" s="33">
        <f t="shared" si="7"/>
        <v>0</v>
      </c>
    </row>
    <row r="55" spans="3:11" ht="19.5" hidden="1" customHeight="1" x14ac:dyDescent="0.25">
      <c r="C55" s="298">
        <f t="shared" si="6"/>
        <v>5</v>
      </c>
      <c r="D55" s="299"/>
      <c r="E55" s="23"/>
      <c r="F55" s="10"/>
      <c r="G55" s="8"/>
      <c r="H55" s="30"/>
      <c r="I55" s="33"/>
      <c r="J55" s="34"/>
      <c r="K55" s="33">
        <f t="shared" si="7"/>
        <v>0</v>
      </c>
    </row>
    <row r="56" spans="3:11" ht="19.5" hidden="1" customHeight="1" x14ac:dyDescent="0.25">
      <c r="C56" s="298">
        <f t="shared" si="6"/>
        <v>6</v>
      </c>
      <c r="D56" s="299"/>
      <c r="E56" s="23"/>
      <c r="F56" s="10"/>
      <c r="G56" s="8"/>
      <c r="H56" s="30"/>
      <c r="I56" s="33"/>
      <c r="J56" s="34"/>
      <c r="K56" s="33">
        <f t="shared" si="7"/>
        <v>0</v>
      </c>
    </row>
    <row r="57" spans="3:11" ht="19.5" hidden="1" customHeight="1" x14ac:dyDescent="0.25">
      <c r="C57" s="298">
        <f t="shared" si="6"/>
        <v>7</v>
      </c>
      <c r="D57" s="299"/>
      <c r="E57" s="23"/>
      <c r="F57" s="10"/>
      <c r="G57" s="8"/>
      <c r="H57" s="30"/>
      <c r="I57" s="33"/>
      <c r="J57" s="34"/>
      <c r="K57" s="33">
        <f t="shared" si="7"/>
        <v>0</v>
      </c>
    </row>
    <row r="58" spans="3:11" ht="19.5" hidden="1" customHeight="1" x14ac:dyDescent="0.25">
      <c r="C58" s="298">
        <f t="shared" si="6"/>
        <v>8</v>
      </c>
      <c r="D58" s="299"/>
      <c r="E58" s="23"/>
      <c r="F58" s="10"/>
      <c r="G58" s="8"/>
      <c r="H58" s="30"/>
      <c r="I58" s="33"/>
      <c r="J58" s="34"/>
      <c r="K58" s="33">
        <f t="shared" si="7"/>
        <v>0</v>
      </c>
    </row>
    <row r="59" spans="3:11" ht="19.5" hidden="1" customHeight="1" x14ac:dyDescent="0.25">
      <c r="C59" s="298">
        <f t="shared" si="6"/>
        <v>9</v>
      </c>
      <c r="D59" s="299"/>
      <c r="E59" s="23"/>
      <c r="F59" s="10"/>
      <c r="G59" s="8"/>
      <c r="H59" s="30"/>
      <c r="I59" s="33"/>
      <c r="J59" s="34"/>
      <c r="K59" s="33">
        <f t="shared" si="7"/>
        <v>0</v>
      </c>
    </row>
    <row r="60" spans="3:11" ht="19.5" hidden="1" customHeight="1" thickBot="1" x14ac:dyDescent="0.3">
      <c r="C60" s="298">
        <f t="shared" si="6"/>
        <v>10</v>
      </c>
      <c r="D60" s="299"/>
      <c r="E60" s="24"/>
      <c r="F60" s="10"/>
      <c r="G60" s="8"/>
      <c r="H60" s="30"/>
      <c r="I60" s="38"/>
      <c r="J60" s="34"/>
      <c r="K60" s="33">
        <f t="shared" si="7"/>
        <v>0</v>
      </c>
    </row>
    <row r="61" spans="3:11" s="21" customFormat="1" ht="19.5" hidden="1" customHeight="1" thickBot="1" x14ac:dyDescent="0.3">
      <c r="C61" s="211" t="s">
        <v>38</v>
      </c>
      <c r="D61" s="300"/>
      <c r="E61" s="300"/>
      <c r="F61" s="300"/>
      <c r="G61" s="300"/>
      <c r="H61" s="301"/>
      <c r="I61" s="168">
        <f>SUM(I51:I60)</f>
        <v>0</v>
      </c>
      <c r="J61" s="168">
        <f>SUM(J51:J60)</f>
        <v>0</v>
      </c>
      <c r="K61" s="168">
        <f>SUM(K51:K60)</f>
        <v>0</v>
      </c>
    </row>
    <row r="62" spans="3:11" s="21" customFormat="1" ht="19.5" hidden="1" customHeight="1" thickBot="1" x14ac:dyDescent="0.3">
      <c r="C62" s="275"/>
      <c r="D62" s="276"/>
      <c r="E62" s="276"/>
      <c r="F62" s="276"/>
      <c r="G62" s="276"/>
      <c r="H62" s="276"/>
      <c r="I62" s="276"/>
      <c r="J62" s="277"/>
      <c r="K62" s="277"/>
    </row>
    <row r="63" spans="3:11" s="21" customFormat="1" ht="19.5" hidden="1" customHeight="1" thickBot="1" x14ac:dyDescent="0.3">
      <c r="C63" s="278" t="s">
        <v>130</v>
      </c>
      <c r="D63" s="313"/>
      <c r="E63" s="313"/>
      <c r="F63" s="313"/>
      <c r="G63" s="313"/>
      <c r="H63" s="313"/>
      <c r="I63" s="313"/>
      <c r="J63" s="313"/>
      <c r="K63" s="314"/>
    </row>
    <row r="64" spans="3:11" s="21" customFormat="1" ht="19.5" hidden="1" customHeight="1" thickBot="1" x14ac:dyDescent="0.3">
      <c r="C64" s="296" t="s">
        <v>48</v>
      </c>
      <c r="D64" s="297"/>
      <c r="E64" s="86"/>
      <c r="F64" s="87"/>
      <c r="G64" s="87"/>
      <c r="H64" s="87"/>
      <c r="I64" s="35"/>
      <c r="J64" s="33"/>
      <c r="K64" s="33">
        <f>I64+J64</f>
        <v>0</v>
      </c>
    </row>
    <row r="65" spans="3:11" s="21" customFormat="1" ht="19.5" hidden="1" customHeight="1" thickBot="1" x14ac:dyDescent="0.3">
      <c r="C65" s="296" t="s">
        <v>49</v>
      </c>
      <c r="D65" s="297"/>
      <c r="E65" s="88"/>
      <c r="F65" s="89"/>
      <c r="G65" s="89"/>
      <c r="H65" s="89"/>
      <c r="I65" s="33"/>
      <c r="J65" s="34"/>
      <c r="K65" s="33">
        <f t="shared" ref="K65:K73" si="8">I65+J65</f>
        <v>0</v>
      </c>
    </row>
    <row r="66" spans="3:11" s="21" customFormat="1" ht="19.5" hidden="1" customHeight="1" thickBot="1" x14ac:dyDescent="0.3">
      <c r="C66" s="296" t="s">
        <v>50</v>
      </c>
      <c r="D66" s="297"/>
      <c r="E66" s="88"/>
      <c r="F66" s="89"/>
      <c r="G66" s="89"/>
      <c r="H66" s="89"/>
      <c r="I66" s="33"/>
      <c r="J66" s="34"/>
      <c r="K66" s="33">
        <f t="shared" si="8"/>
        <v>0</v>
      </c>
    </row>
    <row r="67" spans="3:11" s="21" customFormat="1" ht="19.5" hidden="1" customHeight="1" thickBot="1" x14ac:dyDescent="0.3">
      <c r="C67" s="296" t="s">
        <v>51</v>
      </c>
      <c r="D67" s="297"/>
      <c r="E67" s="88"/>
      <c r="F67" s="89"/>
      <c r="G67" s="89"/>
      <c r="H67" s="89"/>
      <c r="I67" s="33"/>
      <c r="J67" s="34"/>
      <c r="K67" s="33">
        <f t="shared" si="8"/>
        <v>0</v>
      </c>
    </row>
    <row r="68" spans="3:11" s="21" customFormat="1" ht="19.5" hidden="1" customHeight="1" thickBot="1" x14ac:dyDescent="0.3">
      <c r="C68" s="296" t="s">
        <v>52</v>
      </c>
      <c r="D68" s="297"/>
      <c r="E68" s="88"/>
      <c r="F68" s="89"/>
      <c r="G68" s="89"/>
      <c r="H68" s="89"/>
      <c r="I68" s="33"/>
      <c r="J68" s="34"/>
      <c r="K68" s="33">
        <f t="shared" si="8"/>
        <v>0</v>
      </c>
    </row>
    <row r="69" spans="3:11" s="21" customFormat="1" ht="19.5" hidden="1" customHeight="1" thickBot="1" x14ac:dyDescent="0.3">
      <c r="C69" s="296" t="s">
        <v>53</v>
      </c>
      <c r="D69" s="297"/>
      <c r="E69" s="88"/>
      <c r="F69" s="89"/>
      <c r="G69" s="89"/>
      <c r="H69" s="89"/>
      <c r="I69" s="33"/>
      <c r="J69" s="34"/>
      <c r="K69" s="33">
        <f t="shared" si="8"/>
        <v>0</v>
      </c>
    </row>
    <row r="70" spans="3:11" s="21" customFormat="1" ht="19.5" hidden="1" customHeight="1" thickBot="1" x14ac:dyDescent="0.3">
      <c r="C70" s="296" t="s">
        <v>54</v>
      </c>
      <c r="D70" s="297"/>
      <c r="E70" s="88"/>
      <c r="F70" s="89"/>
      <c r="G70" s="89"/>
      <c r="H70" s="89"/>
      <c r="I70" s="33"/>
      <c r="J70" s="34"/>
      <c r="K70" s="33">
        <f t="shared" si="8"/>
        <v>0</v>
      </c>
    </row>
    <row r="71" spans="3:11" s="21" customFormat="1" ht="19.5" hidden="1" customHeight="1" thickBot="1" x14ac:dyDescent="0.3">
      <c r="C71" s="296" t="s">
        <v>55</v>
      </c>
      <c r="D71" s="297"/>
      <c r="E71" s="88"/>
      <c r="F71" s="89"/>
      <c r="G71" s="89"/>
      <c r="H71" s="89"/>
      <c r="I71" s="33"/>
      <c r="J71" s="34"/>
      <c r="K71" s="33">
        <f t="shared" si="8"/>
        <v>0</v>
      </c>
    </row>
    <row r="72" spans="3:11" s="21" customFormat="1" ht="19.5" hidden="1" customHeight="1" thickBot="1" x14ac:dyDescent="0.3">
      <c r="C72" s="296" t="s">
        <v>56</v>
      </c>
      <c r="D72" s="297"/>
      <c r="E72" s="88"/>
      <c r="F72" s="89"/>
      <c r="G72" s="89"/>
      <c r="H72" s="89"/>
      <c r="I72" s="33"/>
      <c r="J72" s="34"/>
      <c r="K72" s="33">
        <f t="shared" si="8"/>
        <v>0</v>
      </c>
    </row>
    <row r="73" spans="3:11" s="21" customFormat="1" ht="19.5" hidden="1" customHeight="1" thickBot="1" x14ac:dyDescent="0.3">
      <c r="C73" s="296" t="s">
        <v>57</v>
      </c>
      <c r="D73" s="297"/>
      <c r="E73" s="88"/>
      <c r="F73" s="89"/>
      <c r="G73" s="89"/>
      <c r="H73" s="89"/>
      <c r="I73" s="38"/>
      <c r="J73" s="34"/>
      <c r="K73" s="33">
        <f t="shared" si="8"/>
        <v>0</v>
      </c>
    </row>
    <row r="74" spans="3:11" s="21" customFormat="1" ht="19.5" hidden="1" customHeight="1" thickBot="1" x14ac:dyDescent="0.3">
      <c r="C74" s="211" t="s">
        <v>38</v>
      </c>
      <c r="D74" s="300"/>
      <c r="E74" s="300"/>
      <c r="F74" s="300"/>
      <c r="G74" s="300"/>
      <c r="H74" s="301"/>
      <c r="I74" s="168">
        <f>SUM(I64:I73)</f>
        <v>0</v>
      </c>
      <c r="J74" s="168">
        <f>SUM(J64:J73)</f>
        <v>0</v>
      </c>
      <c r="K74" s="168">
        <f>SUM(K64:K73)</f>
        <v>0</v>
      </c>
    </row>
    <row r="75" spans="3:11" s="21" customFormat="1" ht="19.5" customHeight="1" thickBot="1" x14ac:dyDescent="0.3">
      <c r="C75" s="275"/>
      <c r="D75" s="276"/>
      <c r="E75" s="276"/>
      <c r="F75" s="276"/>
      <c r="G75" s="276"/>
      <c r="H75" s="276"/>
      <c r="I75" s="276"/>
      <c r="J75" s="277"/>
      <c r="K75" s="277"/>
    </row>
    <row r="76" spans="3:11" ht="19.5" customHeight="1" thickBot="1" x14ac:dyDescent="0.3">
      <c r="C76" s="278" t="s">
        <v>68</v>
      </c>
      <c r="D76" s="279"/>
      <c r="E76" s="279"/>
      <c r="F76" s="279"/>
      <c r="G76" s="279"/>
      <c r="H76" s="279"/>
      <c r="I76" s="279"/>
      <c r="J76" s="279"/>
      <c r="K76" s="280"/>
    </row>
    <row r="77" spans="3:11" ht="19.5" customHeight="1" x14ac:dyDescent="0.25">
      <c r="C77" s="271" t="s">
        <v>58</v>
      </c>
      <c r="D77" s="272"/>
      <c r="E77" s="43" t="s">
        <v>175</v>
      </c>
      <c r="F77" s="27" t="s">
        <v>188</v>
      </c>
      <c r="G77" s="28">
        <v>44488</v>
      </c>
      <c r="H77" s="27" t="s">
        <v>217</v>
      </c>
      <c r="I77" s="35"/>
      <c r="J77" s="33">
        <v>59110.92</v>
      </c>
      <c r="K77" s="33">
        <f>I77+J77</f>
        <v>59110.92</v>
      </c>
    </row>
    <row r="78" spans="3:11" ht="19.5" customHeight="1" x14ac:dyDescent="0.25">
      <c r="C78" s="271" t="s">
        <v>59</v>
      </c>
      <c r="D78" s="272"/>
      <c r="E78" s="43" t="s">
        <v>175</v>
      </c>
      <c r="F78" s="27" t="s">
        <v>189</v>
      </c>
      <c r="G78" s="28">
        <v>44544</v>
      </c>
      <c r="H78" s="27" t="s">
        <v>217</v>
      </c>
      <c r="I78" s="33"/>
      <c r="J78" s="34">
        <v>80605.8</v>
      </c>
      <c r="K78" s="33">
        <f t="shared" ref="K78:K96" si="9">I78+J78</f>
        <v>80605.8</v>
      </c>
    </row>
    <row r="79" spans="3:11" ht="19.5" customHeight="1" x14ac:dyDescent="0.25">
      <c r="C79" s="271" t="s">
        <v>60</v>
      </c>
      <c r="D79" s="272"/>
      <c r="E79" s="43" t="s">
        <v>175</v>
      </c>
      <c r="F79" s="27" t="s">
        <v>190</v>
      </c>
      <c r="G79" s="28">
        <v>44544</v>
      </c>
      <c r="H79" s="27" t="s">
        <v>217</v>
      </c>
      <c r="I79" s="33"/>
      <c r="J79" s="34">
        <v>77888.25</v>
      </c>
      <c r="K79" s="33">
        <f t="shared" si="9"/>
        <v>77888.25</v>
      </c>
    </row>
    <row r="80" spans="3:11" ht="19.5" customHeight="1" x14ac:dyDescent="0.25">
      <c r="C80" s="271" t="s">
        <v>61</v>
      </c>
      <c r="D80" s="272"/>
      <c r="E80" s="208" t="s">
        <v>171</v>
      </c>
      <c r="F80" s="209" t="s">
        <v>191</v>
      </c>
      <c r="G80" s="210">
        <v>44544</v>
      </c>
      <c r="H80" s="209" t="s">
        <v>218</v>
      </c>
      <c r="I80" s="33"/>
      <c r="J80" s="34">
        <v>7831.04</v>
      </c>
      <c r="K80" s="33">
        <f t="shared" si="9"/>
        <v>7831.04</v>
      </c>
    </row>
    <row r="81" spans="3:21" ht="19.5" customHeight="1" x14ac:dyDescent="0.25">
      <c r="C81" s="271" t="s">
        <v>62</v>
      </c>
      <c r="D81" s="272"/>
      <c r="E81" s="208" t="s">
        <v>173</v>
      </c>
      <c r="F81" s="209" t="s">
        <v>192</v>
      </c>
      <c r="G81" s="210">
        <v>44547</v>
      </c>
      <c r="H81" s="209" t="s">
        <v>219</v>
      </c>
      <c r="I81" s="33"/>
      <c r="J81" s="34">
        <v>32900</v>
      </c>
      <c r="K81" s="33">
        <f t="shared" si="9"/>
        <v>32900</v>
      </c>
    </row>
    <row r="82" spans="3:21" ht="19.5" customHeight="1" x14ac:dyDescent="0.25">
      <c r="C82" s="271" t="s">
        <v>63</v>
      </c>
      <c r="D82" s="272"/>
      <c r="E82" s="208" t="s">
        <v>173</v>
      </c>
      <c r="F82" s="209" t="s">
        <v>193</v>
      </c>
      <c r="G82" s="210">
        <v>44547</v>
      </c>
      <c r="H82" s="209" t="s">
        <v>219</v>
      </c>
      <c r="I82" s="33"/>
      <c r="J82" s="34">
        <v>25500</v>
      </c>
      <c r="K82" s="33">
        <f t="shared" si="9"/>
        <v>25500</v>
      </c>
    </row>
    <row r="83" spans="3:21" ht="19.5" customHeight="1" x14ac:dyDescent="0.25">
      <c r="C83" s="271" t="s">
        <v>64</v>
      </c>
      <c r="D83" s="272"/>
      <c r="E83" s="208" t="s">
        <v>165</v>
      </c>
      <c r="F83" s="209" t="s">
        <v>194</v>
      </c>
      <c r="G83" s="210">
        <v>44270</v>
      </c>
      <c r="H83" s="209" t="s">
        <v>220</v>
      </c>
      <c r="I83" s="33"/>
      <c r="J83" s="34">
        <v>11250</v>
      </c>
      <c r="K83" s="33">
        <f t="shared" si="9"/>
        <v>11250</v>
      </c>
    </row>
    <row r="84" spans="3:21" ht="19.5" customHeight="1" x14ac:dyDescent="0.25">
      <c r="C84" s="271" t="s">
        <v>65</v>
      </c>
      <c r="D84" s="272"/>
      <c r="E84" s="208" t="s">
        <v>165</v>
      </c>
      <c r="F84" s="209" t="s">
        <v>195</v>
      </c>
      <c r="G84" s="210">
        <v>44270</v>
      </c>
      <c r="H84" s="209" t="s">
        <v>220</v>
      </c>
      <c r="I84" s="33"/>
      <c r="J84" s="34">
        <v>22500</v>
      </c>
      <c r="K84" s="33">
        <f t="shared" si="9"/>
        <v>22500</v>
      </c>
    </row>
    <row r="85" spans="3:21" ht="19.5" customHeight="1" x14ac:dyDescent="0.25">
      <c r="C85" s="271" t="s">
        <v>66</v>
      </c>
      <c r="D85" s="272"/>
      <c r="E85" s="208" t="s">
        <v>165</v>
      </c>
      <c r="F85" s="209" t="s">
        <v>196</v>
      </c>
      <c r="G85" s="210">
        <v>44362</v>
      </c>
      <c r="H85" s="209" t="s">
        <v>221</v>
      </c>
      <c r="I85" s="33"/>
      <c r="J85" s="34">
        <v>11250</v>
      </c>
      <c r="K85" s="33">
        <f t="shared" si="9"/>
        <v>11250</v>
      </c>
    </row>
    <row r="86" spans="3:21" ht="20.25" customHeight="1" x14ac:dyDescent="0.25">
      <c r="C86" s="271" t="s">
        <v>67</v>
      </c>
      <c r="D86" s="272"/>
      <c r="E86" s="208" t="s">
        <v>165</v>
      </c>
      <c r="F86" s="209" t="s">
        <v>197</v>
      </c>
      <c r="G86" s="210">
        <v>44391</v>
      </c>
      <c r="H86" s="209" t="s">
        <v>221</v>
      </c>
      <c r="I86" s="33"/>
      <c r="J86" s="34">
        <v>11250</v>
      </c>
      <c r="K86" s="33">
        <f t="shared" si="9"/>
        <v>11250</v>
      </c>
    </row>
    <row r="87" spans="3:21" ht="19.5" customHeight="1" x14ac:dyDescent="0.25">
      <c r="C87" s="271" t="s">
        <v>178</v>
      </c>
      <c r="D87" s="272"/>
      <c r="E87" s="208" t="s">
        <v>171</v>
      </c>
      <c r="F87" s="209" t="s">
        <v>198</v>
      </c>
      <c r="G87" s="210">
        <v>44439</v>
      </c>
      <c r="H87" s="209" t="s">
        <v>218</v>
      </c>
      <c r="I87" s="33"/>
      <c r="J87" s="34">
        <v>8605.68</v>
      </c>
      <c r="K87" s="33">
        <f t="shared" si="9"/>
        <v>8605.68</v>
      </c>
    </row>
    <row r="88" spans="3:21" ht="19.5" customHeight="1" x14ac:dyDescent="0.25">
      <c r="C88" s="271" t="s">
        <v>179</v>
      </c>
      <c r="D88" s="272"/>
      <c r="E88" s="208" t="s">
        <v>165</v>
      </c>
      <c r="F88" s="209" t="s">
        <v>199</v>
      </c>
      <c r="G88" s="210">
        <v>44489</v>
      </c>
      <c r="H88" s="209" t="s">
        <v>220</v>
      </c>
      <c r="I88" s="33"/>
      <c r="J88" s="34">
        <v>11250</v>
      </c>
      <c r="K88" s="33">
        <f t="shared" si="9"/>
        <v>11250</v>
      </c>
    </row>
    <row r="89" spans="3:21" ht="19.5" customHeight="1" x14ac:dyDescent="0.25">
      <c r="C89" s="271" t="s">
        <v>180</v>
      </c>
      <c r="D89" s="272"/>
      <c r="E89" s="208" t="s">
        <v>167</v>
      </c>
      <c r="F89" s="209" t="s">
        <v>200</v>
      </c>
      <c r="G89" s="210">
        <v>44511</v>
      </c>
      <c r="H89" s="209" t="s">
        <v>222</v>
      </c>
      <c r="I89" s="33"/>
      <c r="J89" s="34">
        <v>20466.78</v>
      </c>
      <c r="K89" s="33">
        <f t="shared" si="9"/>
        <v>20466.78</v>
      </c>
    </row>
    <row r="90" spans="3:21" ht="19.5" customHeight="1" x14ac:dyDescent="0.25">
      <c r="C90" s="271" t="s">
        <v>181</v>
      </c>
      <c r="D90" s="272"/>
      <c r="E90" s="208" t="s">
        <v>165</v>
      </c>
      <c r="F90" s="209" t="s">
        <v>201</v>
      </c>
      <c r="G90" s="210">
        <v>44516</v>
      </c>
      <c r="H90" s="209" t="s">
        <v>223</v>
      </c>
      <c r="I90" s="33"/>
      <c r="J90" s="34">
        <v>11246.84</v>
      </c>
      <c r="K90" s="33">
        <f t="shared" si="9"/>
        <v>11246.84</v>
      </c>
    </row>
    <row r="91" spans="3:21" ht="19.5" customHeight="1" x14ac:dyDescent="0.25">
      <c r="C91" s="271" t="s">
        <v>182</v>
      </c>
      <c r="D91" s="272"/>
      <c r="E91" s="208" t="s">
        <v>173</v>
      </c>
      <c r="F91" s="209" t="s">
        <v>202</v>
      </c>
      <c r="G91" s="210">
        <v>44516</v>
      </c>
      <c r="H91" s="209" t="s">
        <v>219</v>
      </c>
      <c r="I91" s="33"/>
      <c r="J91" s="34">
        <v>33100</v>
      </c>
      <c r="K91" s="33">
        <f t="shared" si="9"/>
        <v>33100</v>
      </c>
    </row>
    <row r="92" spans="3:21" ht="19.5" customHeight="1" x14ac:dyDescent="0.25">
      <c r="C92" s="271" t="s">
        <v>183</v>
      </c>
      <c r="D92" s="272"/>
      <c r="E92" s="208" t="s">
        <v>171</v>
      </c>
      <c r="F92" s="209" t="s">
        <v>203</v>
      </c>
      <c r="G92" s="210">
        <v>44518</v>
      </c>
      <c r="H92" s="209" t="s">
        <v>218</v>
      </c>
      <c r="I92" s="33"/>
      <c r="J92" s="34">
        <v>8605.68</v>
      </c>
      <c r="K92" s="33">
        <f t="shared" si="9"/>
        <v>8605.68</v>
      </c>
    </row>
    <row r="93" spans="3:21" ht="19.5" customHeight="1" x14ac:dyDescent="0.25">
      <c r="C93" s="271" t="s">
        <v>184</v>
      </c>
      <c r="D93" s="272"/>
      <c r="E93" s="208" t="s">
        <v>171</v>
      </c>
      <c r="F93" s="209" t="s">
        <v>204</v>
      </c>
      <c r="G93" s="210">
        <v>44518</v>
      </c>
      <c r="H93" s="209" t="s">
        <v>218</v>
      </c>
      <c r="I93" s="33"/>
      <c r="J93" s="34">
        <v>7831.04</v>
      </c>
      <c r="K93" s="33">
        <f t="shared" si="9"/>
        <v>7831.04</v>
      </c>
    </row>
    <row r="94" spans="3:21" ht="19.5" customHeight="1" x14ac:dyDescent="0.25">
      <c r="C94" s="271" t="s">
        <v>185</v>
      </c>
      <c r="D94" s="272"/>
      <c r="E94" s="43" t="s">
        <v>169</v>
      </c>
      <c r="F94" s="27" t="s">
        <v>205</v>
      </c>
      <c r="G94" s="28">
        <v>44516</v>
      </c>
      <c r="H94" s="27" t="s">
        <v>224</v>
      </c>
      <c r="I94" s="33"/>
      <c r="J94" s="34">
        <v>4224</v>
      </c>
      <c r="K94" s="33">
        <f t="shared" si="9"/>
        <v>4224</v>
      </c>
    </row>
    <row r="95" spans="3:21" ht="19.5" customHeight="1" thickBot="1" x14ac:dyDescent="0.3">
      <c r="C95" s="271" t="s">
        <v>186</v>
      </c>
      <c r="D95" s="272"/>
      <c r="E95" s="43" t="s">
        <v>165</v>
      </c>
      <c r="F95" s="27" t="s">
        <v>206</v>
      </c>
      <c r="G95" s="28">
        <v>44544</v>
      </c>
      <c r="H95" s="27" t="s">
        <v>220</v>
      </c>
      <c r="I95" s="33"/>
      <c r="J95" s="34">
        <v>11250</v>
      </c>
      <c r="K95" s="33">
        <f t="shared" si="9"/>
        <v>11250</v>
      </c>
    </row>
    <row r="96" spans="3:21" ht="19.5" hidden="1" customHeight="1" thickBot="1" x14ac:dyDescent="0.3">
      <c r="C96" s="271" t="s">
        <v>187</v>
      </c>
      <c r="D96" s="272"/>
      <c r="E96" s="43"/>
      <c r="F96" s="27"/>
      <c r="G96" s="28"/>
      <c r="H96" s="27"/>
      <c r="I96" s="38"/>
      <c r="J96" s="34"/>
      <c r="K96" s="33">
        <f t="shared" si="9"/>
        <v>0</v>
      </c>
      <c r="U96" s="16" t="str">
        <f t="shared" ref="U96" si="10">CONCATENATE(H96, " ",M96,)</f>
        <v xml:space="preserve"> </v>
      </c>
    </row>
    <row r="97" spans="3:11" ht="19.5" customHeight="1" thickBot="1" x14ac:dyDescent="0.3">
      <c r="C97" s="211" t="s">
        <v>38</v>
      </c>
      <c r="D97" s="300"/>
      <c r="E97" s="300"/>
      <c r="F97" s="300"/>
      <c r="G97" s="300"/>
      <c r="H97" s="301"/>
      <c r="I97" s="168">
        <f>SUM(I77:I96)</f>
        <v>0</v>
      </c>
      <c r="J97" s="168">
        <f>SUM(J77:J96)</f>
        <v>456666.02999999997</v>
      </c>
      <c r="K97" s="168">
        <f>SUM(K77:K96)</f>
        <v>456666.02999999997</v>
      </c>
    </row>
    <row r="98" spans="3:11" ht="19.5" customHeight="1" thickBot="1" x14ac:dyDescent="0.3">
      <c r="C98" s="275"/>
      <c r="D98" s="276"/>
      <c r="E98" s="276"/>
      <c r="F98" s="276"/>
      <c r="G98" s="276"/>
      <c r="H98" s="276"/>
      <c r="I98" s="276"/>
      <c r="J98" s="277"/>
      <c r="K98" s="277"/>
    </row>
    <row r="99" spans="3:11" ht="19.5" hidden="1" customHeight="1" thickBot="1" x14ac:dyDescent="0.3">
      <c r="C99" s="278" t="s">
        <v>30</v>
      </c>
      <c r="D99" s="279"/>
      <c r="E99" s="279"/>
      <c r="F99" s="279"/>
      <c r="G99" s="279"/>
      <c r="H99" s="279"/>
      <c r="I99" s="279"/>
      <c r="J99" s="279"/>
      <c r="K99" s="280"/>
    </row>
    <row r="100" spans="3:11" ht="19.5" hidden="1" customHeight="1" x14ac:dyDescent="0.25">
      <c r="C100" s="271" t="s">
        <v>69</v>
      </c>
      <c r="D100" s="272"/>
      <c r="E100" s="43"/>
      <c r="F100" s="27"/>
      <c r="G100" s="28"/>
      <c r="H100" s="27"/>
      <c r="I100" s="35"/>
      <c r="J100" s="33"/>
      <c r="K100" s="33">
        <f>I100+J100</f>
        <v>0</v>
      </c>
    </row>
    <row r="101" spans="3:11" ht="19.5" hidden="1" customHeight="1" x14ac:dyDescent="0.25">
      <c r="C101" s="271" t="s">
        <v>70</v>
      </c>
      <c r="D101" s="272"/>
      <c r="E101" s="43"/>
      <c r="F101" s="27"/>
      <c r="G101" s="28"/>
      <c r="H101" s="27"/>
      <c r="I101" s="33"/>
      <c r="J101" s="34"/>
      <c r="K101" s="33">
        <f t="shared" ref="K101:K109" si="11">I101+J101</f>
        <v>0</v>
      </c>
    </row>
    <row r="102" spans="3:11" ht="19.5" hidden="1" customHeight="1" x14ac:dyDescent="0.25">
      <c r="C102" s="271" t="s">
        <v>71</v>
      </c>
      <c r="D102" s="272"/>
      <c r="E102" s="43"/>
      <c r="F102" s="27"/>
      <c r="G102" s="28"/>
      <c r="H102" s="27"/>
      <c r="I102" s="33"/>
      <c r="J102" s="34"/>
      <c r="K102" s="33">
        <f t="shared" si="11"/>
        <v>0</v>
      </c>
    </row>
    <row r="103" spans="3:11" ht="19.5" hidden="1" customHeight="1" x14ac:dyDescent="0.25">
      <c r="C103" s="271" t="s">
        <v>72</v>
      </c>
      <c r="D103" s="272"/>
      <c r="E103" s="43"/>
      <c r="F103" s="27"/>
      <c r="G103" s="28"/>
      <c r="H103" s="27"/>
      <c r="I103" s="33"/>
      <c r="J103" s="34"/>
      <c r="K103" s="33">
        <f t="shared" si="11"/>
        <v>0</v>
      </c>
    </row>
    <row r="104" spans="3:11" ht="19.5" hidden="1" customHeight="1" x14ac:dyDescent="0.25">
      <c r="C104" s="271" t="s">
        <v>73</v>
      </c>
      <c r="D104" s="272"/>
      <c r="E104" s="43"/>
      <c r="F104" s="27"/>
      <c r="G104" s="28"/>
      <c r="H104" s="27"/>
      <c r="I104" s="33"/>
      <c r="J104" s="34"/>
      <c r="K104" s="33">
        <f t="shared" si="11"/>
        <v>0</v>
      </c>
    </row>
    <row r="105" spans="3:11" ht="19.5" hidden="1" customHeight="1" x14ac:dyDescent="0.25">
      <c r="C105" s="271" t="s">
        <v>74</v>
      </c>
      <c r="D105" s="272"/>
      <c r="E105" s="43"/>
      <c r="F105" s="27"/>
      <c r="G105" s="28"/>
      <c r="H105" s="27"/>
      <c r="I105" s="33"/>
      <c r="J105" s="34"/>
      <c r="K105" s="33">
        <f t="shared" si="11"/>
        <v>0</v>
      </c>
    </row>
    <row r="106" spans="3:11" ht="19.5" hidden="1" customHeight="1" x14ac:dyDescent="0.25">
      <c r="C106" s="271" t="s">
        <v>75</v>
      </c>
      <c r="D106" s="272"/>
      <c r="E106" s="43"/>
      <c r="F106" s="27"/>
      <c r="G106" s="28"/>
      <c r="H106" s="27"/>
      <c r="I106" s="33"/>
      <c r="J106" s="34"/>
      <c r="K106" s="33">
        <f t="shared" si="11"/>
        <v>0</v>
      </c>
    </row>
    <row r="107" spans="3:11" ht="19.5" hidden="1" customHeight="1" x14ac:dyDescent="0.25">
      <c r="C107" s="271" t="s">
        <v>76</v>
      </c>
      <c r="D107" s="272"/>
      <c r="E107" s="43"/>
      <c r="F107" s="27"/>
      <c r="G107" s="28"/>
      <c r="H107" s="27"/>
      <c r="I107" s="33"/>
      <c r="J107" s="34"/>
      <c r="K107" s="33">
        <f t="shared" si="11"/>
        <v>0</v>
      </c>
    </row>
    <row r="108" spans="3:11" ht="19.5" hidden="1" customHeight="1" x14ac:dyDescent="0.25">
      <c r="C108" s="271" t="s">
        <v>77</v>
      </c>
      <c r="D108" s="272"/>
      <c r="E108" s="43"/>
      <c r="F108" s="27"/>
      <c r="G108" s="28"/>
      <c r="H108" s="27"/>
      <c r="I108" s="33"/>
      <c r="J108" s="34"/>
      <c r="K108" s="33">
        <f t="shared" si="11"/>
        <v>0</v>
      </c>
    </row>
    <row r="109" spans="3:11" ht="19.5" hidden="1" customHeight="1" thickBot="1" x14ac:dyDescent="0.3">
      <c r="C109" s="271" t="s">
        <v>78</v>
      </c>
      <c r="D109" s="272"/>
      <c r="E109" s="43"/>
      <c r="F109" s="27"/>
      <c r="G109" s="28"/>
      <c r="H109" s="27"/>
      <c r="I109" s="38"/>
      <c r="J109" s="34"/>
      <c r="K109" s="33">
        <f t="shared" si="11"/>
        <v>0</v>
      </c>
    </row>
    <row r="110" spans="3:11" ht="19.5" hidden="1" customHeight="1" thickBot="1" x14ac:dyDescent="0.3">
      <c r="C110" s="211" t="s">
        <v>38</v>
      </c>
      <c r="D110" s="300"/>
      <c r="E110" s="300"/>
      <c r="F110" s="300"/>
      <c r="G110" s="300"/>
      <c r="H110" s="301"/>
      <c r="I110" s="168">
        <f>SUM(I100:I109)</f>
        <v>0</v>
      </c>
      <c r="J110" s="168">
        <f>SUM(J100:J109)</f>
        <v>0</v>
      </c>
      <c r="K110" s="168">
        <f>SUM(K100:K109)</f>
        <v>0</v>
      </c>
    </row>
    <row r="111" spans="3:11" ht="19.5" hidden="1" customHeight="1" thickBot="1" x14ac:dyDescent="0.3">
      <c r="C111" s="275"/>
      <c r="D111" s="276"/>
      <c r="E111" s="276"/>
      <c r="F111" s="276"/>
      <c r="G111" s="276"/>
      <c r="H111" s="276"/>
      <c r="I111" s="276"/>
      <c r="J111" s="277"/>
      <c r="K111" s="277"/>
    </row>
    <row r="112" spans="3:11" s="21" customFormat="1" ht="19.5" customHeight="1" thickBot="1" x14ac:dyDescent="0.3">
      <c r="C112" s="302" t="s">
        <v>31</v>
      </c>
      <c r="D112" s="303"/>
      <c r="E112" s="304"/>
      <c r="F112" s="304"/>
      <c r="G112" s="304"/>
      <c r="H112" s="305"/>
      <c r="I112" s="40">
        <f>I19+I32+I48+I61+I74+I97+I110</f>
        <v>0</v>
      </c>
      <c r="J112" s="40">
        <f>J19+J32+J48+J61+J74+J97+J110</f>
        <v>967989.03</v>
      </c>
      <c r="K112" s="40">
        <f>K19+K32+K48+K61+K74+K97+K110</f>
        <v>967989.03</v>
      </c>
    </row>
    <row r="113" spans="2:12" ht="6" customHeight="1" x14ac:dyDescent="0.25">
      <c r="B113" s="22"/>
      <c r="C113" s="22"/>
      <c r="D113" s="22"/>
      <c r="E113" s="22"/>
      <c r="F113" s="22"/>
      <c r="G113" s="22"/>
      <c r="H113" s="22"/>
      <c r="I113" s="22"/>
      <c r="J113" s="22"/>
      <c r="K113" s="22"/>
      <c r="L113" s="22"/>
    </row>
    <row r="114" spans="2:12" x14ac:dyDescent="0.25">
      <c r="C114" s="16"/>
      <c r="D114" s="16"/>
      <c r="E114" s="16"/>
      <c r="F114" s="16"/>
      <c r="G114" s="19"/>
      <c r="H114" s="16"/>
      <c r="I114" s="16"/>
      <c r="J114" s="16"/>
      <c r="K114" s="16"/>
    </row>
    <row r="115" spans="2:12" s="16" customFormat="1" hidden="1" x14ac:dyDescent="0.25">
      <c r="G115" s="19"/>
    </row>
    <row r="116" spans="2:12" s="16" customFormat="1" ht="15.5" hidden="1" x14ac:dyDescent="0.25">
      <c r="C116" s="99" t="s">
        <v>142</v>
      </c>
      <c r="G116" s="19"/>
    </row>
    <row r="117" spans="2:12" s="16" customFormat="1" ht="14.5" hidden="1" thickBot="1" x14ac:dyDescent="0.3">
      <c r="G117" s="19"/>
    </row>
    <row r="118" spans="2:12" s="21" customFormat="1" ht="32.25" hidden="1" customHeight="1" thickBot="1" x14ac:dyDescent="0.3">
      <c r="C118" s="273" t="s">
        <v>111</v>
      </c>
      <c r="D118" s="273"/>
      <c r="E118" s="273" t="s">
        <v>45</v>
      </c>
      <c r="F118" s="273" t="s">
        <v>46</v>
      </c>
      <c r="G118" s="273" t="s">
        <v>41</v>
      </c>
      <c r="H118" s="243" t="s">
        <v>32</v>
      </c>
      <c r="I118" s="282"/>
      <c r="J118" s="282"/>
      <c r="K118" s="306" t="s">
        <v>43</v>
      </c>
    </row>
    <row r="119" spans="2:12" s="21" customFormat="1" ht="30.75" hidden="1" customHeight="1" thickBot="1" x14ac:dyDescent="0.3">
      <c r="C119" s="274"/>
      <c r="D119" s="274"/>
      <c r="E119" s="274"/>
      <c r="F119" s="274"/>
      <c r="G119" s="274"/>
      <c r="H119" s="244"/>
      <c r="I119" s="283"/>
      <c r="J119" s="283"/>
      <c r="K119" s="307"/>
    </row>
    <row r="120" spans="2:12" s="20" customFormat="1" ht="17.25" hidden="1" customHeight="1" thickBot="1" x14ac:dyDescent="0.3">
      <c r="C120" s="275"/>
      <c r="D120" s="276"/>
      <c r="E120" s="276"/>
      <c r="F120" s="276"/>
      <c r="G120" s="276"/>
      <c r="H120" s="276"/>
      <c r="I120" s="276"/>
      <c r="J120" s="277"/>
      <c r="K120" s="277"/>
    </row>
    <row r="121" spans="2:12" s="20" customFormat="1" ht="17.25" hidden="1" customHeight="1" thickBot="1" x14ac:dyDescent="0.3">
      <c r="C121" s="278" t="s">
        <v>105</v>
      </c>
      <c r="D121" s="279"/>
      <c r="E121" s="279"/>
      <c r="F121" s="279"/>
      <c r="G121" s="279"/>
      <c r="H121" s="279"/>
      <c r="I121" s="279"/>
      <c r="J121" s="279"/>
      <c r="K121" s="280"/>
    </row>
    <row r="122" spans="2:12" ht="19.5" hidden="1" customHeight="1" x14ac:dyDescent="0.25">
      <c r="C122" s="294" t="s">
        <v>95</v>
      </c>
      <c r="D122" s="295"/>
      <c r="E122" s="25"/>
      <c r="F122" s="9"/>
      <c r="G122" s="8"/>
      <c r="H122" s="288"/>
      <c r="I122" s="289"/>
      <c r="J122" s="290"/>
      <c r="K122" s="33">
        <f>I122+J122</f>
        <v>0</v>
      </c>
    </row>
    <row r="123" spans="2:12" ht="19.5" hidden="1" customHeight="1" x14ac:dyDescent="0.25">
      <c r="C123" s="286" t="s">
        <v>96</v>
      </c>
      <c r="D123" s="287"/>
      <c r="E123" s="23"/>
      <c r="F123" s="9"/>
      <c r="G123" s="8"/>
      <c r="H123" s="284"/>
      <c r="I123" s="214"/>
      <c r="J123" s="285"/>
      <c r="K123" s="33">
        <f t="shared" ref="K123:K131" si="12">I123+J123</f>
        <v>0</v>
      </c>
    </row>
    <row r="124" spans="2:12" ht="19.5" hidden="1" customHeight="1" x14ac:dyDescent="0.25">
      <c r="C124" s="286" t="s">
        <v>97</v>
      </c>
      <c r="D124" s="287"/>
      <c r="E124" s="23"/>
      <c r="F124" s="9"/>
      <c r="G124" s="8"/>
      <c r="H124" s="284"/>
      <c r="I124" s="214"/>
      <c r="J124" s="285"/>
      <c r="K124" s="33">
        <f t="shared" si="12"/>
        <v>0</v>
      </c>
    </row>
    <row r="125" spans="2:12" ht="19.5" hidden="1" customHeight="1" x14ac:dyDescent="0.25">
      <c r="C125" s="286" t="s">
        <v>98</v>
      </c>
      <c r="D125" s="287"/>
      <c r="E125" s="23"/>
      <c r="F125" s="9"/>
      <c r="G125" s="8"/>
      <c r="H125" s="284"/>
      <c r="I125" s="214"/>
      <c r="J125" s="285"/>
      <c r="K125" s="33">
        <f t="shared" si="12"/>
        <v>0</v>
      </c>
    </row>
    <row r="126" spans="2:12" ht="19.5" hidden="1" customHeight="1" x14ac:dyDescent="0.25">
      <c r="C126" s="286" t="s">
        <v>99</v>
      </c>
      <c r="D126" s="287"/>
      <c r="E126" s="23"/>
      <c r="F126" s="9"/>
      <c r="G126" s="8"/>
      <c r="H126" s="284"/>
      <c r="I126" s="214"/>
      <c r="J126" s="285"/>
      <c r="K126" s="33">
        <f t="shared" si="12"/>
        <v>0</v>
      </c>
    </row>
    <row r="127" spans="2:12" ht="19.5" hidden="1" customHeight="1" x14ac:dyDescent="0.25">
      <c r="C127" s="286" t="s">
        <v>100</v>
      </c>
      <c r="D127" s="287"/>
      <c r="E127" s="23"/>
      <c r="F127" s="9"/>
      <c r="G127" s="8"/>
      <c r="H127" s="284"/>
      <c r="I127" s="214"/>
      <c r="J127" s="285"/>
      <c r="K127" s="33">
        <f t="shared" si="12"/>
        <v>0</v>
      </c>
    </row>
    <row r="128" spans="2:12" ht="19.5" hidden="1" customHeight="1" x14ac:dyDescent="0.25">
      <c r="C128" s="286" t="s">
        <v>101</v>
      </c>
      <c r="D128" s="287"/>
      <c r="E128" s="23"/>
      <c r="F128" s="9"/>
      <c r="G128" s="8"/>
      <c r="H128" s="284"/>
      <c r="I128" s="214"/>
      <c r="J128" s="285"/>
      <c r="K128" s="33">
        <f t="shared" si="12"/>
        <v>0</v>
      </c>
    </row>
    <row r="129" spans="3:11" ht="19.5" hidden="1" customHeight="1" x14ac:dyDescent="0.25">
      <c r="C129" s="286" t="s">
        <v>102</v>
      </c>
      <c r="D129" s="287"/>
      <c r="E129" s="23"/>
      <c r="F129" s="9"/>
      <c r="G129" s="8"/>
      <c r="H129" s="284"/>
      <c r="I129" s="214"/>
      <c r="J129" s="285"/>
      <c r="K129" s="33">
        <f t="shared" si="12"/>
        <v>0</v>
      </c>
    </row>
    <row r="130" spans="3:11" ht="19.5" hidden="1" customHeight="1" x14ac:dyDescent="0.25">
      <c r="C130" s="286" t="s">
        <v>103</v>
      </c>
      <c r="D130" s="287"/>
      <c r="E130" s="23"/>
      <c r="F130" s="9"/>
      <c r="G130" s="8"/>
      <c r="H130" s="284"/>
      <c r="I130" s="214"/>
      <c r="J130" s="285"/>
      <c r="K130" s="33">
        <f t="shared" si="12"/>
        <v>0</v>
      </c>
    </row>
    <row r="131" spans="3:11" ht="19.5" hidden="1" customHeight="1" thickBot="1" x14ac:dyDescent="0.3">
      <c r="C131" s="286" t="s">
        <v>104</v>
      </c>
      <c r="D131" s="287"/>
      <c r="E131" s="24"/>
      <c r="F131" s="9"/>
      <c r="G131" s="8"/>
      <c r="H131" s="291"/>
      <c r="I131" s="292"/>
      <c r="J131" s="293"/>
      <c r="K131" s="33">
        <f t="shared" si="12"/>
        <v>0</v>
      </c>
    </row>
    <row r="132" spans="3:11" s="21" customFormat="1" ht="19.5" hidden="1" customHeight="1" thickBot="1" x14ac:dyDescent="0.3">
      <c r="C132" s="211" t="s">
        <v>2</v>
      </c>
      <c r="D132" s="281"/>
      <c r="E132" s="281"/>
      <c r="F132" s="281"/>
      <c r="G132" s="281"/>
      <c r="H132" s="281"/>
      <c r="I132" s="281"/>
      <c r="J132" s="212"/>
      <c r="K132" s="168">
        <f>SUM(K122:K131)</f>
        <v>0</v>
      </c>
    </row>
    <row r="133" spans="3:11" s="16" customFormat="1" hidden="1" x14ac:dyDescent="0.25">
      <c r="G133" s="19"/>
    </row>
    <row r="134" spans="3:11" s="16" customFormat="1" hidden="1" x14ac:dyDescent="0.25">
      <c r="G134" s="19"/>
    </row>
    <row r="135" spans="3:11" s="16" customFormat="1" hidden="1" x14ac:dyDescent="0.25">
      <c r="G135" s="19"/>
    </row>
    <row r="136" spans="3:11" s="16" customFormat="1" hidden="1" x14ac:dyDescent="0.25">
      <c r="G136" s="19"/>
    </row>
    <row r="137" spans="3:11" s="16" customFormat="1" hidden="1" x14ac:dyDescent="0.25">
      <c r="G137" s="19"/>
    </row>
    <row r="138" spans="3:11" s="16" customFormat="1" hidden="1" x14ac:dyDescent="0.25">
      <c r="G138" s="19"/>
    </row>
    <row r="139" spans="3:11" s="16" customFormat="1" hidden="1" x14ac:dyDescent="0.25">
      <c r="G139" s="19"/>
    </row>
    <row r="140" spans="3:11" s="16" customFormat="1" hidden="1" x14ac:dyDescent="0.25">
      <c r="G140" s="19"/>
    </row>
    <row r="141" spans="3:11" s="16" customFormat="1" x14ac:dyDescent="0.25">
      <c r="G141" s="19"/>
    </row>
    <row r="142" spans="3:11" s="16" customFormat="1" x14ac:dyDescent="0.25">
      <c r="G142" s="19"/>
    </row>
    <row r="143" spans="3:11" s="16" customFormat="1" x14ac:dyDescent="0.25">
      <c r="G143" s="19"/>
    </row>
    <row r="144" spans="3:11"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row r="149" spans="7:7" s="16" customFormat="1" x14ac:dyDescent="0.25">
      <c r="G149" s="19"/>
    </row>
    <row r="150" spans="7:7" s="16" customFormat="1" x14ac:dyDescent="0.25">
      <c r="G150" s="19"/>
    </row>
    <row r="151" spans="7:7" s="16" customFormat="1" x14ac:dyDescent="0.25">
      <c r="G151" s="19"/>
    </row>
    <row r="152" spans="7:7" s="16" customFormat="1" x14ac:dyDescent="0.25">
      <c r="G152" s="19"/>
    </row>
    <row r="153" spans="7:7" s="16" customFormat="1" x14ac:dyDescent="0.25">
      <c r="G153" s="19"/>
    </row>
    <row r="154" spans="7:7" s="16" customFormat="1" x14ac:dyDescent="0.25">
      <c r="G154" s="19"/>
    </row>
    <row r="155" spans="7:7" s="16" customFormat="1" x14ac:dyDescent="0.25">
      <c r="G155" s="19"/>
    </row>
    <row r="156" spans="7:7" s="16" customFormat="1" x14ac:dyDescent="0.25">
      <c r="G156" s="19"/>
    </row>
    <row r="157" spans="7:7" s="16" customFormat="1" x14ac:dyDescent="0.25">
      <c r="G157" s="19"/>
    </row>
    <row r="158" spans="7:7" s="16" customFormat="1" x14ac:dyDescent="0.25">
      <c r="G158" s="19"/>
    </row>
  </sheetData>
  <sheetProtection insertRows="0"/>
  <protectedRanges>
    <protectedRange password="CC9E" sqref="A19:IV21 A32:IV37 A48:IV50 A61:IV63 A118:IV121 A132:IV132 A97:IV99 A110:B117 C110:C114 C116:C117 A133:C291 A74:IV76 E113:AO65542 D110:IV291 A1:IV8 A1:A65542 E4:AO111" name="Rango1"/>
  </protectedRanges>
  <mergeCells count="146">
    <mergeCell ref="I5:K5"/>
    <mergeCell ref="C26:D26"/>
    <mergeCell ref="C9:D9"/>
    <mergeCell ref="C10:D10"/>
    <mergeCell ref="C18:D18"/>
    <mergeCell ref="C17:D17"/>
    <mergeCell ref="C21:K21"/>
    <mergeCell ref="C20:K20"/>
    <mergeCell ref="F1:H1"/>
    <mergeCell ref="C16:D16"/>
    <mergeCell ref="C15:D15"/>
    <mergeCell ref="C22:D22"/>
    <mergeCell ref="C11:D11"/>
    <mergeCell ref="C12:D12"/>
    <mergeCell ref="C8:K8"/>
    <mergeCell ref="F5:F6"/>
    <mergeCell ref="G5:G6"/>
    <mergeCell ref="H5:H6"/>
    <mergeCell ref="E5:E6"/>
    <mergeCell ref="C5:D6"/>
    <mergeCell ref="C7:K7"/>
    <mergeCell ref="C13:D13"/>
    <mergeCell ref="C14:D14"/>
    <mergeCell ref="I34:K34"/>
    <mergeCell ref="H34:H35"/>
    <mergeCell ref="C27:D27"/>
    <mergeCell ref="C24:D24"/>
    <mergeCell ref="C56:D56"/>
    <mergeCell ref="C61:H61"/>
    <mergeCell ref="C62:K62"/>
    <mergeCell ref="C41:D41"/>
    <mergeCell ref="C36:K36"/>
    <mergeCell ref="C37:K37"/>
    <mergeCell ref="C38:D38"/>
    <mergeCell ref="C39:D39"/>
    <mergeCell ref="C40:D40"/>
    <mergeCell ref="C33:K33"/>
    <mergeCell ref="C34:D35"/>
    <mergeCell ref="E34:E35"/>
    <mergeCell ref="F34:F35"/>
    <mergeCell ref="G34:G35"/>
    <mergeCell ref="C29:D29"/>
    <mergeCell ref="C25:D25"/>
    <mergeCell ref="C32:H32"/>
    <mergeCell ref="C19:H19"/>
    <mergeCell ref="C23:D23"/>
    <mergeCell ref="C28:D28"/>
    <mergeCell ref="C96:D96"/>
    <mergeCell ref="C67:D67"/>
    <mergeCell ref="C59:D59"/>
    <mergeCell ref="C60:D60"/>
    <mergeCell ref="C89:D89"/>
    <mergeCell ref="C90:D90"/>
    <mergeCell ref="C73:D73"/>
    <mergeCell ref="C74:H74"/>
    <mergeCell ref="C31:D31"/>
    <mergeCell ref="C30:D30"/>
    <mergeCell ref="C42:D42"/>
    <mergeCell ref="C43:D43"/>
    <mergeCell ref="C44:D44"/>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63:K63"/>
    <mergeCell ref="H129:J129"/>
    <mergeCell ref="C70:D70"/>
    <mergeCell ref="C71:D71"/>
    <mergeCell ref="C72:D72"/>
    <mergeCell ref="C57:D57"/>
    <mergeCell ref="C58:D58"/>
    <mergeCell ref="G118:G119"/>
    <mergeCell ref="C109:D109"/>
    <mergeCell ref="C110:H110"/>
    <mergeCell ref="C111:K111"/>
    <mergeCell ref="C112:H112"/>
    <mergeCell ref="K118:K119"/>
    <mergeCell ref="C93:D93"/>
    <mergeCell ref="C94:D94"/>
    <mergeCell ref="C103:D103"/>
    <mergeCell ref="C97:H97"/>
    <mergeCell ref="C95:D95"/>
    <mergeCell ref="C98:K98"/>
    <mergeCell ref="C99:K99"/>
    <mergeCell ref="C100:D100"/>
    <mergeCell ref="C118:D119"/>
    <mergeCell ref="C84:D84"/>
    <mergeCell ref="C85:D85"/>
    <mergeCell ref="C92:D92"/>
    <mergeCell ref="C132:J132"/>
    <mergeCell ref="H118:J119"/>
    <mergeCell ref="H130:J130"/>
    <mergeCell ref="C127:D127"/>
    <mergeCell ref="C128:D128"/>
    <mergeCell ref="C130:D130"/>
    <mergeCell ref="C131:D131"/>
    <mergeCell ref="C120:K120"/>
    <mergeCell ref="C121:K121"/>
    <mergeCell ref="H122:J122"/>
    <mergeCell ref="H123:J123"/>
    <mergeCell ref="H124:J124"/>
    <mergeCell ref="H125:J125"/>
    <mergeCell ref="C129:D129"/>
    <mergeCell ref="H128:J128"/>
    <mergeCell ref="C126:D126"/>
    <mergeCell ref="C125:D125"/>
    <mergeCell ref="H126:J126"/>
    <mergeCell ref="C123:D123"/>
    <mergeCell ref="F118:F119"/>
    <mergeCell ref="H127:J127"/>
    <mergeCell ref="H131:J131"/>
    <mergeCell ref="C122:D122"/>
    <mergeCell ref="C124:D124"/>
    <mergeCell ref="C105:D105"/>
    <mergeCell ref="C108:D108"/>
    <mergeCell ref="E118:E119"/>
    <mergeCell ref="C75:K75"/>
    <mergeCell ref="C76:K76"/>
    <mergeCell ref="C77:D77"/>
    <mergeCell ref="C78:D78"/>
    <mergeCell ref="C86:D86"/>
    <mergeCell ref="C87:D87"/>
    <mergeCell ref="C91:D91"/>
    <mergeCell ref="C106:D106"/>
    <mergeCell ref="C107:D107"/>
    <mergeCell ref="C101:D101"/>
    <mergeCell ref="C102:D102"/>
    <mergeCell ref="C104:D104"/>
    <mergeCell ref="C79:D79"/>
    <mergeCell ref="C80:D80"/>
    <mergeCell ref="C81:D81"/>
    <mergeCell ref="C82:D82"/>
    <mergeCell ref="C83:D83"/>
    <mergeCell ref="C88:D88"/>
  </mergeCells>
  <phoneticPr fontId="2" type="noConversion"/>
  <conditionalFormatting sqref="I9:K19 G22:H31 I22:K32 G38:H47 I38:K48 G51:H60 I51:K61 I64:K74 G77:H96 G100:H109 I100:K110 I112:K112 I77:K97 G9:H18">
    <cfRule type="cellIs" dxfId="1" priority="2" stopIfTrue="1" operator="equal">
      <formula>"X"</formula>
    </cfRule>
  </conditionalFormatting>
  <conditionalFormatting sqref="G122:H131 K122:K132">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Eric MORCILLO</cp:lastModifiedBy>
  <cp:lastPrinted>2023-03-29T15:00:05Z</cp:lastPrinted>
  <dcterms:created xsi:type="dcterms:W3CDTF">2004-10-21T15:52:29Z</dcterms:created>
  <dcterms:modified xsi:type="dcterms:W3CDTF">2025-12-10T13:49:27Z</dcterms:modified>
</cp:coreProperties>
</file>