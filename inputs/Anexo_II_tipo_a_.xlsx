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W:\7E_Fiscal (edición)\Clientes Barcelona\FESTINA\05 DEDUCCIONES\2024\03. CERTIFICADORA\01. MEMORIA\APPTECNO23\04. Envío 4\"/>
    </mc:Choice>
  </mc:AlternateContent>
  <bookViews>
    <workbookView xWindow="0" yWindow="0" windowWidth="24210" windowHeight="12110" tabRatio="835"/>
  </bookViews>
  <sheets>
    <sheet name="Datos solicitud" sheetId="45" r:id="rId1"/>
    <sheet name="Instrucciones" sheetId="46" state="hidden" r:id="rId2"/>
    <sheet name="Personal" sheetId="27" r:id="rId3"/>
    <sheet name="C.Externas (OPIS)" sheetId="28" state="hidden" r:id="rId4"/>
    <sheet name="C.Externas (Otros)" sheetId="34" r:id="rId5"/>
    <sheet name="El._inmovilizado (AMORTIZACIÓN)" sheetId="30" state="hidden" r:id="rId6"/>
    <sheet name="El._inmovilizado (INVERSIÓN)" sheetId="43" state="hidden" r:id="rId7"/>
    <sheet name="Fungibles" sheetId="31" state="hidden" r:id="rId8"/>
    <sheet name="Otros Gastos" sheetId="32" r:id="rId9"/>
    <sheet name="I+D" sheetId="41" state="hidden" r:id="rId10"/>
    <sheet name="iT" sheetId="42" r:id="rId11"/>
    <sheet name="TOTAL" sheetId="40" r:id="rId12"/>
    <sheet name="DESVIACIONES" sheetId="39" r:id="rId13"/>
    <sheet name="DOC JUSTIFICATIVOS" sheetId="38" r:id="rId14"/>
  </sheets>
  <definedNames>
    <definedName name="_xlnm._FilterDatabase" localSheetId="0" hidden="1">'Datos solicitud'!#REF!</definedName>
    <definedName name="_xlnm._FilterDatabase" localSheetId="2" hidden="1">Personal!$B$13:$J$53</definedName>
    <definedName name="_xlnm.Print_Area" localSheetId="12">DESVIACIONES!$A$1:$J$18</definedName>
    <definedName name="_xlnm.Print_Area" localSheetId="9">'I+D'!$A$1:$I$17</definedName>
    <definedName name="_xlnm.Print_Area" localSheetId="10">iT!$A$1:$I$17</definedName>
    <definedName name="_xlnm.Print_Area" localSheetId="11">TOTAL!$A$1:$I$18</definedName>
    <definedName name="_xlnm.Print_Titles" localSheetId="3">'C.Externas (OPIS)'!$1:$16</definedName>
    <definedName name="_xlnm.Print_Titles" localSheetId="4">'C.Externas (Otros)'!$1:$14</definedName>
    <definedName name="_xlnm.Print_Titles" localSheetId="0">'Datos solicitud'!$1:$19</definedName>
    <definedName name="_xlnm.Print_Titles" localSheetId="12">DESVIACIONES!$1:$8</definedName>
    <definedName name="_xlnm.Print_Titles" localSheetId="13">'DOC JUSTIFICATIVOS'!$1:$4</definedName>
    <definedName name="_xlnm.Print_Titles" localSheetId="5">'El._inmovilizado (AMORTIZACIÓN)'!$1:$11</definedName>
    <definedName name="_xlnm.Print_Titles" localSheetId="6">'El._inmovilizado (INVERSIÓN)'!$1:$10</definedName>
    <definedName name="_xlnm.Print_Titles" localSheetId="7">Fungibles!$1:$10</definedName>
    <definedName name="_xlnm.Print_Titles" localSheetId="8">'Otros Gastos'!$1:$10</definedName>
    <definedName name="_xlnm.Print_Titles" localSheetId="2">Personal!$1:$14</definedName>
  </definedNames>
  <calcPr calcId="162913"/>
</workbook>
</file>

<file path=xl/calcChain.xml><?xml version="1.0" encoding="utf-8"?>
<calcChain xmlns="http://schemas.openxmlformats.org/spreadsheetml/2006/main">
  <c r="J15" i="39" l="1"/>
  <c r="H10" i="39"/>
  <c r="H11" i="39"/>
  <c r="H12" i="39"/>
  <c r="H13" i="39"/>
  <c r="H14" i="39"/>
  <c r="H9" i="39"/>
  <c r="K96" i="38" l="1"/>
  <c r="K28" i="38" l="1"/>
  <c r="K29" i="38"/>
  <c r="K30" i="38"/>
  <c r="K31" i="38"/>
  <c r="K32" i="38"/>
  <c r="K33" i="38"/>
  <c r="K34" i="38"/>
  <c r="K35" i="38"/>
  <c r="K36" i="38"/>
  <c r="K37" i="38"/>
  <c r="H10" i="38"/>
  <c r="H11" i="38"/>
  <c r="H12" i="38"/>
  <c r="H13" i="38"/>
  <c r="H14" i="38"/>
  <c r="H15" i="38"/>
  <c r="H16" i="38"/>
  <c r="H17" i="38"/>
  <c r="H18" i="38"/>
  <c r="H19" i="38"/>
  <c r="H20" i="38"/>
  <c r="H21" i="38"/>
  <c r="H22" i="38"/>
  <c r="H24" i="38"/>
  <c r="H25" i="38"/>
  <c r="H26" i="38"/>
  <c r="H27" i="38"/>
  <c r="H28" i="38"/>
  <c r="H29" i="38"/>
  <c r="H30" i="38"/>
  <c r="H31" i="38"/>
  <c r="H32" i="38"/>
  <c r="H33" i="38"/>
  <c r="H34" i="38"/>
  <c r="H35" i="38"/>
  <c r="H36" i="38"/>
  <c r="H37" i="38"/>
  <c r="H9" i="38"/>
  <c r="E10" i="38"/>
  <c r="E11" i="38"/>
  <c r="E12" i="38"/>
  <c r="E13" i="38"/>
  <c r="E14" i="38"/>
  <c r="E15" i="38"/>
  <c r="E16" i="38"/>
  <c r="E17" i="38"/>
  <c r="E18" i="38"/>
  <c r="E19" i="38"/>
  <c r="E20" i="38"/>
  <c r="E21" i="38"/>
  <c r="E22" i="38"/>
  <c r="E23" i="38"/>
  <c r="E24" i="38"/>
  <c r="E25" i="38"/>
  <c r="E26" i="38"/>
  <c r="E27" i="38"/>
  <c r="E28" i="38"/>
  <c r="E29" i="38"/>
  <c r="E30" i="38"/>
  <c r="E31" i="38"/>
  <c r="E32" i="38"/>
  <c r="E33" i="38"/>
  <c r="E34" i="38"/>
  <c r="E35" i="38"/>
  <c r="E36" i="38"/>
  <c r="E37" i="38"/>
  <c r="E9" i="38"/>
  <c r="M19" i="34"/>
  <c r="T45" i="27"/>
  <c r="T46" i="27"/>
  <c r="T47" i="27"/>
  <c r="T48" i="27"/>
  <c r="T49" i="27"/>
  <c r="T17" i="27"/>
  <c r="T18" i="27"/>
  <c r="T19" i="27"/>
  <c r="T20" i="27"/>
  <c r="T21" i="27"/>
  <c r="T22" i="27"/>
  <c r="T23" i="27"/>
  <c r="T24" i="27"/>
  <c r="T25" i="27"/>
  <c r="T26" i="27"/>
  <c r="T27" i="27"/>
  <c r="T28" i="27"/>
  <c r="T29" i="27"/>
  <c r="T30" i="27"/>
  <c r="T31" i="27"/>
  <c r="T32" i="27"/>
  <c r="T33" i="27"/>
  <c r="T34" i="27"/>
  <c r="T35" i="27"/>
  <c r="K19" i="38" l="1"/>
  <c r="K20" i="38"/>
  <c r="K21" i="38"/>
  <c r="K22" i="38"/>
  <c r="K23" i="38"/>
  <c r="K24" i="38"/>
  <c r="K25" i="38"/>
  <c r="K26" i="38"/>
  <c r="K27" i="38"/>
  <c r="K107" i="38"/>
  <c r="B19" i="34"/>
  <c r="B20" i="34"/>
  <c r="B21" i="34"/>
  <c r="B22" i="34" s="1"/>
  <c r="B23" i="34" s="1"/>
  <c r="B24" i="34" s="1"/>
  <c r="B25" i="34" s="1"/>
  <c r="B26" i="34" s="1"/>
  <c r="B27" i="34" s="1"/>
  <c r="B28" i="34" s="1"/>
  <c r="B29" i="34" s="1"/>
  <c r="B30" i="34" s="1"/>
  <c r="B31" i="34" s="1"/>
  <c r="B32" i="34" s="1"/>
  <c r="B33" i="34" s="1"/>
  <c r="B34" i="34" s="1"/>
  <c r="B35" i="34" s="1"/>
  <c r="B36" i="34" s="1"/>
  <c r="O49" i="27" l="1"/>
  <c r="O48" i="27"/>
  <c r="O47" i="27"/>
  <c r="O46" i="27"/>
  <c r="O45" i="27"/>
  <c r="J45" i="27"/>
  <c r="J46" i="27"/>
  <c r="J47" i="27"/>
  <c r="J48" i="27"/>
  <c r="J49" i="27"/>
  <c r="O19" i="27"/>
  <c r="O20" i="27"/>
  <c r="O21" i="27"/>
  <c r="O22" i="27"/>
  <c r="O23" i="27"/>
  <c r="O24" i="27"/>
  <c r="O25" i="27"/>
  <c r="O26" i="27"/>
  <c r="O27" i="27"/>
  <c r="O28" i="27"/>
  <c r="O29" i="27"/>
  <c r="O30" i="27"/>
  <c r="O31" i="27"/>
  <c r="O32" i="27"/>
  <c r="O33" i="27"/>
  <c r="O34" i="27"/>
  <c r="O35" i="27"/>
  <c r="J19" i="27"/>
  <c r="J20" i="27"/>
  <c r="J21" i="27"/>
  <c r="J22" i="27"/>
  <c r="J23" i="27"/>
  <c r="J24" i="27"/>
  <c r="J25" i="27"/>
  <c r="J26" i="27"/>
  <c r="J27" i="27"/>
  <c r="J28" i="27"/>
  <c r="J29" i="27"/>
  <c r="J30" i="27"/>
  <c r="J31" i="27"/>
  <c r="J32" i="27"/>
  <c r="J33" i="27"/>
  <c r="J34" i="27"/>
  <c r="J35" i="27"/>
  <c r="F14" i="39" l="1"/>
  <c r="I9" i="39"/>
  <c r="O17" i="27" l="1"/>
  <c r="J17" i="27"/>
  <c r="K152" i="38" l="1"/>
  <c r="K153" i="38"/>
  <c r="K154" i="38"/>
  <c r="K155" i="38"/>
  <c r="K156" i="38"/>
  <c r="K157" i="38"/>
  <c r="K158" i="38"/>
  <c r="K159" i="38"/>
  <c r="K97" i="38"/>
  <c r="K98" i="38"/>
  <c r="K99" i="38"/>
  <c r="K100" i="38"/>
  <c r="K101" i="38"/>
  <c r="K102" i="38"/>
  <c r="K103" i="38"/>
  <c r="K104" i="38"/>
  <c r="K105" i="38"/>
  <c r="K106" i="38"/>
  <c r="K108" i="38"/>
  <c r="K109" i="38"/>
  <c r="K110" i="38"/>
  <c r="K111" i="38"/>
  <c r="K112" i="38"/>
  <c r="K113" i="38"/>
  <c r="K114" i="38"/>
  <c r="K115" i="38"/>
  <c r="K116" i="38"/>
  <c r="K117" i="38"/>
  <c r="K118" i="38"/>
  <c r="K119" i="38"/>
  <c r="K120" i="38"/>
  <c r="K121" i="38"/>
  <c r="K122" i="38"/>
  <c r="K123" i="38"/>
  <c r="K124" i="38"/>
  <c r="K125" i="38"/>
  <c r="K126" i="38"/>
  <c r="K127" i="38"/>
  <c r="K128" i="38"/>
  <c r="K129" i="38"/>
  <c r="K130" i="38"/>
  <c r="K131" i="38"/>
  <c r="K132" i="38"/>
  <c r="K133" i="38"/>
  <c r="K134" i="38"/>
  <c r="K135" i="38"/>
  <c r="K136" i="38"/>
  <c r="K137" i="38"/>
  <c r="K138" i="38"/>
  <c r="K139" i="38"/>
  <c r="K140" i="38"/>
  <c r="K141" i="38"/>
  <c r="K142" i="38"/>
  <c r="K143" i="38"/>
  <c r="K144" i="38"/>
  <c r="K145" i="38"/>
  <c r="K146" i="38"/>
  <c r="K147" i="38"/>
  <c r="K148" i="38"/>
  <c r="K149" i="38"/>
  <c r="K150" i="38"/>
  <c r="K151" i="38"/>
  <c r="K18" i="38" l="1"/>
  <c r="K194" i="38" l="1"/>
  <c r="K193" i="38"/>
  <c r="K192" i="38"/>
  <c r="K191" i="38"/>
  <c r="K190" i="38"/>
  <c r="K189" i="38"/>
  <c r="K188" i="38"/>
  <c r="K187" i="38"/>
  <c r="K186" i="38"/>
  <c r="K185" i="38"/>
  <c r="J173" i="38"/>
  <c r="I173" i="38"/>
  <c r="K172" i="38"/>
  <c r="K171" i="38"/>
  <c r="K170" i="38"/>
  <c r="K169" i="38"/>
  <c r="K168" i="38"/>
  <c r="K167" i="38"/>
  <c r="K166" i="38"/>
  <c r="K165" i="38"/>
  <c r="K164" i="38"/>
  <c r="K163" i="38"/>
  <c r="J160" i="38"/>
  <c r="I160" i="38"/>
  <c r="J93" i="38"/>
  <c r="I93" i="38"/>
  <c r="K92" i="38"/>
  <c r="K91" i="38"/>
  <c r="K90" i="38"/>
  <c r="K89" i="38"/>
  <c r="K88" i="38"/>
  <c r="K87" i="38"/>
  <c r="K86" i="38"/>
  <c r="K85" i="38"/>
  <c r="K84" i="38"/>
  <c r="K83" i="38"/>
  <c r="J80" i="38"/>
  <c r="I80" i="38"/>
  <c r="K79" i="38"/>
  <c r="K78" i="38"/>
  <c r="K77" i="38"/>
  <c r="K76" i="38"/>
  <c r="K75" i="38"/>
  <c r="K74" i="38"/>
  <c r="K73" i="38"/>
  <c r="K72" i="38"/>
  <c r="K71" i="38"/>
  <c r="C71" i="38"/>
  <c r="C72" i="38" s="1"/>
  <c r="C73" i="38" s="1"/>
  <c r="C74" i="38" s="1"/>
  <c r="C75" i="38" s="1"/>
  <c r="C76" i="38" s="1"/>
  <c r="C77" i="38" s="1"/>
  <c r="C78" i="38" s="1"/>
  <c r="C79" i="38" s="1"/>
  <c r="K70" i="38"/>
  <c r="J67" i="38"/>
  <c r="I67" i="38"/>
  <c r="K66" i="38"/>
  <c r="K65" i="38"/>
  <c r="K64" i="38"/>
  <c r="K63" i="38"/>
  <c r="K62" i="38"/>
  <c r="K61" i="38"/>
  <c r="K60" i="38"/>
  <c r="K59" i="38"/>
  <c r="K58" i="38"/>
  <c r="C58" i="38"/>
  <c r="C59" i="38" s="1"/>
  <c r="C60" i="38" s="1"/>
  <c r="C61" i="38" s="1"/>
  <c r="C62" i="38" s="1"/>
  <c r="C63" i="38" s="1"/>
  <c r="C64" i="38" s="1"/>
  <c r="C65" i="38" s="1"/>
  <c r="C66" i="38" s="1"/>
  <c r="K57" i="38"/>
  <c r="I51" i="38"/>
  <c r="K50" i="38"/>
  <c r="K49" i="38"/>
  <c r="K48" i="38"/>
  <c r="K47" i="38"/>
  <c r="K46" i="38"/>
  <c r="K45" i="38"/>
  <c r="K44" i="38"/>
  <c r="K43" i="38"/>
  <c r="K42" i="38"/>
  <c r="C42" i="38"/>
  <c r="C43" i="38" s="1"/>
  <c r="C44" i="38" s="1"/>
  <c r="C45" i="38" s="1"/>
  <c r="C46" i="38" s="1"/>
  <c r="C47" i="38" s="1"/>
  <c r="C48" i="38" s="1"/>
  <c r="C49" i="38" s="1"/>
  <c r="C50" i="38" s="1"/>
  <c r="K41" i="38"/>
  <c r="J38" i="38"/>
  <c r="I38" i="38"/>
  <c r="K17" i="38"/>
  <c r="K16" i="38"/>
  <c r="K15" i="38"/>
  <c r="K14" i="38"/>
  <c r="K13" i="38"/>
  <c r="K12" i="38"/>
  <c r="K11" i="38"/>
  <c r="K10" i="38"/>
  <c r="C10" i="38"/>
  <c r="C11" i="38" s="1"/>
  <c r="C12" i="38" s="1"/>
  <c r="C13" i="38" s="1"/>
  <c r="C14" i="38" s="1"/>
  <c r="C15" i="38" s="1"/>
  <c r="C16" i="38" s="1"/>
  <c r="C17" i="38" s="1"/>
  <c r="C18" i="38" s="1"/>
  <c r="C19" i="38" s="1"/>
  <c r="C20" i="38" s="1"/>
  <c r="C21" i="38" s="1"/>
  <c r="C22" i="38" s="1"/>
  <c r="C23" i="38" s="1"/>
  <c r="C24" i="38" s="1"/>
  <c r="C25" i="38" s="1"/>
  <c r="C26" i="38" s="1"/>
  <c r="C27" i="38" s="1"/>
  <c r="C28" i="38" s="1"/>
  <c r="C29" i="38" s="1"/>
  <c r="C30" i="38" s="1"/>
  <c r="C31" i="38" s="1"/>
  <c r="C32" i="38" s="1"/>
  <c r="C33" i="38" s="1"/>
  <c r="C34" i="38" s="1"/>
  <c r="C35" i="38" s="1"/>
  <c r="C36" i="38" s="1"/>
  <c r="C37" i="38" s="1"/>
  <c r="K9" i="38"/>
  <c r="G16" i="39"/>
  <c r="E16" i="39"/>
  <c r="D16" i="39"/>
  <c r="F15" i="39"/>
  <c r="I14" i="39"/>
  <c r="J14" i="39" s="1"/>
  <c r="I13" i="39"/>
  <c r="F13" i="39"/>
  <c r="J13" i="39" s="1"/>
  <c r="I12" i="39"/>
  <c r="F12" i="39"/>
  <c r="J12" i="39" s="1"/>
  <c r="I11" i="39"/>
  <c r="F11" i="39"/>
  <c r="J11" i="39" s="1"/>
  <c r="I10" i="39"/>
  <c r="F10" i="39"/>
  <c r="J10" i="39" s="1"/>
  <c r="F9" i="39"/>
  <c r="J9" i="39" s="1"/>
  <c r="I19" i="40"/>
  <c r="H19" i="40"/>
  <c r="G19" i="40"/>
  <c r="F19" i="40"/>
  <c r="E19" i="40"/>
  <c r="D19" i="40"/>
  <c r="I14" i="40"/>
  <c r="H14" i="40"/>
  <c r="G14" i="40"/>
  <c r="F14" i="40"/>
  <c r="E14" i="40"/>
  <c r="D14" i="40"/>
  <c r="I13" i="40"/>
  <c r="H13" i="40"/>
  <c r="G13" i="40"/>
  <c r="F13" i="40"/>
  <c r="E13" i="40"/>
  <c r="D13" i="40"/>
  <c r="I12" i="40"/>
  <c r="H12" i="40"/>
  <c r="G12" i="40"/>
  <c r="F12" i="40"/>
  <c r="E12" i="40"/>
  <c r="D12" i="40"/>
  <c r="I15" i="42"/>
  <c r="H15" i="42"/>
  <c r="I13" i="42"/>
  <c r="H13" i="42"/>
  <c r="G13" i="42"/>
  <c r="F13" i="42"/>
  <c r="E13" i="42"/>
  <c r="D13" i="42"/>
  <c r="I12" i="42"/>
  <c r="H12" i="42"/>
  <c r="G12" i="42"/>
  <c r="F12" i="42"/>
  <c r="E12" i="42"/>
  <c r="D12" i="42"/>
  <c r="I11" i="42"/>
  <c r="H11" i="42"/>
  <c r="G11" i="42"/>
  <c r="F11" i="42"/>
  <c r="E11" i="42"/>
  <c r="D11" i="42"/>
  <c r="I18" i="41"/>
  <c r="H18" i="41"/>
  <c r="G18" i="41"/>
  <c r="F18" i="41"/>
  <c r="E18" i="41"/>
  <c r="D18" i="41"/>
  <c r="I15" i="41"/>
  <c r="I16" i="40" s="1"/>
  <c r="H15" i="41"/>
  <c r="H16" i="40" s="1"/>
  <c r="E15" i="41"/>
  <c r="H14" i="41"/>
  <c r="I13" i="41"/>
  <c r="H13" i="41"/>
  <c r="G13" i="41"/>
  <c r="F13" i="41"/>
  <c r="E13" i="41"/>
  <c r="D13" i="41"/>
  <c r="I12" i="41"/>
  <c r="H12" i="41"/>
  <c r="G12" i="41"/>
  <c r="F12" i="41"/>
  <c r="E12" i="41"/>
  <c r="D12" i="41"/>
  <c r="I11" i="41"/>
  <c r="H11" i="41"/>
  <c r="G11" i="41"/>
  <c r="F11" i="41"/>
  <c r="E11" i="41"/>
  <c r="D11" i="41"/>
  <c r="U31" i="32"/>
  <c r="T31" i="32"/>
  <c r="S31" i="32"/>
  <c r="R31" i="32"/>
  <c r="Q31" i="32"/>
  <c r="P31" i="32"/>
  <c r="N31" i="32"/>
  <c r="G15" i="42" s="1"/>
  <c r="M31" i="32"/>
  <c r="G15" i="41" s="1"/>
  <c r="G16" i="40" s="1"/>
  <c r="K31" i="32"/>
  <c r="F15" i="42" s="1"/>
  <c r="J31" i="32"/>
  <c r="L31" i="32" s="1"/>
  <c r="H31" i="32"/>
  <c r="I31" i="32" s="1"/>
  <c r="G31" i="32"/>
  <c r="E31" i="32"/>
  <c r="D15" i="42" s="1"/>
  <c r="D31" i="32"/>
  <c r="D15" i="41" s="1"/>
  <c r="U30" i="32"/>
  <c r="R30" i="32"/>
  <c r="O30" i="32"/>
  <c r="L30" i="32"/>
  <c r="I30" i="32"/>
  <c r="F30" i="32"/>
  <c r="U29" i="32"/>
  <c r="R29" i="32"/>
  <c r="O29" i="32"/>
  <c r="L29" i="32"/>
  <c r="I29" i="32"/>
  <c r="F29" i="32"/>
  <c r="U28" i="32"/>
  <c r="R28" i="32"/>
  <c r="O28" i="32"/>
  <c r="L28" i="32"/>
  <c r="I28" i="32"/>
  <c r="F28" i="32"/>
  <c r="U27" i="32"/>
  <c r="R27" i="32"/>
  <c r="O27" i="32"/>
  <c r="L27" i="32"/>
  <c r="I27" i="32"/>
  <c r="F27" i="32"/>
  <c r="U26" i="32"/>
  <c r="R26" i="32"/>
  <c r="O26" i="32"/>
  <c r="L26" i="32"/>
  <c r="I26" i="32"/>
  <c r="F26" i="32"/>
  <c r="U25" i="32"/>
  <c r="R25" i="32"/>
  <c r="O25" i="32"/>
  <c r="L25" i="32"/>
  <c r="I25" i="32"/>
  <c r="F25" i="32"/>
  <c r="U24" i="32"/>
  <c r="R24" i="32"/>
  <c r="O24" i="32"/>
  <c r="L24" i="32"/>
  <c r="I24" i="32"/>
  <c r="F24" i="32"/>
  <c r="U23" i="32"/>
  <c r="R23" i="32"/>
  <c r="O23" i="32"/>
  <c r="L23" i="32"/>
  <c r="I23" i="32"/>
  <c r="F23" i="32"/>
  <c r="U22" i="32"/>
  <c r="R22" i="32"/>
  <c r="O22" i="32"/>
  <c r="L22" i="32"/>
  <c r="I22" i="32"/>
  <c r="F22" i="32"/>
  <c r="U21" i="32"/>
  <c r="R21" i="32"/>
  <c r="O21" i="32"/>
  <c r="L21" i="32"/>
  <c r="I21" i="32"/>
  <c r="F21" i="32"/>
  <c r="U20" i="32"/>
  <c r="R20" i="32"/>
  <c r="O20" i="32"/>
  <c r="L20" i="32"/>
  <c r="I20" i="32"/>
  <c r="F20" i="32"/>
  <c r="U19" i="32"/>
  <c r="R19" i="32"/>
  <c r="O19" i="32"/>
  <c r="L19" i="32"/>
  <c r="I19" i="32"/>
  <c r="F19" i="32"/>
  <c r="U18" i="32"/>
  <c r="R18" i="32"/>
  <c r="O18" i="32"/>
  <c r="L18" i="32"/>
  <c r="I18" i="32"/>
  <c r="F18" i="32"/>
  <c r="U17" i="32"/>
  <c r="R17" i="32"/>
  <c r="O17" i="32"/>
  <c r="L17" i="32"/>
  <c r="I17" i="32"/>
  <c r="F17" i="32"/>
  <c r="U16" i="32"/>
  <c r="R16" i="32"/>
  <c r="O16" i="32"/>
  <c r="L16" i="32"/>
  <c r="I16" i="32"/>
  <c r="F16" i="32"/>
  <c r="U15" i="32"/>
  <c r="R15" i="32"/>
  <c r="O15" i="32"/>
  <c r="L15" i="32"/>
  <c r="I15" i="32"/>
  <c r="F15" i="32"/>
  <c r="B15" i="32"/>
  <c r="B16" i="32" s="1"/>
  <c r="B17" i="32" s="1"/>
  <c r="B18" i="32" s="1"/>
  <c r="B19" i="32" s="1"/>
  <c r="B20" i="32" s="1"/>
  <c r="B21" i="32" s="1"/>
  <c r="B22" i="32" s="1"/>
  <c r="B23" i="32" s="1"/>
  <c r="B24" i="32" s="1"/>
  <c r="B25" i="32" s="1"/>
  <c r="B26" i="32" s="1"/>
  <c r="B27" i="32" s="1"/>
  <c r="B28" i="32" s="1"/>
  <c r="B29" i="32" s="1"/>
  <c r="B30" i="32" s="1"/>
  <c r="U14" i="32"/>
  <c r="R14" i="32"/>
  <c r="O14" i="32"/>
  <c r="L14" i="32"/>
  <c r="I14" i="32"/>
  <c r="F14" i="32"/>
  <c r="B14" i="32"/>
  <c r="U13" i="32"/>
  <c r="R13" i="32"/>
  <c r="O13" i="32"/>
  <c r="L13" i="32"/>
  <c r="I13" i="32"/>
  <c r="F13" i="32"/>
  <c r="B13" i="32"/>
  <c r="U12" i="32"/>
  <c r="R12" i="32"/>
  <c r="O12" i="32"/>
  <c r="L12" i="32"/>
  <c r="I12" i="32"/>
  <c r="F12" i="32"/>
  <c r="B12" i="32"/>
  <c r="U11" i="32"/>
  <c r="R11" i="32"/>
  <c r="O11" i="32"/>
  <c r="L11" i="32"/>
  <c r="I11" i="32"/>
  <c r="F11" i="32"/>
  <c r="U31" i="31"/>
  <c r="T31" i="31"/>
  <c r="S31" i="31"/>
  <c r="R31" i="31"/>
  <c r="Q31" i="31"/>
  <c r="P31" i="31"/>
  <c r="O31" i="31"/>
  <c r="N31" i="31"/>
  <c r="M31" i="31"/>
  <c r="L31" i="31"/>
  <c r="K31" i="31"/>
  <c r="J31" i="31"/>
  <c r="I31" i="31"/>
  <c r="H31" i="31"/>
  <c r="G31" i="31"/>
  <c r="F31" i="31"/>
  <c r="E31" i="31"/>
  <c r="D31" i="31"/>
  <c r="U30" i="31"/>
  <c r="R30" i="31"/>
  <c r="O30" i="31"/>
  <c r="L30" i="31"/>
  <c r="I30" i="31"/>
  <c r="F30" i="31"/>
  <c r="B30" i="31"/>
  <c r="U29" i="31"/>
  <c r="R29" i="31"/>
  <c r="O29" i="31"/>
  <c r="L29" i="31"/>
  <c r="I29" i="31"/>
  <c r="F29" i="31"/>
  <c r="B29" i="31"/>
  <c r="U28" i="31"/>
  <c r="R28" i="31"/>
  <c r="O28" i="31"/>
  <c r="L28" i="31"/>
  <c r="I28" i="31"/>
  <c r="F28" i="31"/>
  <c r="B28" i="31"/>
  <c r="U27" i="31"/>
  <c r="R27" i="31"/>
  <c r="O27" i="31"/>
  <c r="L27" i="31"/>
  <c r="I27" i="31"/>
  <c r="F27" i="31"/>
  <c r="B27" i="31"/>
  <c r="U26" i="31"/>
  <c r="R26" i="31"/>
  <c r="O26" i="31"/>
  <c r="L26" i="31"/>
  <c r="I26" i="31"/>
  <c r="F26" i="31"/>
  <c r="B26" i="31"/>
  <c r="U25" i="31"/>
  <c r="R25" i="31"/>
  <c r="O25" i="31"/>
  <c r="L25" i="31"/>
  <c r="I25" i="31"/>
  <c r="F25" i="31"/>
  <c r="B25" i="31"/>
  <c r="U24" i="31"/>
  <c r="R24" i="31"/>
  <c r="O24" i="31"/>
  <c r="L24" i="31"/>
  <c r="I24" i="31"/>
  <c r="F24" i="31"/>
  <c r="B24" i="31"/>
  <c r="U23" i="31"/>
  <c r="R23" i="31"/>
  <c r="O23" i="31"/>
  <c r="L23" i="31"/>
  <c r="I23" i="31"/>
  <c r="F23" i="31"/>
  <c r="B23" i="31"/>
  <c r="U22" i="31"/>
  <c r="R22" i="31"/>
  <c r="O22" i="31"/>
  <c r="L22" i="31"/>
  <c r="I22" i="31"/>
  <c r="F22" i="31"/>
  <c r="B22" i="31"/>
  <c r="U21" i="31"/>
  <c r="R21" i="31"/>
  <c r="O21" i="31"/>
  <c r="L21" i="31"/>
  <c r="I21" i="31"/>
  <c r="F21" i="31"/>
  <c r="B21" i="31"/>
  <c r="U20" i="31"/>
  <c r="R20" i="31"/>
  <c r="O20" i="31"/>
  <c r="L20" i="31"/>
  <c r="I20" i="31"/>
  <c r="F20" i="31"/>
  <c r="B20" i="31"/>
  <c r="U19" i="31"/>
  <c r="R19" i="31"/>
  <c r="O19" i="31"/>
  <c r="L19" i="31"/>
  <c r="I19" i="31"/>
  <c r="F19" i="31"/>
  <c r="B19" i="31"/>
  <c r="U18" i="31"/>
  <c r="R18" i="31"/>
  <c r="O18" i="31"/>
  <c r="L18" i="31"/>
  <c r="I18" i="31"/>
  <c r="F18" i="31"/>
  <c r="B18" i="31"/>
  <c r="U17" i="31"/>
  <c r="R17" i="31"/>
  <c r="O17" i="31"/>
  <c r="L17" i="31"/>
  <c r="I17" i="31"/>
  <c r="F17" i="31"/>
  <c r="B17" i="31"/>
  <c r="U16" i="31"/>
  <c r="R16" i="31"/>
  <c r="O16" i="31"/>
  <c r="L16" i="31"/>
  <c r="I16" i="31"/>
  <c r="F16" i="31"/>
  <c r="B16" i="31"/>
  <c r="U15" i="31"/>
  <c r="R15" i="31"/>
  <c r="O15" i="31"/>
  <c r="L15" i="31"/>
  <c r="I15" i="31"/>
  <c r="F15" i="31"/>
  <c r="B15" i="31"/>
  <c r="U14" i="31"/>
  <c r="R14" i="31"/>
  <c r="O14" i="31"/>
  <c r="L14" i="31"/>
  <c r="I14" i="31"/>
  <c r="F14" i="31"/>
  <c r="B14" i="31"/>
  <c r="U13" i="31"/>
  <c r="R13" i="31"/>
  <c r="O13" i="31"/>
  <c r="L13" i="31"/>
  <c r="I13" i="31"/>
  <c r="F13" i="31"/>
  <c r="B13" i="31"/>
  <c r="U12" i="31"/>
  <c r="R12" i="31"/>
  <c r="O12" i="31"/>
  <c r="L12" i="31"/>
  <c r="I12" i="31"/>
  <c r="F12" i="31"/>
  <c r="B12" i="31"/>
  <c r="U11" i="31"/>
  <c r="R11" i="31"/>
  <c r="O11" i="31"/>
  <c r="L11" i="31"/>
  <c r="I11" i="31"/>
  <c r="F11" i="31"/>
  <c r="U31" i="43"/>
  <c r="S31" i="43"/>
  <c r="R31" i="43"/>
  <c r="P31" i="43"/>
  <c r="O31" i="43"/>
  <c r="M31" i="43"/>
  <c r="L31" i="43"/>
  <c r="J31" i="43"/>
  <c r="I31" i="43"/>
  <c r="G31" i="43"/>
  <c r="F31" i="43"/>
  <c r="D31" i="43"/>
  <c r="U30" i="43"/>
  <c r="R30" i="43"/>
  <c r="O30" i="43"/>
  <c r="L30" i="43"/>
  <c r="I30" i="43"/>
  <c r="F30" i="43"/>
  <c r="B30" i="43"/>
  <c r="U29" i="43"/>
  <c r="R29" i="43"/>
  <c r="O29" i="43"/>
  <c r="L29" i="43"/>
  <c r="I29" i="43"/>
  <c r="F29" i="43"/>
  <c r="B29" i="43"/>
  <c r="U28" i="43"/>
  <c r="R28" i="43"/>
  <c r="O28" i="43"/>
  <c r="L28" i="43"/>
  <c r="I28" i="43"/>
  <c r="F28" i="43"/>
  <c r="B28" i="43"/>
  <c r="U27" i="43"/>
  <c r="R27" i="43"/>
  <c r="O27" i="43"/>
  <c r="L27" i="43"/>
  <c r="I27" i="43"/>
  <c r="F27" i="43"/>
  <c r="B27" i="43"/>
  <c r="U26" i="43"/>
  <c r="R26" i="43"/>
  <c r="O26" i="43"/>
  <c r="L26" i="43"/>
  <c r="I26" i="43"/>
  <c r="F26" i="43"/>
  <c r="B26" i="43"/>
  <c r="U25" i="43"/>
  <c r="R25" i="43"/>
  <c r="O25" i="43"/>
  <c r="L25" i="43"/>
  <c r="I25" i="43"/>
  <c r="F25" i="43"/>
  <c r="B25" i="43"/>
  <c r="U24" i="43"/>
  <c r="R24" i="43"/>
  <c r="O24" i="43"/>
  <c r="L24" i="43"/>
  <c r="I24" i="43"/>
  <c r="F24" i="43"/>
  <c r="B24" i="43"/>
  <c r="U23" i="43"/>
  <c r="R23" i="43"/>
  <c r="O23" i="43"/>
  <c r="L23" i="43"/>
  <c r="I23" i="43"/>
  <c r="F23" i="43"/>
  <c r="B23" i="43"/>
  <c r="U22" i="43"/>
  <c r="R22" i="43"/>
  <c r="O22" i="43"/>
  <c r="L22" i="43"/>
  <c r="I22" i="43"/>
  <c r="F22" i="43"/>
  <c r="B22" i="43"/>
  <c r="U21" i="43"/>
  <c r="R21" i="43"/>
  <c r="O21" i="43"/>
  <c r="L21" i="43"/>
  <c r="I21" i="43"/>
  <c r="F21" i="43"/>
  <c r="B21" i="43"/>
  <c r="U20" i="43"/>
  <c r="R20" i="43"/>
  <c r="O20" i="43"/>
  <c r="L20" i="43"/>
  <c r="I20" i="43"/>
  <c r="F20" i="43"/>
  <c r="B20" i="43"/>
  <c r="U19" i="43"/>
  <c r="R19" i="43"/>
  <c r="O19" i="43"/>
  <c r="L19" i="43"/>
  <c r="I19" i="43"/>
  <c r="F19" i="43"/>
  <c r="B19" i="43"/>
  <c r="U18" i="43"/>
  <c r="R18" i="43"/>
  <c r="O18" i="43"/>
  <c r="L18" i="43"/>
  <c r="I18" i="43"/>
  <c r="F18" i="43"/>
  <c r="B18" i="43"/>
  <c r="U17" i="43"/>
  <c r="R17" i="43"/>
  <c r="O17" i="43"/>
  <c r="L17" i="43"/>
  <c r="I17" i="43"/>
  <c r="F17" i="43"/>
  <c r="B17" i="43"/>
  <c r="U16" i="43"/>
  <c r="R16" i="43"/>
  <c r="O16" i="43"/>
  <c r="L16" i="43"/>
  <c r="I16" i="43"/>
  <c r="F16" i="43"/>
  <c r="B16" i="43"/>
  <c r="U15" i="43"/>
  <c r="R15" i="43"/>
  <c r="O15" i="43"/>
  <c r="L15" i="43"/>
  <c r="I15" i="43"/>
  <c r="F15" i="43"/>
  <c r="B15" i="43"/>
  <c r="U14" i="43"/>
  <c r="R14" i="43"/>
  <c r="O14" i="43"/>
  <c r="L14" i="43"/>
  <c r="I14" i="43"/>
  <c r="F14" i="43"/>
  <c r="B14" i="43"/>
  <c r="U13" i="43"/>
  <c r="R13" i="43"/>
  <c r="O13" i="43"/>
  <c r="L13" i="43"/>
  <c r="I13" i="43"/>
  <c r="F13" i="43"/>
  <c r="B13" i="43"/>
  <c r="U12" i="43"/>
  <c r="R12" i="43"/>
  <c r="O12" i="43"/>
  <c r="L12" i="43"/>
  <c r="I12" i="43"/>
  <c r="F12" i="43"/>
  <c r="B12" i="43"/>
  <c r="U11" i="43"/>
  <c r="R11" i="43"/>
  <c r="O11" i="43"/>
  <c r="L11" i="43"/>
  <c r="I11" i="43"/>
  <c r="F11" i="43"/>
  <c r="U32" i="30"/>
  <c r="T32" i="30"/>
  <c r="S32" i="30"/>
  <c r="R32" i="30"/>
  <c r="Q32" i="30"/>
  <c r="P32" i="30"/>
  <c r="O32" i="30"/>
  <c r="N32" i="30"/>
  <c r="M32" i="30"/>
  <c r="L32" i="30"/>
  <c r="K32" i="30"/>
  <c r="J32" i="30"/>
  <c r="I32" i="30"/>
  <c r="H32" i="30"/>
  <c r="G32" i="30"/>
  <c r="F32" i="30"/>
  <c r="E32" i="30"/>
  <c r="D32" i="30"/>
  <c r="U31" i="30"/>
  <c r="R31" i="30"/>
  <c r="O31" i="30"/>
  <c r="L31" i="30"/>
  <c r="I31" i="30"/>
  <c r="F31" i="30"/>
  <c r="B31" i="30"/>
  <c r="U30" i="30"/>
  <c r="R30" i="30"/>
  <c r="O30" i="30"/>
  <c r="L30" i="30"/>
  <c r="I30" i="30"/>
  <c r="F30" i="30"/>
  <c r="B30" i="30"/>
  <c r="U29" i="30"/>
  <c r="R29" i="30"/>
  <c r="O29" i="30"/>
  <c r="L29" i="30"/>
  <c r="I29" i="30"/>
  <c r="F29" i="30"/>
  <c r="B29" i="30"/>
  <c r="U28" i="30"/>
  <c r="R28" i="30"/>
  <c r="O28" i="30"/>
  <c r="L28" i="30"/>
  <c r="I28" i="30"/>
  <c r="F28" i="30"/>
  <c r="B28" i="30"/>
  <c r="U27" i="30"/>
  <c r="R27" i="30"/>
  <c r="O27" i="30"/>
  <c r="L27" i="30"/>
  <c r="I27" i="30"/>
  <c r="F27" i="30"/>
  <c r="B27" i="30"/>
  <c r="U26" i="30"/>
  <c r="R26" i="30"/>
  <c r="O26" i="30"/>
  <c r="L26" i="30"/>
  <c r="I26" i="30"/>
  <c r="F26" i="30"/>
  <c r="B26" i="30"/>
  <c r="U25" i="30"/>
  <c r="R25" i="30"/>
  <c r="O25" i="30"/>
  <c r="L25" i="30"/>
  <c r="I25" i="30"/>
  <c r="F25" i="30"/>
  <c r="B25" i="30"/>
  <c r="U24" i="30"/>
  <c r="R24" i="30"/>
  <c r="O24" i="30"/>
  <c r="L24" i="30"/>
  <c r="I24" i="30"/>
  <c r="F24" i="30"/>
  <c r="B24" i="30"/>
  <c r="U23" i="30"/>
  <c r="R23" i="30"/>
  <c r="O23" i="30"/>
  <c r="L23" i="30"/>
  <c r="I23" i="30"/>
  <c r="F23" i="30"/>
  <c r="B23" i="30"/>
  <c r="U22" i="30"/>
  <c r="R22" i="30"/>
  <c r="O22" i="30"/>
  <c r="L22" i="30"/>
  <c r="I22" i="30"/>
  <c r="F22" i="30"/>
  <c r="B22" i="30"/>
  <c r="U21" i="30"/>
  <c r="R21" i="30"/>
  <c r="O21" i="30"/>
  <c r="L21" i="30"/>
  <c r="I21" i="30"/>
  <c r="F21" i="30"/>
  <c r="B21" i="30"/>
  <c r="U20" i="30"/>
  <c r="R20" i="30"/>
  <c r="O20" i="30"/>
  <c r="L20" i="30"/>
  <c r="I20" i="30"/>
  <c r="F20" i="30"/>
  <c r="B20" i="30"/>
  <c r="U19" i="30"/>
  <c r="R19" i="30"/>
  <c r="O19" i="30"/>
  <c r="L19" i="30"/>
  <c r="I19" i="30"/>
  <c r="F19" i="30"/>
  <c r="B19" i="30"/>
  <c r="U18" i="30"/>
  <c r="R18" i="30"/>
  <c r="O18" i="30"/>
  <c r="L18" i="30"/>
  <c r="I18" i="30"/>
  <c r="F18" i="30"/>
  <c r="B18" i="30"/>
  <c r="U17" i="30"/>
  <c r="R17" i="30"/>
  <c r="O17" i="30"/>
  <c r="L17" i="30"/>
  <c r="I17" i="30"/>
  <c r="F17" i="30"/>
  <c r="B17" i="30"/>
  <c r="U16" i="30"/>
  <c r="R16" i="30"/>
  <c r="O16" i="30"/>
  <c r="L16" i="30"/>
  <c r="I16" i="30"/>
  <c r="F16" i="30"/>
  <c r="B16" i="30"/>
  <c r="U15" i="30"/>
  <c r="R15" i="30"/>
  <c r="O15" i="30"/>
  <c r="L15" i="30"/>
  <c r="I15" i="30"/>
  <c r="F15" i="30"/>
  <c r="B15" i="30"/>
  <c r="U14" i="30"/>
  <c r="R14" i="30"/>
  <c r="O14" i="30"/>
  <c r="L14" i="30"/>
  <c r="I14" i="30"/>
  <c r="F14" i="30"/>
  <c r="B14" i="30"/>
  <c r="U13" i="30"/>
  <c r="R13" i="30"/>
  <c r="O13" i="30"/>
  <c r="L13" i="30"/>
  <c r="I13" i="30"/>
  <c r="F13" i="30"/>
  <c r="B13" i="30"/>
  <c r="U12" i="30"/>
  <c r="R12" i="30"/>
  <c r="O12" i="30"/>
  <c r="L12" i="30"/>
  <c r="I12" i="30"/>
  <c r="F12" i="30"/>
  <c r="U37" i="34"/>
  <c r="I14" i="42" s="1"/>
  <c r="T37" i="34"/>
  <c r="I14" i="41" s="1"/>
  <c r="R37" i="34"/>
  <c r="H14" i="42" s="1"/>
  <c r="Q37" i="34"/>
  <c r="O37" i="34"/>
  <c r="G14" i="42" s="1"/>
  <c r="N37" i="34"/>
  <c r="G14" i="41" s="1"/>
  <c r="L37" i="34"/>
  <c r="F14" i="42" s="1"/>
  <c r="K37" i="34"/>
  <c r="F14" i="41" s="1"/>
  <c r="I37" i="34"/>
  <c r="E14" i="42" s="1"/>
  <c r="H37" i="34"/>
  <c r="E14" i="41" s="1"/>
  <c r="F37" i="34"/>
  <c r="D14" i="42" s="1"/>
  <c r="E37" i="34"/>
  <c r="D14" i="41" s="1"/>
  <c r="V36" i="34"/>
  <c r="S36" i="34"/>
  <c r="P36" i="34"/>
  <c r="M36" i="34"/>
  <c r="J36" i="34"/>
  <c r="G36" i="34"/>
  <c r="V35" i="34"/>
  <c r="S35" i="34"/>
  <c r="P35" i="34"/>
  <c r="M35" i="34"/>
  <c r="J35" i="34"/>
  <c r="G35" i="34"/>
  <c r="V34" i="34"/>
  <c r="S34" i="34"/>
  <c r="P34" i="34"/>
  <c r="M34" i="34"/>
  <c r="J34" i="34"/>
  <c r="G34" i="34"/>
  <c r="V33" i="34"/>
  <c r="S33" i="34"/>
  <c r="P33" i="34"/>
  <c r="M33" i="34"/>
  <c r="J33" i="34"/>
  <c r="G33" i="34"/>
  <c r="V32" i="34"/>
  <c r="S32" i="34"/>
  <c r="P32" i="34"/>
  <c r="M32" i="34"/>
  <c r="J32" i="34"/>
  <c r="G32" i="34"/>
  <c r="V31" i="34"/>
  <c r="S31" i="34"/>
  <c r="P31" i="34"/>
  <c r="M31" i="34"/>
  <c r="J31" i="34"/>
  <c r="G31" i="34"/>
  <c r="V30" i="34"/>
  <c r="S30" i="34"/>
  <c r="P30" i="34"/>
  <c r="M30" i="34"/>
  <c r="J30" i="34"/>
  <c r="G30" i="34"/>
  <c r="V29" i="34"/>
  <c r="S29" i="34"/>
  <c r="P29" i="34"/>
  <c r="M29" i="34"/>
  <c r="J29" i="34"/>
  <c r="G29" i="34"/>
  <c r="V28" i="34"/>
  <c r="S28" i="34"/>
  <c r="P28" i="34"/>
  <c r="M28" i="34"/>
  <c r="J28" i="34"/>
  <c r="G28" i="34"/>
  <c r="V27" i="34"/>
  <c r="S27" i="34"/>
  <c r="P27" i="34"/>
  <c r="M27" i="34"/>
  <c r="J27" i="34"/>
  <c r="G27" i="34"/>
  <c r="V26" i="34"/>
  <c r="S26" i="34"/>
  <c r="P26" i="34"/>
  <c r="M26" i="34"/>
  <c r="J26" i="34"/>
  <c r="G26" i="34"/>
  <c r="V25" i="34"/>
  <c r="S25" i="34"/>
  <c r="P25" i="34"/>
  <c r="M25" i="34"/>
  <c r="J25" i="34"/>
  <c r="G25" i="34"/>
  <c r="V24" i="34"/>
  <c r="S24" i="34"/>
  <c r="P24" i="34"/>
  <c r="M24" i="34"/>
  <c r="J24" i="34"/>
  <c r="G24" i="34"/>
  <c r="V23" i="34"/>
  <c r="S23" i="34"/>
  <c r="P23" i="34"/>
  <c r="M23" i="34"/>
  <c r="J23" i="34"/>
  <c r="V21" i="34"/>
  <c r="S21" i="34"/>
  <c r="P21" i="34"/>
  <c r="M21" i="34"/>
  <c r="J21" i="34"/>
  <c r="G21" i="34"/>
  <c r="V20" i="34"/>
  <c r="S20" i="34"/>
  <c r="P20" i="34"/>
  <c r="M20" i="34"/>
  <c r="J20" i="34"/>
  <c r="G20" i="34"/>
  <c r="V18" i="34"/>
  <c r="S18" i="34"/>
  <c r="P18" i="34"/>
  <c r="M18" i="34"/>
  <c r="J18" i="34"/>
  <c r="G18" i="34"/>
  <c r="V17" i="34"/>
  <c r="S17" i="34"/>
  <c r="P17" i="34"/>
  <c r="M17" i="34"/>
  <c r="J17" i="34"/>
  <c r="G17" i="34"/>
  <c r="B17" i="34"/>
  <c r="B18" i="34" s="1"/>
  <c r="V16" i="34"/>
  <c r="S16" i="34"/>
  <c r="P16" i="34"/>
  <c r="M16" i="34"/>
  <c r="J16" i="34"/>
  <c r="G16" i="34"/>
  <c r="B16" i="34"/>
  <c r="V15" i="34"/>
  <c r="S15" i="34"/>
  <c r="P15" i="34"/>
  <c r="M15" i="34"/>
  <c r="J15" i="34"/>
  <c r="G15" i="34"/>
  <c r="W40" i="28"/>
  <c r="V40" i="28"/>
  <c r="U40" i="28"/>
  <c r="T40" i="28"/>
  <c r="S40" i="28"/>
  <c r="R40" i="28"/>
  <c r="Q40" i="28"/>
  <c r="P40" i="28"/>
  <c r="O40" i="28"/>
  <c r="N40" i="28"/>
  <c r="M40" i="28"/>
  <c r="L40" i="28"/>
  <c r="K40" i="28"/>
  <c r="J40" i="28"/>
  <c r="I40" i="28"/>
  <c r="H40" i="28"/>
  <c r="G40" i="28"/>
  <c r="F40" i="28"/>
  <c r="W39" i="28"/>
  <c r="V39" i="28"/>
  <c r="U39" i="28"/>
  <c r="T39" i="28"/>
  <c r="S39" i="28"/>
  <c r="R39" i="28"/>
  <c r="Q39" i="28"/>
  <c r="P39" i="28"/>
  <c r="O39" i="28"/>
  <c r="N39" i="28"/>
  <c r="M39" i="28"/>
  <c r="L39" i="28"/>
  <c r="K39" i="28"/>
  <c r="J39" i="28"/>
  <c r="I39" i="28"/>
  <c r="H39" i="28"/>
  <c r="G39" i="28"/>
  <c r="F39" i="28"/>
  <c r="W38" i="28"/>
  <c r="V38" i="28"/>
  <c r="U38" i="28"/>
  <c r="T38" i="28"/>
  <c r="S38" i="28"/>
  <c r="R38" i="28"/>
  <c r="Q38" i="28"/>
  <c r="P38" i="28"/>
  <c r="O38" i="28"/>
  <c r="N38" i="28"/>
  <c r="M38" i="28"/>
  <c r="L38" i="28"/>
  <c r="K38" i="28"/>
  <c r="J38" i="28"/>
  <c r="I38" i="28"/>
  <c r="H38" i="28"/>
  <c r="G38" i="28"/>
  <c r="F38" i="28"/>
  <c r="W37" i="28"/>
  <c r="V37" i="28"/>
  <c r="U37" i="28"/>
  <c r="T37" i="28"/>
  <c r="S37" i="28"/>
  <c r="R37" i="28"/>
  <c r="Q37" i="28"/>
  <c r="P37" i="28"/>
  <c r="O37" i="28"/>
  <c r="N37" i="28"/>
  <c r="M37" i="28"/>
  <c r="L37" i="28"/>
  <c r="K37" i="28"/>
  <c r="J37" i="28"/>
  <c r="I37" i="28"/>
  <c r="H37" i="28"/>
  <c r="G37" i="28"/>
  <c r="F37" i="28"/>
  <c r="W36" i="28"/>
  <c r="T36" i="28"/>
  <c r="Q36" i="28"/>
  <c r="N36" i="28"/>
  <c r="K36" i="28"/>
  <c r="H36" i="28"/>
  <c r="B36" i="28"/>
  <c r="W35" i="28"/>
  <c r="T35" i="28"/>
  <c r="Q35" i="28"/>
  <c r="N35" i="28"/>
  <c r="K35" i="28"/>
  <c r="H35" i="28"/>
  <c r="B35" i="28"/>
  <c r="W34" i="28"/>
  <c r="T34" i="28"/>
  <c r="Q34" i="28"/>
  <c r="N34" i="28"/>
  <c r="K34" i="28"/>
  <c r="H34" i="28"/>
  <c r="B34" i="28"/>
  <c r="W33" i="28"/>
  <c r="T33" i="28"/>
  <c r="Q33" i="28"/>
  <c r="N33" i="28"/>
  <c r="K33" i="28"/>
  <c r="H33" i="28"/>
  <c r="B33" i="28"/>
  <c r="W32" i="28"/>
  <c r="T32" i="28"/>
  <c r="Q32" i="28"/>
  <c r="N32" i="28"/>
  <c r="K32" i="28"/>
  <c r="H32" i="28"/>
  <c r="B32" i="28"/>
  <c r="W31" i="28"/>
  <c r="T31" i="28"/>
  <c r="Q31" i="28"/>
  <c r="N31" i="28"/>
  <c r="K31" i="28"/>
  <c r="H31" i="28"/>
  <c r="B31" i="28"/>
  <c r="W30" i="28"/>
  <c r="T30" i="28"/>
  <c r="Q30" i="28"/>
  <c r="N30" i="28"/>
  <c r="K30" i="28"/>
  <c r="H30" i="28"/>
  <c r="B30" i="28"/>
  <c r="W29" i="28"/>
  <c r="T29" i="28"/>
  <c r="Q29" i="28"/>
  <c r="N29" i="28"/>
  <c r="K29" i="28"/>
  <c r="H29" i="28"/>
  <c r="B29" i="28"/>
  <c r="W28" i="28"/>
  <c r="T28" i="28"/>
  <c r="Q28" i="28"/>
  <c r="N28" i="28"/>
  <c r="K28" i="28"/>
  <c r="H28" i="28"/>
  <c r="B28" i="28"/>
  <c r="W27" i="28"/>
  <c r="T27" i="28"/>
  <c r="Q27" i="28"/>
  <c r="N27" i="28"/>
  <c r="K27" i="28"/>
  <c r="H27" i="28"/>
  <c r="B27" i="28"/>
  <c r="W26" i="28"/>
  <c r="T26" i="28"/>
  <c r="Q26" i="28"/>
  <c r="N26" i="28"/>
  <c r="K26" i="28"/>
  <c r="H26" i="28"/>
  <c r="B26" i="28"/>
  <c r="W25" i="28"/>
  <c r="T25" i="28"/>
  <c r="Q25" i="28"/>
  <c r="N25" i="28"/>
  <c r="K25" i="28"/>
  <c r="H25" i="28"/>
  <c r="B25" i="28"/>
  <c r="W24" i="28"/>
  <c r="T24" i="28"/>
  <c r="Q24" i="28"/>
  <c r="N24" i="28"/>
  <c r="K24" i="28"/>
  <c r="H24" i="28"/>
  <c r="B24" i="28"/>
  <c r="W23" i="28"/>
  <c r="T23" i="28"/>
  <c r="Q23" i="28"/>
  <c r="N23" i="28"/>
  <c r="K23" i="28"/>
  <c r="H23" i="28"/>
  <c r="B23" i="28"/>
  <c r="W22" i="28"/>
  <c r="T22" i="28"/>
  <c r="Q22" i="28"/>
  <c r="N22" i="28"/>
  <c r="K22" i="28"/>
  <c r="H22" i="28"/>
  <c r="B22" i="28"/>
  <c r="W21" i="28"/>
  <c r="T21" i="28"/>
  <c r="Q21" i="28"/>
  <c r="N21" i="28"/>
  <c r="K21" i="28"/>
  <c r="H21" i="28"/>
  <c r="B21" i="28"/>
  <c r="W20" i="28"/>
  <c r="T20" i="28"/>
  <c r="Q20" i="28"/>
  <c r="N20" i="28"/>
  <c r="K20" i="28"/>
  <c r="H20" i="28"/>
  <c r="B20" i="28"/>
  <c r="W19" i="28"/>
  <c r="T19" i="28"/>
  <c r="Q19" i="28"/>
  <c r="N19" i="28"/>
  <c r="K19" i="28"/>
  <c r="H19" i="28"/>
  <c r="B19" i="28"/>
  <c r="W18" i="28"/>
  <c r="T18" i="28"/>
  <c r="Q18" i="28"/>
  <c r="N18" i="28"/>
  <c r="K18" i="28"/>
  <c r="H18" i="28"/>
  <c r="B18" i="28"/>
  <c r="W17" i="28"/>
  <c r="T17" i="28"/>
  <c r="Q17" i="28"/>
  <c r="N17" i="28"/>
  <c r="K17" i="28"/>
  <c r="H17" i="28"/>
  <c r="AF52" i="27"/>
  <c r="I10" i="41" s="1"/>
  <c r="I11" i="40" s="1"/>
  <c r="AE52" i="27"/>
  <c r="AA52" i="27"/>
  <c r="H10" i="41" s="1"/>
  <c r="H11" i="40" s="1"/>
  <c r="Z52" i="27"/>
  <c r="V52" i="27"/>
  <c r="G10" i="41" s="1"/>
  <c r="G11" i="40" s="1"/>
  <c r="U52" i="27"/>
  <c r="Q52" i="27"/>
  <c r="F10" i="41" s="1"/>
  <c r="F11" i="40" s="1"/>
  <c r="P52" i="27"/>
  <c r="L52" i="27"/>
  <c r="E10" i="41" s="1"/>
  <c r="E11" i="40" s="1"/>
  <c r="K52" i="27"/>
  <c r="G52" i="27"/>
  <c r="D10" i="41" s="1"/>
  <c r="D11" i="40" s="1"/>
  <c r="F52" i="27"/>
  <c r="AH51" i="27"/>
  <c r="I9" i="42" s="1"/>
  <c r="AG51" i="27"/>
  <c r="AG53" i="27" s="1"/>
  <c r="AF51" i="27"/>
  <c r="AE51" i="27"/>
  <c r="AC51" i="27"/>
  <c r="H9" i="42" s="1"/>
  <c r="AB51" i="27"/>
  <c r="AB53" i="27" s="1"/>
  <c r="AA51" i="27"/>
  <c r="AA53" i="27" s="1"/>
  <c r="Z51" i="27"/>
  <c r="Z53" i="27" s="1"/>
  <c r="X51" i="27"/>
  <c r="G9" i="42" s="1"/>
  <c r="W51" i="27"/>
  <c r="W53" i="27" s="1"/>
  <c r="V51" i="27"/>
  <c r="U51" i="27"/>
  <c r="S51" i="27"/>
  <c r="F9" i="42" s="1"/>
  <c r="R51" i="27"/>
  <c r="R53" i="27" s="1"/>
  <c r="Q51" i="27"/>
  <c r="F9" i="41" s="1"/>
  <c r="P51" i="27"/>
  <c r="N51" i="27"/>
  <c r="M51" i="27"/>
  <c r="M53" i="27" s="1"/>
  <c r="L51" i="27"/>
  <c r="K51" i="27"/>
  <c r="I51" i="27"/>
  <c r="I53" i="27" s="1"/>
  <c r="H51" i="27"/>
  <c r="H53" i="27" s="1"/>
  <c r="G51" i="27"/>
  <c r="F51" i="27"/>
  <c r="F53" i="27" s="1"/>
  <c r="AI50" i="27"/>
  <c r="AD50" i="27"/>
  <c r="Y50" i="27"/>
  <c r="T50" i="27"/>
  <c r="O50" i="27"/>
  <c r="J50" i="27"/>
  <c r="AI44" i="27"/>
  <c r="AD44" i="27"/>
  <c r="Y44" i="27"/>
  <c r="T44" i="27"/>
  <c r="O44" i="27"/>
  <c r="J44" i="27"/>
  <c r="AI43" i="27"/>
  <c r="AD43" i="27"/>
  <c r="Y43" i="27"/>
  <c r="T43" i="27"/>
  <c r="O43" i="27"/>
  <c r="J43" i="27"/>
  <c r="AI42" i="27"/>
  <c r="AD42" i="27"/>
  <c r="Y42" i="27"/>
  <c r="T42" i="27"/>
  <c r="O42" i="27"/>
  <c r="J42" i="27"/>
  <c r="AI41" i="27"/>
  <c r="AD41" i="27"/>
  <c r="Y41" i="27"/>
  <c r="T41" i="27"/>
  <c r="O41" i="27"/>
  <c r="J41" i="27"/>
  <c r="AI40" i="27"/>
  <c r="AD40" i="27"/>
  <c r="Y40" i="27"/>
  <c r="T40" i="27"/>
  <c r="O40" i="27"/>
  <c r="J40" i="27"/>
  <c r="AI39" i="27"/>
  <c r="AD39" i="27"/>
  <c r="Y39" i="27"/>
  <c r="T39" i="27"/>
  <c r="O39" i="27"/>
  <c r="J39" i="27"/>
  <c r="AI38" i="27"/>
  <c r="AD38" i="27"/>
  <c r="Y38" i="27"/>
  <c r="T38" i="27"/>
  <c r="O38" i="27"/>
  <c r="J38" i="27"/>
  <c r="AI37" i="27"/>
  <c r="AD37" i="27"/>
  <c r="Y37" i="27"/>
  <c r="T37" i="27"/>
  <c r="O37" i="27"/>
  <c r="J37" i="27"/>
  <c r="AI36" i="27"/>
  <c r="AD36" i="27"/>
  <c r="Y36" i="27"/>
  <c r="T36" i="27"/>
  <c r="O36" i="27"/>
  <c r="J36" i="27"/>
  <c r="AI18" i="27"/>
  <c r="AD18" i="27"/>
  <c r="Y18" i="27"/>
  <c r="O18" i="27"/>
  <c r="J18" i="27"/>
  <c r="AI16" i="27"/>
  <c r="AD16" i="27"/>
  <c r="Y16" i="27"/>
  <c r="T16" i="27"/>
  <c r="O16" i="27"/>
  <c r="J16" i="27"/>
  <c r="AI15" i="27"/>
  <c r="AD15" i="27"/>
  <c r="Y15" i="27"/>
  <c r="T15" i="27"/>
  <c r="O15" i="27"/>
  <c r="J15" i="27"/>
  <c r="F13" i="27"/>
  <c r="E13" i="34" s="1"/>
  <c r="H13" i="34" s="1"/>
  <c r="K13" i="34" s="1"/>
  <c r="N13" i="34" s="1"/>
  <c r="Q13" i="34" s="1"/>
  <c r="T13" i="34" s="1"/>
  <c r="D16" i="40" l="1"/>
  <c r="F31" i="32"/>
  <c r="O31" i="32"/>
  <c r="F15" i="41"/>
  <c r="F16" i="40" s="1"/>
  <c r="F16" i="39"/>
  <c r="E15" i="42"/>
  <c r="E16" i="40" s="1"/>
  <c r="H15" i="39" s="1"/>
  <c r="F15" i="40"/>
  <c r="P37" i="34"/>
  <c r="V37" i="34"/>
  <c r="M37" i="34"/>
  <c r="S37" i="34"/>
  <c r="D9" i="31"/>
  <c r="G9" i="31" s="1"/>
  <c r="J9" i="31" s="1"/>
  <c r="M9" i="31" s="1"/>
  <c r="P9" i="31" s="1"/>
  <c r="S9" i="31" s="1"/>
  <c r="K53" i="27"/>
  <c r="AE53" i="27"/>
  <c r="F15" i="28"/>
  <c r="I15" i="28" s="1"/>
  <c r="L15" i="28" s="1"/>
  <c r="O15" i="28" s="1"/>
  <c r="R15" i="28" s="1"/>
  <c r="U15" i="28" s="1"/>
  <c r="K13" i="27"/>
  <c r="P13" i="27" s="1"/>
  <c r="U13" i="27" s="1"/>
  <c r="Z13" i="27" s="1"/>
  <c r="AE13" i="27" s="1"/>
  <c r="V53" i="27"/>
  <c r="AI51" i="27"/>
  <c r="D10" i="30"/>
  <c r="G10" i="30" s="1"/>
  <c r="J10" i="30" s="1"/>
  <c r="M10" i="30" s="1"/>
  <c r="P10" i="30" s="1"/>
  <c r="S10" i="30" s="1"/>
  <c r="D15" i="40"/>
  <c r="G15" i="40"/>
  <c r="H15" i="40"/>
  <c r="I15" i="40"/>
  <c r="F16" i="42"/>
  <c r="H16" i="42"/>
  <c r="G37" i="34"/>
  <c r="J37" i="34"/>
  <c r="G16" i="42"/>
  <c r="I16" i="42"/>
  <c r="E15" i="40"/>
  <c r="U53" i="27"/>
  <c r="L53" i="27"/>
  <c r="P53" i="27"/>
  <c r="T52" i="27"/>
  <c r="T51" i="27"/>
  <c r="J51" i="27"/>
  <c r="K93" i="38"/>
  <c r="K67" i="38"/>
  <c r="K51" i="38"/>
  <c r="K80" i="38"/>
  <c r="K173" i="38"/>
  <c r="K160" i="38"/>
  <c r="K195" i="38"/>
  <c r="F10" i="40"/>
  <c r="F16" i="41"/>
  <c r="AI52" i="27"/>
  <c r="X53" i="27"/>
  <c r="AF53" i="27"/>
  <c r="G9" i="41"/>
  <c r="AD51" i="27"/>
  <c r="J52" i="27"/>
  <c r="Q53" i="27"/>
  <c r="H9" i="41"/>
  <c r="O51" i="27"/>
  <c r="Y52" i="27"/>
  <c r="G53" i="27"/>
  <c r="J53" i="27" s="1"/>
  <c r="AH53" i="27"/>
  <c r="I9" i="41"/>
  <c r="S53" i="27"/>
  <c r="D9" i="42"/>
  <c r="D16" i="42" s="1"/>
  <c r="Y51" i="27"/>
  <c r="O52" i="27"/>
  <c r="AD52" i="27"/>
  <c r="AC53" i="27"/>
  <c r="AD53" i="27" s="1"/>
  <c r="D9" i="41"/>
  <c r="E9" i="41"/>
  <c r="E16" i="41" s="1"/>
  <c r="K38" i="38"/>
  <c r="J175" i="38"/>
  <c r="I175" i="38"/>
  <c r="E9" i="42"/>
  <c r="N53" i="27"/>
  <c r="D8" i="41"/>
  <c r="E8" i="41" s="1"/>
  <c r="F8" i="41" s="1"/>
  <c r="G8" i="41" s="1"/>
  <c r="H8" i="41" s="1"/>
  <c r="I8" i="41" s="1"/>
  <c r="D8" i="42"/>
  <c r="E8" i="42" s="1"/>
  <c r="F8" i="42" s="1"/>
  <c r="G8" i="42" s="1"/>
  <c r="H8" i="42" s="1"/>
  <c r="I8" i="42" s="1"/>
  <c r="D9" i="40"/>
  <c r="E9" i="40" s="1"/>
  <c r="F9" i="40" s="1"/>
  <c r="G9" i="40" s="1"/>
  <c r="H9" i="40" s="1"/>
  <c r="I9" i="40" s="1"/>
  <c r="D9" i="43"/>
  <c r="G9" i="43" s="1"/>
  <c r="J9" i="43" s="1"/>
  <c r="M9" i="43" s="1"/>
  <c r="P9" i="43" s="1"/>
  <c r="S9" i="43" s="1"/>
  <c r="D9" i="32"/>
  <c r="G9" i="32" s="1"/>
  <c r="J9" i="32" s="1"/>
  <c r="M9" i="32" s="1"/>
  <c r="P9" i="32" s="1"/>
  <c r="S9" i="32" s="1"/>
  <c r="I15" i="39" l="1"/>
  <c r="I16" i="39" s="1"/>
  <c r="H16" i="39"/>
  <c r="J16" i="39"/>
  <c r="O53" i="27"/>
  <c r="Y53" i="27"/>
  <c r="F17" i="40"/>
  <c r="K175" i="38"/>
  <c r="G10" i="40"/>
  <c r="G17" i="40" s="1"/>
  <c r="G16" i="41"/>
  <c r="AI53" i="27"/>
  <c r="I10" i="40"/>
  <c r="I17" i="40" s="1"/>
  <c r="I16" i="41"/>
  <c r="D16" i="41"/>
  <c r="D10" i="40"/>
  <c r="D17" i="40" s="1"/>
  <c r="H10" i="40"/>
  <c r="H17" i="40" s="1"/>
  <c r="H16" i="41"/>
  <c r="T53" i="27"/>
  <c r="E16" i="42"/>
  <c r="E10" i="40"/>
  <c r="E17" i="40" s="1"/>
</calcChain>
</file>

<file path=xl/sharedStrings.xml><?xml version="1.0" encoding="utf-8"?>
<sst xmlns="http://schemas.openxmlformats.org/spreadsheetml/2006/main" count="586" uniqueCount="301">
  <si>
    <t xml:space="preserve"> Nombre</t>
  </si>
  <si>
    <t xml:space="preserve"> Código
 Recurso</t>
  </si>
  <si>
    <t>Nombre</t>
  </si>
  <si>
    <t>TOTAL</t>
  </si>
  <si>
    <t xml:space="preserve"> Titulación</t>
  </si>
  <si>
    <t>Coste/Gasto TOTAL</t>
  </si>
  <si>
    <t>2.2 COLABORACIONES EXTERNAS</t>
  </si>
  <si>
    <t>Coste/Gasto I+D</t>
  </si>
  <si>
    <t>Entidad</t>
  </si>
  <si>
    <t>Coste/Gasto
I+D</t>
  </si>
  <si>
    <t>Coste/Gasto
TOTAL</t>
  </si>
  <si>
    <t>MATERIAL FUNGIBLE</t>
  </si>
  <si>
    <t>2.5 OTROS GASTOS</t>
  </si>
  <si>
    <t xml:space="preserve"> Código Fungible</t>
  </si>
  <si>
    <t>TOTAL PERSONAL</t>
  </si>
  <si>
    <t>I+D</t>
  </si>
  <si>
    <t>UNI</t>
  </si>
  <si>
    <t>OPI</t>
  </si>
  <si>
    <t>2.2.2 Otros (Empresas Privadas, Asociaciones, etc.)</t>
  </si>
  <si>
    <t>TOTAL COLABORACIONES EXTERNAS contratadas / encargadas a UNIVERSIDADES</t>
  </si>
  <si>
    <t>TOTAL COLABORACIONES EXTERNAS contratadas / encargadas a ORGANISMOS PÚBLICOS DE INVESTIGACIÓN</t>
  </si>
  <si>
    <t>TOTAL COLABORACIONES EXTERNAS contratadas / encargadas a CENTROS DE INNOVACIÓN Y TECNOLOGÍA</t>
  </si>
  <si>
    <t xml:space="preserve"> PRESUPUESTO TOTAL DEL PROYECTO (en Euros)</t>
  </si>
  <si>
    <t xml:space="preserve"> EJERCICIO FISCAL</t>
  </si>
  <si>
    <t>Personal investigador cualificado de adscripción exclusiva (sólo proyectos I+D)</t>
  </si>
  <si>
    <t>Material fungible</t>
  </si>
  <si>
    <t xml:space="preserve">Otras colaboraciones externas </t>
  </si>
  <si>
    <t>TOTAL COSTES / GASTOS</t>
  </si>
  <si>
    <t>PRESUPUESTO EN INVESTIGACIÓN Y DESARROLLO DEL PROYECTO (en Euros)</t>
  </si>
  <si>
    <t>PRESUPUESTO EN INNOVACIÓN TECNOLÓGICA DEL PROYECTO (en Euros)</t>
  </si>
  <si>
    <t>CIT</t>
  </si>
  <si>
    <t>Otros gastos</t>
  </si>
  <si>
    <t xml:space="preserve">   TOTAL DE COSTES/GASTOS</t>
  </si>
  <si>
    <t>CONCEPTO</t>
  </si>
  <si>
    <t>IDENTIFICACIÓN</t>
  </si>
  <si>
    <t>Coste/Gasto total</t>
  </si>
  <si>
    <t>ENUMERACIÓN DE LAS DESVIACIONES SUPERIORES AL 20% DEL PRESUPUESTO DEL PROYECTO:</t>
  </si>
  <si>
    <t>Presupuesto de Proyecto</t>
  </si>
  <si>
    <t>Efectivamente Incurrido</t>
  </si>
  <si>
    <t>Total</t>
  </si>
  <si>
    <t>NOMBRE</t>
  </si>
  <si>
    <t>Nº/TIPO DE DOCUMENTO</t>
  </si>
  <si>
    <t>FECHA</t>
  </si>
  <si>
    <t>TITULACIÓN</t>
  </si>
  <si>
    <t>IMPORTE (€)</t>
  </si>
  <si>
    <t>IT</t>
  </si>
  <si>
    <t>ORIGEN/PROVEEDOR</t>
  </si>
  <si>
    <t>Nº DOC./FACTURA</t>
  </si>
  <si>
    <t>Material Fungible</t>
  </si>
  <si>
    <t>5.1</t>
  </si>
  <si>
    <t>5.2</t>
  </si>
  <si>
    <t>5.3</t>
  </si>
  <si>
    <t>5.4</t>
  </si>
  <si>
    <t>5.5</t>
  </si>
  <si>
    <t>5.6</t>
  </si>
  <si>
    <t>5.7</t>
  </si>
  <si>
    <t>5.8</t>
  </si>
  <si>
    <t>5.9</t>
  </si>
  <si>
    <t>5.10</t>
  </si>
  <si>
    <t>8.1</t>
  </si>
  <si>
    <t>8.2</t>
  </si>
  <si>
    <t>8.3</t>
  </si>
  <si>
    <t>8.4</t>
  </si>
  <si>
    <t>8.5</t>
  </si>
  <si>
    <t>8.6</t>
  </si>
  <si>
    <t>8.7</t>
  </si>
  <si>
    <t>8.8</t>
  </si>
  <si>
    <t>8.9</t>
  </si>
  <si>
    <t>8.10</t>
  </si>
  <si>
    <t>Otras colaboraciones externas</t>
  </si>
  <si>
    <t>9.1</t>
  </si>
  <si>
    <t>9.2</t>
  </si>
  <si>
    <t>9.3</t>
  </si>
  <si>
    <t>9.4</t>
  </si>
  <si>
    <t>9.5</t>
  </si>
  <si>
    <t>9.6</t>
  </si>
  <si>
    <t>9.7</t>
  </si>
  <si>
    <t>9.8</t>
  </si>
  <si>
    <t>9.9</t>
  </si>
  <si>
    <t>9.10</t>
  </si>
  <si>
    <t>FICHA DE DESVIACIONES (sólo en caso de solicitud de informe del tipo a)</t>
  </si>
  <si>
    <t>NIF</t>
  </si>
  <si>
    <t>2.1 PERSONAL INVESTIGADOR</t>
  </si>
  <si>
    <t>Código Elemento</t>
  </si>
  <si>
    <t>2.4 MATERIAL FUNGIBLE</t>
  </si>
  <si>
    <t>OTROS GASTOS</t>
  </si>
  <si>
    <t>2.3 AMORTIZACIÓN DE ELEMENTOS DE INMOVILIZADO MATERIAL E INTANGIBLE</t>
  </si>
  <si>
    <t>INVERSIÓN EN ELEMENTOS DE INMOVILIZADO MATERIAL E INTANGIBLE</t>
  </si>
  <si>
    <t>PRESUPUESTO TOTAL DEL PROYECTO</t>
  </si>
  <si>
    <t>TOTAL INVERSIÓN EN ELEMENTOS DE INMOVILIZADO MATERIAL E INTANGIBLE</t>
  </si>
  <si>
    <t>PRESUPUESTO EN INVESTIGACIÓN Y DESARROLLO DEL PROYECTO</t>
  </si>
  <si>
    <t>PRESUPUESTO EN INNOVACIÓN TECNOLÓGICA DEL PROYECTO</t>
  </si>
  <si>
    <t>Amortización de elementos de inmovilizado material e Intangible</t>
  </si>
  <si>
    <t>Personal aplicado a actividades de I+D+i</t>
  </si>
  <si>
    <t>Personal Investigador cualificado y aplicado en exclusiva a actividades de I+D</t>
  </si>
  <si>
    <t>Amortización de elementos de inmovilizado material e intangible</t>
  </si>
  <si>
    <t>10.1</t>
  </si>
  <si>
    <t>10.2</t>
  </si>
  <si>
    <t>10.3</t>
  </si>
  <si>
    <t>10.4</t>
  </si>
  <si>
    <t>10.5</t>
  </si>
  <si>
    <t>10.6</t>
  </si>
  <si>
    <t>10.7</t>
  </si>
  <si>
    <t>10.8</t>
  </si>
  <si>
    <t>10.9</t>
  </si>
  <si>
    <t>10.10</t>
  </si>
  <si>
    <t>Inversión en elementos de inmovilizado material e intangible (I+D)</t>
  </si>
  <si>
    <t>Personal investigador cualificado y en exclusiva a I+D</t>
  </si>
  <si>
    <t>Horas
imputadas
I+D</t>
  </si>
  <si>
    <t>TOTAL personal NO ADSCRITO EN EXCLUSIVA a Actividades de I+D</t>
  </si>
  <si>
    <t>TOTAL personal ADSCRITO EN EXCLUSIVA a Actividades de I+D</t>
  </si>
  <si>
    <t>Excl I+D
(SÍ/NO)</t>
  </si>
  <si>
    <t>Nº</t>
  </si>
  <si>
    <t>NO</t>
  </si>
  <si>
    <t>DATOS RELATIVOS A LA SOLICITUD DE INFORME MOTIVADO</t>
  </si>
  <si>
    <t>TÍTULO DEL PROYECTO:</t>
  </si>
  <si>
    <t>RAZÓN SOCIAL ENTIDAD:</t>
  </si>
  <si>
    <t>NIF ENTIDAD SOLICITANTE:</t>
  </si>
  <si>
    <t>INSTRUCCIONES</t>
  </si>
  <si>
    <t>AÑO DE INICIO DEL PROYECTO:</t>
  </si>
  <si>
    <t xml:space="preserve"> Código
 Persona</t>
  </si>
  <si>
    <t>Código 
Otros</t>
  </si>
  <si>
    <t>(Personal, Colaboraciones, etc.)</t>
  </si>
  <si>
    <t>(Nombre de la persona, entidad, material, etc.)</t>
  </si>
  <si>
    <t>Porcentaje</t>
  </si>
  <si>
    <t>(%)</t>
  </si>
  <si>
    <t xml:space="preserve"> - Es obligatorio indicar la 'Tipología' de la colaboración (UNI, OPI o CIT).</t>
  </si>
  <si>
    <t>FECHA INICIO:</t>
  </si>
  <si>
    <t>FECHA FIN:</t>
  </si>
  <si>
    <t>EJERCICIO FISCAL DE SOLICITUD (dd/mm/aaaa):</t>
  </si>
  <si>
    <t>ACRÓNIMO:</t>
  </si>
  <si>
    <t>Tipo</t>
  </si>
  <si>
    <t>TOTAL COL. EXTERNAS CONTRATADAS /ENCARGADAS A UNIVERSIDADES, OPIs y CCTT</t>
  </si>
  <si>
    <t>Colaboraciones Externas: Universidades, OPIs y/o CITs</t>
  </si>
  <si>
    <t>2.2.1 Universidades, Organismos Públicos de Investigación y Centros de Innovación y Tecnología (reconocidos y registrados como tales)</t>
  </si>
  <si>
    <t>AMORTIZACIÓN DE ELEMENTOS DE INMOVILIZADO MATERIAL E INTANGIBLE</t>
  </si>
  <si>
    <t>Nº DE EXPEDIENTE (INFORME MOTIVADO):</t>
  </si>
  <si>
    <t>18- Al transformar el documento en PDF se debe asegurar que el contenido incluido en las celdas no se oculta en la transformación, ya que, en dicho caso, el documento no se considerará válido.</t>
  </si>
  <si>
    <t>17- No se admite incluir más de 400 caracteres en cada uno de los campos del Formulario. Si se incluyen más de 400 caracteres el documento no se considerará válido.</t>
  </si>
  <si>
    <t xml:space="preserve"> - En la columna 'Excl I+D`se indicará si se trata o no de un investigador adscrito en exclusiva a I+D</t>
  </si>
  <si>
    <t xml:space="preserve"> - Para anualidades futuras, si el nombre de la persona aún no se conoce, en lugar del "NOMBRE" se reflejará el Perfil dentro del proyecto.</t>
  </si>
  <si>
    <t xml:space="preserve"> - Para anualidades futuras, si el nombre de la colaboración externa (Universidad, OPI o CIT) aún no se conoce, en lugar de la "ENTIDAD" se reflejará el servicio y las actividades a subcontratar.</t>
  </si>
  <si>
    <t xml:space="preserve"> - Por cada una de las entidades de colaboración, se cumplimentará/n su/s correspondiente/s ficha/s de ampliación del apartado 2.2 y el resto de Fichas "adicionales" cuando proceda.</t>
  </si>
  <si>
    <t>TOTAL COLABORACIONES EXTERNAS</t>
  </si>
  <si>
    <t xml:space="preserve"> - Por cada uno de los elementos de inmovilizado, se cumplimentará su correspondiente Ficha de ampliación del apartado 2.3.</t>
  </si>
  <si>
    <t xml:space="preserve"> - Por cada una de las partidas correspondientes a un mismo proveedor o un concepto, cuya suma sea superior a 30.000 €, se cumplimentará/n su/s correspondiente/s Ficha/s de ampliación del apartado 2.4</t>
  </si>
  <si>
    <t xml:space="preserve"> - Para cada uno de los conceptos recogidos, que superen en una cuantía del 5% a la suma total del gasto de personal, o que sumados los de un mismo proveedor o modalidad superen dicha cuantía, se cumplimentará la Ficha de ampliación del apartado 2.5.</t>
  </si>
  <si>
    <t>LISTADO DE LOS DOCUMENTOS JUSTIFICATIVOS DE LA INVERSIÓN EN ELEMENTOS DE INMOVILIZADO MATERIAL E INTANGIBLE (I+D)</t>
  </si>
  <si>
    <t>LISTADO DE LOS DOCUMENTOS JUSTIFICATIVOS DE LOS GASTOS O COSTES INCURRIDOS EN EL PROYECTO</t>
  </si>
  <si>
    <t>2.3 INVERSIÓN EN ELEMENTOS DE INMOVILIZADO MATERIAL E INTANGIBLE</t>
  </si>
  <si>
    <t xml:space="preserve"> - Por cada uno de los participantes en el proyecto, se cumplimentará su correspondiente Ficha de ampliación del apartado 2.1.</t>
  </si>
  <si>
    <t xml:space="preserve"> - Por cada una de las entidades colaboradoras, se cumplimentará/n su/s correspondiente/s Ficha/s de ampliación del apartado 2.2 y el resto de Fichas "adicionales" cuando proceda.</t>
  </si>
  <si>
    <t>2- Las Hojas 'I+D' e 'IT' deberán ser incluidas en función de la calificación que haya sido consignada en las Hojas restantes. La Hoja 'TOTAL' debe ser incluida obligatoriamente en todos los casos.</t>
  </si>
  <si>
    <t>3- Para solicitudes tipo 'A' es obligatorio incluir la Hoja con la “Ficha de desviaciones” y describir aquellas desviaciones que sean superiores al 20%.</t>
  </si>
  <si>
    <t>5- En cada Hoja, deben añadirse tantas filas como se consideren necesarias. En cada fila añadida deben reproducirse las Fórmulas existentes en la Hoja para que se efectúen los cálculos automáticos.</t>
  </si>
  <si>
    <t>7- Los gastos reflejados en cada una de las Hojas deben guardar correspondencia entre sí.</t>
  </si>
  <si>
    <t>10- Deben seguirse las instrucciones concretas marcadas en fuente roja que se exponen al inicio de algunas de las Hojas del Formulario.</t>
  </si>
  <si>
    <t>11- Si el proyecto tiene una duración mayor de 6 anualidades, deberán entregarse dos o más Formularios. Uno que abarque las anualidades 1-6, otro 7-12, y así sucesivamente. En estos casos, en cada Formulario deberá indicarse como 'Año de Inicio' el primero de los años empleados en ese rango. En cualquier caso, no se deben añadir/eliminar columnas.</t>
  </si>
  <si>
    <t>15- Si es necesario se pueden separar las Filas de una tabla en diferentes páginas, pero NO se admite separar las Columnas de una misma tabla en diferentes páginas. Verifique que, para cada tabla, se muestran todas las columnas.</t>
  </si>
  <si>
    <t>16- En el campo 'CONCEPTO' de cada Línea de gasto (incluyendo al 'Listado de los documentos justificativos...') deberá describirse sintéticamente el gasto, sin limitarse a una mera descripción genérica como “servicios profesionales”, “materiales varios”, “gastos según pedido X”, etc.). Es decir, el contenido de cada Fila ha de ser representativo del Gasto asociado.</t>
  </si>
  <si>
    <r>
      <t xml:space="preserve">4- Para solicitudes tipo 'A' es </t>
    </r>
    <r>
      <rPr>
        <u/>
        <sz val="11"/>
        <rFont val="Arial"/>
        <family val="2"/>
      </rPr>
      <t>obligatorio</t>
    </r>
    <r>
      <rPr>
        <sz val="11"/>
        <rFont val="Arial"/>
        <family val="2"/>
      </rPr>
      <t xml:space="preserve"> incluir la Hoja con el Listado de documentos justificativos de los gastos correctamente cumplimentado en cada fila/celda.</t>
    </r>
  </si>
  <si>
    <r>
      <t xml:space="preserve">8- Los gastos mostrados en el presente Formulario deben coincidir con los </t>
    </r>
    <r>
      <rPr>
        <u/>
        <sz val="11"/>
        <rFont val="Arial"/>
        <family val="2"/>
      </rPr>
      <t>'Gastos Presentados/Presupuestados'</t>
    </r>
    <r>
      <rPr>
        <sz val="11"/>
        <rFont val="Arial"/>
        <family val="2"/>
      </rPr>
      <t xml:space="preserve"> que se muestren en el 'Informe Técnico de la EC' y en el 'Informe Técnico XSIG (XML)' que deben acompañar a su Solicitud. Es decir, </t>
    </r>
    <r>
      <rPr>
        <u/>
        <sz val="11"/>
        <rFont val="Arial"/>
        <family val="2"/>
      </rPr>
      <t>deben mostrarse los valores de los gastos presentados a Certificación</t>
    </r>
    <r>
      <rPr>
        <sz val="11"/>
        <rFont val="Arial"/>
        <family val="2"/>
      </rPr>
      <t>, no los gastos resultantes de dicha Certificación (salvo que sean idénticos).</t>
    </r>
  </si>
  <si>
    <r>
      <t xml:space="preserve">9- A su vez, los gastos mostrados deben coincidir con los </t>
    </r>
    <r>
      <rPr>
        <u/>
        <sz val="11"/>
        <rFont val="Arial"/>
        <family val="2"/>
      </rPr>
      <t>'Gastos Presentados/Presupuestados'</t>
    </r>
    <r>
      <rPr>
        <sz val="11"/>
        <rFont val="Arial"/>
        <family val="2"/>
      </rPr>
      <t xml:space="preserve"> que se muestren en la Memoria Técnica/Económica.</t>
    </r>
  </si>
  <si>
    <r>
      <t xml:space="preserve">12- El Título del proyecto debe responder </t>
    </r>
    <r>
      <rPr>
        <u/>
        <sz val="11"/>
        <rFont val="Arial"/>
        <family val="2"/>
      </rPr>
      <t>con exactitud al asociado a la solicitud de informe motivado y no puede superar los 100 caracteres.</t>
    </r>
  </si>
  <si>
    <r>
      <t xml:space="preserve">13- El Acrónimo debe responder </t>
    </r>
    <r>
      <rPr>
        <u/>
        <sz val="11"/>
        <rFont val="Arial"/>
        <family val="2"/>
      </rPr>
      <t>con exactitud al asociado a la solicitud de informe motivado y no puede superar los 10 caracteres.</t>
    </r>
  </si>
  <si>
    <t xml:space="preserve"> Código
Colaboración</t>
  </si>
  <si>
    <t>Horas
imputadas
IT</t>
  </si>
  <si>
    <t>Coste/Gasto
IT</t>
  </si>
  <si>
    <t>6- No deben realizarse modificaciones en las Fórmulas. Debe respetarse la estructura general del Formulario. No elimine las Filas que no utilice, deje en blanco las que no considere oportunas.</t>
  </si>
  <si>
    <r>
      <t xml:space="preserve">14- Debe respetarse la estructura y el formato del documento. El contenido descriptivo de cada línea de gasto ha de ser reflejado </t>
    </r>
    <r>
      <rPr>
        <u/>
        <sz val="11"/>
        <rFont val="Arial"/>
        <family val="2"/>
      </rPr>
      <t>obligatoriamente</t>
    </r>
    <r>
      <rPr>
        <sz val="11"/>
        <rFont val="Arial"/>
        <family val="2"/>
      </rPr>
      <t xml:space="preserve"> en Castellano, incluyendo los campos 'Concepto' y 'Titulación' del 'Listado de los documentos justificativos...'.</t>
    </r>
  </si>
  <si>
    <r>
      <t xml:space="preserve">1- Debe entregarse un único documento PDF que incluya, por lo menos, todas las Hojas del Formulario </t>
    </r>
    <r>
      <rPr>
        <u/>
        <sz val="11"/>
        <rFont val="Arial"/>
        <family val="2"/>
      </rPr>
      <t>donde se hayan introducido datos</t>
    </r>
    <r>
      <rPr>
        <sz val="11"/>
        <rFont val="Arial"/>
        <family val="2"/>
      </rPr>
      <t xml:space="preserve">. Las Hojas deben presentarse en el orden establecido en esta plantilla. </t>
    </r>
    <r>
      <rPr>
        <u/>
        <sz val="11"/>
        <rFont val="Arial"/>
        <family val="2"/>
      </rPr>
      <t>La primera página del PDF debe ser la Hoja 'Datos solicitud' con los datos de la solicitante. No agregue al documento PDF resultante otras páginas diferentes a las expuestas en este Formulario.</t>
    </r>
    <r>
      <rPr>
        <sz val="11"/>
        <rFont val="Arial"/>
        <family val="2"/>
      </rPr>
      <t xml:space="preserve"> No es necesario que la presente Hoja con instrucciones se muestre en el PDF resultante que ha de entregarse.</t>
    </r>
  </si>
  <si>
    <t>8.11</t>
  </si>
  <si>
    <t>8.12</t>
  </si>
  <si>
    <t>Festina Lotus, S.A.</t>
  </si>
  <si>
    <t>A08663684</t>
  </si>
  <si>
    <t>NUEVA APLICACION TECNOLOGICA PARA MEJORAR LA GESTION DE VENTAS Y RECURSOS EMPRESARIALES</t>
  </si>
  <si>
    <t>APPTECNO23</t>
  </si>
  <si>
    <t>PEDRO MORENO IZQUIERDO</t>
  </si>
  <si>
    <t>47072906W</t>
  </si>
  <si>
    <t>ET SYSTEMS GLOBAL STORAGE SOLUTIONS S.L</t>
  </si>
  <si>
    <t>B64625338</t>
  </si>
  <si>
    <t>ALEJANDRO NAVALON FERNANDEZ</t>
  </si>
  <si>
    <t>ANDRES QUESADA MOLINERO</t>
  </si>
  <si>
    <t>CRISTIAN PALAU TARRAGO</t>
  </si>
  <si>
    <t>DANIEL GUASCH PARRA</t>
  </si>
  <si>
    <t>DIDAC FERRER MARDONES</t>
  </si>
  <si>
    <t>DIEGO JAVIER KORMES</t>
  </si>
  <si>
    <t>ERIK MOMPEAN RUIZ</t>
  </si>
  <si>
    <t>EYNAR ARNEZ ANDRADE</t>
  </si>
  <si>
    <t>JAVIER ALEJANDRO FUENTES</t>
  </si>
  <si>
    <t>JAVIER PILLADO DOPICO</t>
  </si>
  <si>
    <t>JUAN ANTONIO LAMA SAENZ</t>
  </si>
  <si>
    <t>LAURA ARROYO SANCHEZ</t>
  </si>
  <si>
    <t>LUCIANO BURGOS LOMBARDI</t>
  </si>
  <si>
    <t>MARTA TOMAS PARIS</t>
  </si>
  <si>
    <t>ORIOL BERNADAS CIURANA</t>
  </si>
  <si>
    <t>RAFAEL FRIAS TORIBIO</t>
  </si>
  <si>
    <t>8.13</t>
  </si>
  <si>
    <t>8.14</t>
  </si>
  <si>
    <t>8.15</t>
  </si>
  <si>
    <t>8.16</t>
  </si>
  <si>
    <t>8.17</t>
  </si>
  <si>
    <t>8.18</t>
  </si>
  <si>
    <t>8.19</t>
  </si>
  <si>
    <t>8.20</t>
  </si>
  <si>
    <t>8.21</t>
  </si>
  <si>
    <t>8.22</t>
  </si>
  <si>
    <t>8.23</t>
  </si>
  <si>
    <t>8.24</t>
  </si>
  <si>
    <t>8.25</t>
  </si>
  <si>
    <t>8.26</t>
  </si>
  <si>
    <t>8.27</t>
  </si>
  <si>
    <t>8.28</t>
  </si>
  <si>
    <t>8.29</t>
  </si>
  <si>
    <t>8.30</t>
  </si>
  <si>
    <t>8.31</t>
  </si>
  <si>
    <t>8.32</t>
  </si>
  <si>
    <t>8.33</t>
  </si>
  <si>
    <t>8.34</t>
  </si>
  <si>
    <t>8.35</t>
  </si>
  <si>
    <t>8.36</t>
  </si>
  <si>
    <t>8.37</t>
  </si>
  <si>
    <t>8.38</t>
  </si>
  <si>
    <t>8.39</t>
  </si>
  <si>
    <t>8.40</t>
  </si>
  <si>
    <t>8.41</t>
  </si>
  <si>
    <t>8.42</t>
  </si>
  <si>
    <t>8.43</t>
  </si>
  <si>
    <t>8.44</t>
  </si>
  <si>
    <t>8.45</t>
  </si>
  <si>
    <t>8.46</t>
  </si>
  <si>
    <t>8.47</t>
  </si>
  <si>
    <t>8.48</t>
  </si>
  <si>
    <t>8.49</t>
  </si>
  <si>
    <t>8.50</t>
  </si>
  <si>
    <t>8.51</t>
  </si>
  <si>
    <t>8.52</t>
  </si>
  <si>
    <t>8.53</t>
  </si>
  <si>
    <t>8.54</t>
  </si>
  <si>
    <t>8.55</t>
  </si>
  <si>
    <t>8.56</t>
  </si>
  <si>
    <t>8.57</t>
  </si>
  <si>
    <t>8.58</t>
  </si>
  <si>
    <t>8.59</t>
  </si>
  <si>
    <t>8.60</t>
  </si>
  <si>
    <t>8.61</t>
  </si>
  <si>
    <t>8.62</t>
  </si>
  <si>
    <t>8.63</t>
  </si>
  <si>
    <t>8.64</t>
  </si>
  <si>
    <t>Personal 2025</t>
  </si>
  <si>
    <t>Entidades Colaboradoras 2025</t>
  </si>
  <si>
    <t>Licenciado en Biología</t>
  </si>
  <si>
    <t>Graduado en Física</t>
  </si>
  <si>
    <t>RNT - IDC - CCRR</t>
  </si>
  <si>
    <t>Personal 2023</t>
  </si>
  <si>
    <t>DANIEL CLARES MARTIN</t>
  </si>
  <si>
    <t>DAVID MARTINEZ PLANELLAS</t>
  </si>
  <si>
    <t>ELOI VIVAS MARTINEZ</t>
  </si>
  <si>
    <t>FRANCISCO JAVIE GINE VENTURA</t>
  </si>
  <si>
    <t>JAVIER ENRIQUE PINTO GONÇALVES</t>
  </si>
  <si>
    <t>JEFFREY JOSE SOARES AFONSO</t>
  </si>
  <si>
    <t>JESSICA PLA GARCIA</t>
  </si>
  <si>
    <t>JORDI AVILES MARTOS</t>
  </si>
  <si>
    <t>JUAN GARCIA MURILLO</t>
  </si>
  <si>
    <t>LUIS CASAMAJOR PALOMA</t>
  </si>
  <si>
    <t>MARC MATEO PRATS</t>
  </si>
  <si>
    <t>POL CAMPS CASTRO</t>
  </si>
  <si>
    <t>VICTOR GOMEZ REYES</t>
  </si>
  <si>
    <t>Grado superior en aplicaciones multiplataforma</t>
  </si>
  <si>
    <t>Grado superior Ingeniería Informatica</t>
  </si>
  <si>
    <t>Diplomado en Analista de Sistemas</t>
  </si>
  <si>
    <t>Graduado en Ingenería Informática</t>
  </si>
  <si>
    <t>CFGS Desarrollo de Aplicaciones Multiplataforma</t>
  </si>
  <si>
    <t>Diplomado en Ingenería Informática</t>
  </si>
  <si>
    <t>Licenciada en Ingenería Informática</t>
  </si>
  <si>
    <t>Grado en Ingenería Informática</t>
  </si>
  <si>
    <t>Grado superior en aplicaciones web</t>
  </si>
  <si>
    <t>Grado de Ingeniería en Tecnologias Industriales</t>
  </si>
  <si>
    <t>FP Administración de Sistemas</t>
  </si>
  <si>
    <t>Licenciado en Ingenería Informática</t>
  </si>
  <si>
    <t>Ingeniero técnico informático</t>
  </si>
  <si>
    <t>Grado superior en administración de sistemas</t>
  </si>
  <si>
    <t>Pedro Moreno Izquierdo</t>
  </si>
  <si>
    <t>ET Systems Global Storage Solutions, S.L.</t>
  </si>
  <si>
    <t>GEN24-00010</t>
  </si>
  <si>
    <t>Diseño de Producto</t>
  </si>
  <si>
    <t>GEN24-00007</t>
  </si>
  <si>
    <t>ETS-240253</t>
  </si>
  <si>
    <t>Desarollos software ULISES Enero 2024</t>
  </si>
  <si>
    <t>ETS-240445</t>
  </si>
  <si>
    <t>Desarollos software ULISES Febrero 2024</t>
  </si>
  <si>
    <t>ETS-240545</t>
  </si>
  <si>
    <t>Desarollos software ULISES Marzo 2024</t>
  </si>
  <si>
    <t>ETS-240888</t>
  </si>
  <si>
    <t>Desarollos software ULISES Junio 2024</t>
  </si>
  <si>
    <t>ETS-241062</t>
  </si>
  <si>
    <t>Desarollos software ULISES Julio 2024</t>
  </si>
  <si>
    <t>DoiT International Multi-Cloud Espana S.L</t>
  </si>
  <si>
    <t>IN244002790</t>
  </si>
  <si>
    <t>Amazon Web Services</t>
  </si>
  <si>
    <t xml:space="preserve">Graduado en Ingeniería Informática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</si>
</sst>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7">
    <numFmt numFmtId="8" formatCode="#,##0.00\ &quot;€&quot;;[Red]\-#,##0.00\ &quot;€&quot;"/>
    <numFmt numFmtId="44" formatCode="_-* #,##0.00\ &quot;€&quot;_-;\-* #,##0.00\ &quot;€&quot;_-;_-* &quot;-&quot;??\ &quot;€&quot;_-;_-@_-"/>
    <numFmt numFmtId="164" formatCode="00"/>
    <numFmt numFmtId="165" formatCode="#,##0.00\ &quot;€ &quot;"/>
    <numFmt numFmtId="166" formatCode="#,##0.00\ &quot;€ &quot;;;"/>
    <numFmt numFmtId="167" formatCode="#,##0.00\ &quot;€ &quot;;"/>
    <numFmt numFmtId="168" formatCode="#,##0.00\ &quot;€ &quot;;\-#,##0.00\ &quot;€ &quot;;0.00\ &quot;€ &quot;"/>
    <numFmt numFmtId="169" formatCode="#,##0.00\ &quot;€&quot;;\-#,##0.00\ &quot;€&quot;;0.00\ &quot;€&quot;"/>
    <numFmt numFmtId="170" formatCode="#,##0\ "/>
    <numFmt numFmtId="171" formatCode="&quot;1.&quot;0"/>
    <numFmt numFmtId="172" formatCode="&quot;2.&quot;0"/>
    <numFmt numFmtId="173" formatCode="&quot;3.&quot;0"/>
    <numFmt numFmtId="174" formatCode="&quot;4.&quot;0"/>
    <numFmt numFmtId="175" formatCode="&quot;5.&quot;0"/>
    <numFmt numFmtId="176" formatCode="General;;"/>
    <numFmt numFmtId="177" formatCode="#,##0.00\ &quot;h &quot;"/>
    <numFmt numFmtId="178" formatCode="#,##0.00_ ;[Red]\-#,##0.00\ "/>
  </numFmts>
  <fonts count="23" x14ac:knownFonts="1">
    <font>
      <sz val="10"/>
      <name val="Arial"/>
    </font>
    <font>
      <sz val="10"/>
      <name val="Arial"/>
      <family val="2"/>
    </font>
    <font>
      <sz val="8"/>
      <name val="Arial"/>
      <family val="2"/>
    </font>
    <font>
      <sz val="11"/>
      <name val="Arial"/>
      <family val="2"/>
    </font>
    <font>
      <b/>
      <sz val="11"/>
      <name val="Arial"/>
      <family val="2"/>
    </font>
    <font>
      <sz val="11"/>
      <color indexed="9"/>
      <name val="Arial"/>
      <family val="2"/>
    </font>
    <font>
      <sz val="10"/>
      <name val="Arial Narrow"/>
      <family val="2"/>
    </font>
    <font>
      <b/>
      <sz val="12"/>
      <name val="Arial"/>
      <family val="2"/>
    </font>
    <font>
      <sz val="12"/>
      <name val="Arial"/>
      <family val="2"/>
    </font>
    <font>
      <i/>
      <sz val="9"/>
      <name val="Arial"/>
      <family val="2"/>
    </font>
    <font>
      <sz val="10"/>
      <name val="Arial"/>
      <family val="2"/>
    </font>
    <font>
      <b/>
      <sz val="10"/>
      <name val="Arial"/>
      <family val="2"/>
    </font>
    <font>
      <sz val="12"/>
      <name val="Arial"/>
      <family val="2"/>
    </font>
    <font>
      <b/>
      <u/>
      <sz val="11"/>
      <name val="Arial"/>
      <family val="2"/>
    </font>
    <font>
      <b/>
      <u/>
      <sz val="10"/>
      <name val="Arial"/>
      <family val="2"/>
    </font>
    <font>
      <b/>
      <u/>
      <sz val="12"/>
      <name val="Arial"/>
      <family val="2"/>
    </font>
    <font>
      <i/>
      <sz val="11"/>
      <name val="Arial"/>
      <family val="2"/>
    </font>
    <font>
      <i/>
      <sz val="10"/>
      <name val="Arial"/>
      <family val="2"/>
    </font>
    <font>
      <b/>
      <u/>
      <sz val="13"/>
      <name val="Arial"/>
      <family val="2"/>
    </font>
    <font>
      <b/>
      <u/>
      <sz val="14"/>
      <name val="Arial"/>
      <family val="2"/>
    </font>
    <font>
      <b/>
      <sz val="11"/>
      <color rgb="FFFF0000"/>
      <name val="Arial"/>
      <family val="2"/>
    </font>
    <font>
      <u/>
      <sz val="11"/>
      <name val="Arial"/>
      <family val="2"/>
    </font>
    <font>
      <sz val="10"/>
      <name val="Arial"/>
      <family val="2"/>
    </font>
  </fonts>
  <fills count="6">
    <fill>
      <patternFill patternType="none"/>
    </fill>
    <fill>
      <patternFill patternType="gray125"/>
    </fill>
    <fill>
      <patternFill patternType="solid">
        <fgColor indexed="22"/>
        <bgColor indexed="64"/>
      </patternFill>
    </fill>
    <fill>
      <patternFill patternType="solid">
        <fgColor theme="0" tint="-0.499984740745262"/>
        <bgColor indexed="64"/>
      </patternFill>
    </fill>
    <fill>
      <patternFill patternType="solid">
        <fgColor theme="0" tint="-0.24994659260841701"/>
        <bgColor indexed="64"/>
      </patternFill>
    </fill>
    <fill>
      <patternFill patternType="solid">
        <fgColor theme="8" tint="0.79998168889431442"/>
        <bgColor indexed="64"/>
      </patternFill>
    </fill>
  </fills>
  <borders count="67">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right style="thin">
        <color indexed="64"/>
      </right>
      <top/>
      <bottom style="thin">
        <color indexed="64"/>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thin">
        <color indexed="64"/>
      </left>
      <right style="thin">
        <color indexed="64"/>
      </right>
      <top/>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style="medium">
        <color indexed="64"/>
      </left>
      <right style="medium">
        <color indexed="64"/>
      </right>
      <top/>
      <bottom/>
      <diagonal/>
    </border>
    <border>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style="medium">
        <color indexed="64"/>
      </top>
      <bottom style="medium">
        <color indexed="64"/>
      </bottom>
      <diagonal/>
    </border>
  </borders>
  <cellStyleXfs count="15">
    <xf numFmtId="0" fontId="0" fillId="0" borderId="0"/>
    <xf numFmtId="44" fontId="1"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0" fontId="10" fillId="0" borderId="0"/>
    <xf numFmtId="44" fontId="22" fillId="0" borderId="0" applyFont="0" applyFill="0" applyBorder="0" applyAlignment="0" applyProtection="0"/>
  </cellStyleXfs>
  <cellXfs count="334">
    <xf numFmtId="0" fontId="0" fillId="0" borderId="0" xfId="0"/>
    <xf numFmtId="0" fontId="10" fillId="0" borderId="0" xfId="0" applyFont="1" applyProtection="1"/>
    <xf numFmtId="0" fontId="10" fillId="0" borderId="0" xfId="0" applyFont="1" applyAlignment="1" applyProtection="1">
      <alignment vertical="center"/>
    </xf>
    <xf numFmtId="169" fontId="10" fillId="0" borderId="1" xfId="0" applyNumberFormat="1" applyFont="1" applyBorder="1" applyAlignment="1" applyProtection="1">
      <alignment horizontal="right" vertical="center" wrapText="1"/>
    </xf>
    <xf numFmtId="169" fontId="10" fillId="2" borderId="1" xfId="0" applyNumberFormat="1" applyFont="1" applyFill="1" applyBorder="1" applyAlignment="1" applyProtection="1">
      <alignment horizontal="right" vertical="center" wrapText="1"/>
    </xf>
    <xf numFmtId="176" fontId="3" fillId="0" borderId="2" xfId="0" applyNumberFormat="1" applyFont="1" applyBorder="1" applyAlignment="1" applyProtection="1">
      <alignment horizontal="center" vertical="center"/>
      <protection locked="0"/>
    </xf>
    <xf numFmtId="0" fontId="3" fillId="0" borderId="0" xfId="0" applyFont="1" applyAlignment="1" applyProtection="1">
      <alignment vertical="center"/>
      <protection locked="0"/>
    </xf>
    <xf numFmtId="0" fontId="3" fillId="0" borderId="0" xfId="0" applyFont="1" applyAlignment="1" applyProtection="1">
      <alignment horizontal="center" vertical="center"/>
      <protection locked="0"/>
    </xf>
    <xf numFmtId="14" fontId="3" fillId="0" borderId="5" xfId="0" applyNumberFormat="1" applyFont="1" applyBorder="1" applyAlignment="1" applyProtection="1">
      <alignment horizontal="center" vertical="center"/>
      <protection locked="0"/>
    </xf>
    <xf numFmtId="0" fontId="3" fillId="0" borderId="5" xfId="0" quotePrefix="1" applyFont="1" applyBorder="1" applyAlignment="1" applyProtection="1">
      <alignment horizontal="center" vertical="center"/>
      <protection locked="0"/>
    </xf>
    <xf numFmtId="1" fontId="3" fillId="0" borderId="5" xfId="0" applyNumberFormat="1" applyFont="1" applyBorder="1" applyAlignment="1" applyProtection="1">
      <alignment horizontal="center" vertical="center"/>
      <protection locked="0"/>
    </xf>
    <xf numFmtId="0" fontId="7" fillId="0" borderId="0" xfId="0" applyFont="1" applyAlignment="1" applyProtection="1">
      <alignment horizontal="center" vertical="center"/>
    </xf>
    <xf numFmtId="0" fontId="7" fillId="0" borderId="0" xfId="0" applyFont="1" applyAlignment="1" applyProtection="1">
      <alignment vertical="center"/>
    </xf>
    <xf numFmtId="0" fontId="7" fillId="0" borderId="0" xfId="0" applyFont="1" applyAlignment="1" applyProtection="1">
      <alignment wrapText="1"/>
    </xf>
    <xf numFmtId="0" fontId="7" fillId="0" borderId="0" xfId="0" applyFont="1" applyAlignment="1" applyProtection="1">
      <alignment vertical="center" wrapText="1"/>
    </xf>
    <xf numFmtId="0" fontId="8" fillId="0" borderId="0" xfId="0" applyFont="1" applyAlignment="1" applyProtection="1">
      <alignment vertical="center"/>
    </xf>
    <xf numFmtId="0" fontId="3" fillId="0" borderId="0" xfId="0" applyFont="1" applyAlignment="1" applyProtection="1">
      <alignment vertical="center"/>
    </xf>
    <xf numFmtId="0" fontId="9" fillId="0" borderId="0" xfId="0" applyFont="1" applyAlignment="1" applyProtection="1">
      <alignment horizontal="center" vertical="center"/>
    </xf>
    <xf numFmtId="0" fontId="9" fillId="0" borderId="0" xfId="0" applyFont="1" applyAlignment="1" applyProtection="1">
      <alignment vertical="center"/>
    </xf>
    <xf numFmtId="0" fontId="3" fillId="0" borderId="0" xfId="0" applyFont="1" applyAlignment="1" applyProtection="1">
      <alignment horizontal="center" vertical="center"/>
    </xf>
    <xf numFmtId="0" fontId="4" fillId="0" borderId="0" xfId="0" applyFont="1" applyAlignment="1" applyProtection="1">
      <alignment horizontal="center" vertical="center" textRotation="90" wrapText="1"/>
    </xf>
    <xf numFmtId="0" fontId="4" fillId="0" borderId="0" xfId="0" applyFont="1" applyAlignment="1" applyProtection="1">
      <alignment vertical="center"/>
    </xf>
    <xf numFmtId="0" fontId="5" fillId="0" borderId="0" xfId="0" applyFont="1" applyAlignment="1" applyProtection="1">
      <alignment vertical="center"/>
    </xf>
    <xf numFmtId="170" fontId="8" fillId="0" borderId="12" xfId="0" applyNumberFormat="1" applyFont="1" applyBorder="1" applyAlignment="1" applyProtection="1">
      <alignment horizontal="left" vertical="center" wrapText="1"/>
      <protection locked="0"/>
    </xf>
    <xf numFmtId="170" fontId="8" fillId="0" borderId="13" xfId="0" applyNumberFormat="1" applyFont="1" applyBorder="1" applyAlignment="1" applyProtection="1">
      <alignment horizontal="left" vertical="center" wrapText="1"/>
      <protection locked="0"/>
    </xf>
    <xf numFmtId="170" fontId="8" fillId="0" borderId="14" xfId="0" applyNumberFormat="1" applyFont="1" applyBorder="1" applyAlignment="1" applyProtection="1">
      <alignment horizontal="left" vertical="center" wrapText="1"/>
      <protection locked="0"/>
    </xf>
    <xf numFmtId="0" fontId="3" fillId="0" borderId="1" xfId="0" applyFont="1" applyBorder="1" applyAlignment="1" applyProtection="1">
      <alignment horizontal="center" vertical="center"/>
      <protection locked="0"/>
    </xf>
    <xf numFmtId="14" fontId="3" fillId="0" borderId="1" xfId="0" applyNumberFormat="1" applyFont="1" applyBorder="1" applyAlignment="1" applyProtection="1">
      <alignment horizontal="center" vertical="center"/>
      <protection locked="0"/>
    </xf>
    <xf numFmtId="0" fontId="7" fillId="0" borderId="0" xfId="0" applyFont="1" applyAlignment="1" applyProtection="1">
      <alignment horizontal="left" vertical="center"/>
    </xf>
    <xf numFmtId="0" fontId="3" fillId="0" borderId="5" xfId="0" applyFont="1" applyBorder="1" applyAlignment="1" applyProtection="1">
      <alignment horizontal="center" vertical="center"/>
      <protection locked="0"/>
    </xf>
    <xf numFmtId="0" fontId="3" fillId="0" borderId="16" xfId="0" applyFont="1" applyBorder="1" applyAlignment="1" applyProtection="1">
      <alignment horizontal="center" vertical="center"/>
      <protection locked="0"/>
    </xf>
    <xf numFmtId="165" fontId="3" fillId="0" borderId="16" xfId="0" applyNumberFormat="1" applyFont="1" applyBorder="1" applyAlignment="1" applyProtection="1">
      <alignment horizontal="right" vertical="center"/>
      <protection locked="0"/>
    </xf>
    <xf numFmtId="165" fontId="3" fillId="0" borderId="14" xfId="0" applyNumberFormat="1" applyFont="1" applyBorder="1" applyAlignment="1" applyProtection="1">
      <alignment horizontal="right" vertical="center"/>
      <protection locked="0"/>
    </xf>
    <xf numFmtId="165" fontId="3" fillId="0" borderId="12" xfId="0" applyNumberFormat="1" applyFont="1" applyBorder="1" applyAlignment="1" applyProtection="1">
      <alignment horizontal="right" vertical="center"/>
      <protection locked="0"/>
    </xf>
    <xf numFmtId="165" fontId="3" fillId="0" borderId="17" xfId="0" applyNumberFormat="1" applyFont="1" applyBorder="1" applyAlignment="1" applyProtection="1">
      <alignment horizontal="right" vertical="center"/>
      <protection locked="0"/>
    </xf>
    <xf numFmtId="165" fontId="3" fillId="2" borderId="14" xfId="0" applyNumberFormat="1" applyFont="1" applyFill="1" applyBorder="1" applyAlignment="1" applyProtection="1">
      <alignment horizontal="right" vertical="center"/>
    </xf>
    <xf numFmtId="165" fontId="3" fillId="2" borderId="12" xfId="0" applyNumberFormat="1" applyFont="1" applyFill="1" applyBorder="1" applyAlignment="1" applyProtection="1">
      <alignment horizontal="right" vertical="center"/>
    </xf>
    <xf numFmtId="165" fontId="3" fillId="0" borderId="18" xfId="0" applyNumberFormat="1" applyFont="1" applyBorder="1" applyAlignment="1" applyProtection="1">
      <alignment horizontal="right" vertical="center"/>
      <protection locked="0"/>
    </xf>
    <xf numFmtId="167" fontId="4" fillId="2" borderId="7" xfId="0" applyNumberFormat="1" applyFont="1" applyFill="1" applyBorder="1" applyAlignment="1" applyProtection="1">
      <alignment horizontal="right" vertical="center"/>
    </xf>
    <xf numFmtId="165" fontId="7" fillId="2" borderId="6" xfId="0" applyNumberFormat="1" applyFont="1" applyFill="1" applyBorder="1" applyAlignment="1" applyProtection="1">
      <alignment horizontal="right" vertical="center"/>
    </xf>
    <xf numFmtId="0" fontId="3" fillId="0" borderId="19" xfId="0" applyFont="1" applyBorder="1" applyAlignment="1" applyProtection="1">
      <alignment horizontal="center" vertical="center"/>
      <protection locked="0"/>
    </xf>
    <xf numFmtId="0" fontId="3" fillId="0" borderId="20" xfId="0" applyFont="1" applyBorder="1" applyAlignment="1" applyProtection="1">
      <alignment horizontal="center" vertical="center"/>
      <protection locked="0"/>
    </xf>
    <xf numFmtId="170" fontId="8" fillId="0" borderId="21" xfId="0" applyNumberFormat="1" applyFont="1" applyBorder="1" applyAlignment="1" applyProtection="1">
      <alignment horizontal="left" vertical="center" wrapText="1"/>
      <protection locked="0"/>
    </xf>
    <xf numFmtId="176" fontId="11" fillId="0" borderId="16" xfId="0" applyNumberFormat="1" applyFont="1" applyBorder="1" applyAlignment="1" applyProtection="1">
      <alignment horizontal="center" vertical="center" wrapText="1"/>
      <protection locked="0"/>
    </xf>
    <xf numFmtId="176" fontId="11" fillId="0" borderId="22" xfId="0" applyNumberFormat="1" applyFont="1" applyBorder="1" applyAlignment="1" applyProtection="1">
      <alignment horizontal="center" vertical="center" wrapText="1"/>
      <protection locked="0"/>
    </xf>
    <xf numFmtId="8" fontId="10" fillId="0" borderId="23" xfId="1" applyNumberFormat="1" applyFont="1" applyBorder="1" applyAlignment="1" applyProtection="1">
      <alignment horizontal="right" vertical="center" wrapText="1"/>
      <protection locked="0"/>
    </xf>
    <xf numFmtId="8" fontId="10" fillId="0" borderId="19" xfId="1" applyNumberFormat="1" applyFont="1" applyBorder="1" applyAlignment="1" applyProtection="1">
      <alignment horizontal="right" vertical="center" wrapText="1"/>
      <protection locked="0"/>
    </xf>
    <xf numFmtId="8" fontId="10" fillId="0" borderId="24" xfId="1" applyNumberFormat="1" applyFont="1" applyBorder="1" applyAlignment="1" applyProtection="1">
      <alignment horizontal="right" vertical="center" wrapText="1"/>
      <protection locked="0"/>
    </xf>
    <xf numFmtId="0" fontId="12" fillId="0" borderId="0" xfId="0" applyFont="1" applyAlignment="1" applyProtection="1">
      <alignment vertical="center"/>
    </xf>
    <xf numFmtId="0" fontId="7" fillId="0" borderId="0" xfId="0" applyFont="1" applyBorder="1" applyAlignment="1" applyProtection="1">
      <alignment vertical="center" wrapText="1"/>
    </xf>
    <xf numFmtId="0" fontId="11" fillId="0" borderId="0" xfId="0" applyFont="1" applyAlignment="1" applyProtection="1">
      <alignment vertical="center"/>
    </xf>
    <xf numFmtId="0" fontId="12" fillId="0" borderId="0" xfId="0" applyFont="1" applyBorder="1" applyAlignment="1" applyProtection="1">
      <alignment vertical="center"/>
    </xf>
    <xf numFmtId="0" fontId="0" fillId="0" borderId="0" xfId="0" applyAlignment="1" applyProtection="1">
      <alignment vertical="center"/>
    </xf>
    <xf numFmtId="0" fontId="11" fillId="0" borderId="0" xfId="0" applyFont="1" applyAlignment="1" applyProtection="1">
      <alignment horizontal="left" vertical="center"/>
    </xf>
    <xf numFmtId="165" fontId="4" fillId="0" borderId="26" xfId="0" applyNumberFormat="1" applyFont="1" applyBorder="1" applyAlignment="1" applyProtection="1">
      <alignment horizontal="right" vertical="center"/>
    </xf>
    <xf numFmtId="165" fontId="4" fillId="0" borderId="29" xfId="0" applyNumberFormat="1" applyFont="1" applyBorder="1" applyAlignment="1" applyProtection="1">
      <alignment horizontal="right" vertical="center"/>
    </xf>
    <xf numFmtId="165" fontId="4" fillId="0" borderId="30" xfId="0" applyNumberFormat="1" applyFont="1" applyBorder="1" applyAlignment="1" applyProtection="1">
      <alignment horizontal="right" vertical="center"/>
    </xf>
    <xf numFmtId="0" fontId="4" fillId="0" borderId="0" xfId="0" applyFont="1" applyAlignment="1" applyProtection="1">
      <alignment horizontal="center" vertical="center" textRotation="90"/>
    </xf>
    <xf numFmtId="176" fontId="3" fillId="0" borderId="31" xfId="0" applyNumberFormat="1" applyFont="1" applyBorder="1" applyAlignment="1" applyProtection="1">
      <alignment horizontal="left" vertical="center"/>
      <protection locked="0"/>
    </xf>
    <xf numFmtId="165" fontId="3" fillId="0" borderId="23" xfId="0" applyNumberFormat="1" applyFont="1" applyBorder="1" applyAlignment="1" applyProtection="1">
      <alignment horizontal="right" vertical="center"/>
      <protection locked="0"/>
    </xf>
    <xf numFmtId="165" fontId="3" fillId="0" borderId="32" xfId="0" applyNumberFormat="1" applyFont="1" applyBorder="1" applyAlignment="1" applyProtection="1">
      <alignment horizontal="right" vertical="center"/>
      <protection locked="0"/>
    </xf>
    <xf numFmtId="176" fontId="3" fillId="0" borderId="23" xfId="0" applyNumberFormat="1" applyFont="1" applyBorder="1" applyAlignment="1" applyProtection="1">
      <alignment horizontal="left" vertical="center"/>
      <protection locked="0"/>
    </xf>
    <xf numFmtId="168" fontId="4" fillId="0" borderId="30" xfId="0" applyNumberFormat="1" applyFont="1" applyBorder="1" applyAlignment="1" applyProtection="1">
      <alignment horizontal="right" vertical="center"/>
    </xf>
    <xf numFmtId="168" fontId="4" fillId="0" borderId="26" xfId="0" applyNumberFormat="1" applyFont="1" applyBorder="1" applyAlignment="1" applyProtection="1">
      <alignment horizontal="right" vertical="center"/>
    </xf>
    <xf numFmtId="0" fontId="3" fillId="0" borderId="34" xfId="0" applyNumberFormat="1" applyFont="1" applyBorder="1" applyAlignment="1" applyProtection="1">
      <alignment horizontal="left" vertical="center"/>
      <protection locked="0"/>
    </xf>
    <xf numFmtId="165" fontId="3" fillId="0" borderId="35" xfId="0" applyNumberFormat="1" applyFont="1" applyBorder="1" applyAlignment="1" applyProtection="1">
      <alignment horizontal="right" vertical="center"/>
      <protection locked="0"/>
    </xf>
    <xf numFmtId="0" fontId="3" fillId="0" borderId="24" xfId="0" applyFont="1" applyBorder="1" applyAlignment="1" applyProtection="1">
      <alignment horizontal="left" vertical="center"/>
      <protection locked="0"/>
    </xf>
    <xf numFmtId="176" fontId="3" fillId="0" borderId="34" xfId="0" applyNumberFormat="1" applyFont="1" applyBorder="1" applyAlignment="1" applyProtection="1">
      <alignment horizontal="left" vertical="center"/>
      <protection locked="0"/>
    </xf>
    <xf numFmtId="176" fontId="3" fillId="0" borderId="34" xfId="0" applyNumberFormat="1" applyFont="1" applyBorder="1" applyAlignment="1" applyProtection="1">
      <alignment horizontal="center" vertical="center"/>
      <protection locked="0"/>
    </xf>
    <xf numFmtId="176" fontId="3" fillId="0" borderId="38" xfId="0" applyNumberFormat="1" applyFont="1" applyBorder="1" applyAlignment="1" applyProtection="1">
      <alignment horizontal="left" vertical="center"/>
      <protection locked="0"/>
    </xf>
    <xf numFmtId="176" fontId="3" fillId="0" borderId="12" xfId="0" applyNumberFormat="1" applyFont="1" applyBorder="1" applyAlignment="1" applyProtection="1">
      <alignment horizontal="center" vertical="center"/>
      <protection locked="0"/>
    </xf>
    <xf numFmtId="166" fontId="3" fillId="0" borderId="23" xfId="0" applyNumberFormat="1" applyFont="1" applyBorder="1" applyAlignment="1" applyProtection="1">
      <alignment horizontal="right" vertical="center"/>
      <protection locked="0"/>
    </xf>
    <xf numFmtId="166" fontId="3" fillId="0" borderId="32" xfId="0" applyNumberFormat="1" applyFont="1" applyBorder="1" applyAlignment="1" applyProtection="1">
      <alignment horizontal="right" vertical="center"/>
      <protection locked="0"/>
    </xf>
    <xf numFmtId="176" fontId="3" fillId="0" borderId="39" xfId="0" applyNumberFormat="1" applyFont="1" applyBorder="1" applyAlignment="1" applyProtection="1">
      <alignment horizontal="left" vertical="center"/>
      <protection locked="0"/>
    </xf>
    <xf numFmtId="165" fontId="3" fillId="0" borderId="40" xfId="0" applyNumberFormat="1" applyFont="1" applyBorder="1" applyAlignment="1" applyProtection="1">
      <alignment horizontal="right" vertical="center"/>
      <protection locked="0"/>
    </xf>
    <xf numFmtId="166" fontId="3" fillId="0" borderId="36" xfId="0" applyNumberFormat="1" applyFont="1" applyBorder="1" applyAlignment="1" applyProtection="1">
      <alignment horizontal="right" vertical="center"/>
      <protection locked="0"/>
    </xf>
    <xf numFmtId="166" fontId="3" fillId="0" borderId="40" xfId="0" applyNumberFormat="1" applyFont="1" applyBorder="1" applyAlignment="1" applyProtection="1">
      <alignment horizontal="right" vertical="center"/>
      <protection locked="0"/>
    </xf>
    <xf numFmtId="165" fontId="3" fillId="0" borderId="26" xfId="0" applyNumberFormat="1" applyFont="1" applyBorder="1" applyAlignment="1" applyProtection="1">
      <alignment horizontal="right" vertical="center"/>
    </xf>
    <xf numFmtId="165" fontId="3" fillId="0" borderId="29" xfId="0" applyNumberFormat="1" applyFont="1" applyBorder="1" applyAlignment="1" applyProtection="1">
      <alignment horizontal="right" vertical="center"/>
    </xf>
    <xf numFmtId="165" fontId="4" fillId="0" borderId="41" xfId="0" applyNumberFormat="1" applyFont="1" applyBorder="1" applyAlignment="1" applyProtection="1">
      <alignment horizontal="right" vertical="center"/>
    </xf>
    <xf numFmtId="176" fontId="3" fillId="0" borderId="17" xfId="0" applyNumberFormat="1" applyFont="1" applyBorder="1" applyAlignment="1" applyProtection="1">
      <alignment horizontal="left" vertical="center"/>
      <protection locked="0"/>
    </xf>
    <xf numFmtId="176" fontId="3" fillId="0" borderId="12" xfId="0" applyNumberFormat="1" applyFont="1" applyBorder="1" applyAlignment="1" applyProtection="1">
      <alignment horizontal="left" vertical="center"/>
      <protection locked="0"/>
    </xf>
    <xf numFmtId="176" fontId="3" fillId="0" borderId="4" xfId="0" applyNumberFormat="1" applyFont="1" applyBorder="1" applyAlignment="1" applyProtection="1">
      <alignment horizontal="center" vertical="center"/>
      <protection locked="0"/>
    </xf>
    <xf numFmtId="0" fontId="0" fillId="0" borderId="42" xfId="0" applyBorder="1" applyAlignment="1" applyProtection="1">
      <alignment horizontal="left" vertical="center" wrapText="1"/>
      <protection locked="0"/>
    </xf>
    <xf numFmtId="0" fontId="0" fillId="0" borderId="43" xfId="0" applyBorder="1" applyAlignment="1" applyProtection="1">
      <alignment horizontal="center" vertical="center" wrapText="1"/>
      <protection locked="0"/>
    </xf>
    <xf numFmtId="0" fontId="0" fillId="0" borderId="21" xfId="0" applyBorder="1" applyAlignment="1" applyProtection="1">
      <alignment horizontal="left" vertical="center" wrapText="1"/>
      <protection locked="0"/>
    </xf>
    <xf numFmtId="0" fontId="0" fillId="0" borderId="1" xfId="0" applyBorder="1" applyAlignment="1" applyProtection="1">
      <alignment horizontal="center" vertical="center" wrapText="1"/>
      <protection locked="0"/>
    </xf>
    <xf numFmtId="0" fontId="4" fillId="0" borderId="0" xfId="0" applyFont="1" applyBorder="1" applyAlignment="1" applyProtection="1">
      <alignment horizontal="center" vertical="center"/>
    </xf>
    <xf numFmtId="0" fontId="20" fillId="0" borderId="0" xfId="0" applyFont="1" applyBorder="1" applyAlignment="1" applyProtection="1">
      <alignment horizontal="left" vertical="center"/>
    </xf>
    <xf numFmtId="0" fontId="4" fillId="0" borderId="0" xfId="0" applyFont="1" applyAlignment="1" applyProtection="1">
      <alignment horizontal="center" vertical="center" wrapText="1"/>
    </xf>
    <xf numFmtId="0" fontId="4" fillId="0" borderId="22" xfId="0" applyFont="1" applyFill="1" applyBorder="1" applyAlignment="1" applyProtection="1">
      <alignment vertical="center" wrapText="1"/>
    </xf>
    <xf numFmtId="0" fontId="0" fillId="0" borderId="22" xfId="0" applyFill="1" applyBorder="1" applyAlignment="1" applyProtection="1">
      <alignment vertical="center"/>
    </xf>
    <xf numFmtId="0" fontId="4" fillId="0" borderId="0" xfId="0" applyFont="1" applyAlignment="1" applyProtection="1">
      <alignment vertical="center" wrapText="1"/>
    </xf>
    <xf numFmtId="0" fontId="13" fillId="0" borderId="0" xfId="0" applyFont="1" applyAlignment="1" applyProtection="1">
      <alignment vertical="center"/>
    </xf>
    <xf numFmtId="0" fontId="14" fillId="0" borderId="0" xfId="0" applyFont="1" applyProtection="1"/>
    <xf numFmtId="0" fontId="12" fillId="0" borderId="0" xfId="0" applyFont="1" applyAlignment="1" applyProtection="1">
      <alignment horizontal="left" vertical="center"/>
    </xf>
    <xf numFmtId="0" fontId="15" fillId="0" borderId="0" xfId="0" applyFont="1" applyAlignment="1" applyProtection="1">
      <alignment vertical="center"/>
    </xf>
    <xf numFmtId="0" fontId="3" fillId="0" borderId="0" xfId="0" applyFont="1" applyBorder="1" applyAlignment="1" applyProtection="1">
      <alignment vertical="center"/>
    </xf>
    <xf numFmtId="165" fontId="4" fillId="3" borderId="29" xfId="0" applyNumberFormat="1" applyFont="1" applyFill="1" applyBorder="1" applyAlignment="1" applyProtection="1">
      <alignment horizontal="right" vertical="center"/>
    </xf>
    <xf numFmtId="2" fontId="4" fillId="0" borderId="31" xfId="0" applyNumberFormat="1" applyFont="1" applyFill="1" applyBorder="1" applyAlignment="1" applyProtection="1">
      <alignment horizontal="right" vertical="center"/>
    </xf>
    <xf numFmtId="2" fontId="4" fillId="0" borderId="44" xfId="0" applyNumberFormat="1" applyFont="1" applyFill="1" applyBorder="1" applyAlignment="1" applyProtection="1">
      <alignment horizontal="right" vertical="center"/>
    </xf>
    <xf numFmtId="0" fontId="3" fillId="0" borderId="0" xfId="0" applyFont="1" applyBorder="1" applyAlignment="1" applyProtection="1">
      <alignment horizontal="center" vertical="center"/>
    </xf>
    <xf numFmtId="165" fontId="3" fillId="0" borderId="1" xfId="0" applyNumberFormat="1" applyFont="1" applyBorder="1" applyAlignment="1" applyProtection="1">
      <alignment vertical="center"/>
      <protection locked="0"/>
    </xf>
    <xf numFmtId="165" fontId="4" fillId="0" borderId="43" xfId="0" applyNumberFormat="1" applyFont="1" applyBorder="1" applyAlignment="1" applyProtection="1">
      <alignment vertical="center"/>
    </xf>
    <xf numFmtId="2" fontId="4" fillId="0" borderId="43" xfId="0" applyNumberFormat="1" applyFont="1" applyFill="1" applyBorder="1" applyAlignment="1" applyProtection="1">
      <alignment horizontal="right" vertical="center"/>
    </xf>
    <xf numFmtId="165" fontId="4" fillId="0" borderId="43" xfId="0" applyNumberFormat="1" applyFont="1" applyBorder="1" applyAlignment="1" applyProtection="1">
      <alignment horizontal="right" vertical="center"/>
    </xf>
    <xf numFmtId="2" fontId="4" fillId="0" borderId="24" xfId="0" applyNumberFormat="1" applyFont="1" applyFill="1" applyBorder="1" applyAlignment="1" applyProtection="1">
      <alignment horizontal="right" vertical="center"/>
    </xf>
    <xf numFmtId="165" fontId="4" fillId="0" borderId="1" xfId="0" applyNumberFormat="1" applyFont="1" applyBorder="1" applyAlignment="1" applyProtection="1">
      <alignment vertical="center"/>
    </xf>
    <xf numFmtId="164" fontId="4" fillId="4" borderId="1" xfId="0" applyNumberFormat="1" applyFont="1" applyFill="1" applyBorder="1" applyAlignment="1" applyProtection="1">
      <alignment horizontal="center" vertical="center"/>
    </xf>
    <xf numFmtId="165" fontId="4" fillId="2" borderId="1" xfId="0" applyNumberFormat="1" applyFont="1" applyFill="1" applyBorder="1" applyAlignment="1" applyProtection="1">
      <alignment horizontal="right" vertical="center"/>
    </xf>
    <xf numFmtId="165" fontId="4" fillId="0" borderId="45" xfId="0" applyNumberFormat="1" applyFont="1" applyBorder="1" applyAlignment="1" applyProtection="1">
      <alignment horizontal="right" vertical="center"/>
    </xf>
    <xf numFmtId="165" fontId="4" fillId="0" borderId="46" xfId="0" applyNumberFormat="1" applyFont="1" applyBorder="1" applyAlignment="1" applyProtection="1">
      <alignment vertical="center"/>
    </xf>
    <xf numFmtId="2" fontId="4" fillId="0" borderId="46" xfId="0" applyNumberFormat="1" applyFont="1" applyFill="1" applyBorder="1" applyAlignment="1" applyProtection="1">
      <alignment horizontal="right" vertical="center"/>
    </xf>
    <xf numFmtId="165" fontId="4" fillId="0" borderId="46" xfId="0" applyNumberFormat="1" applyFont="1" applyBorder="1" applyAlignment="1" applyProtection="1">
      <alignment horizontal="right" vertical="center"/>
    </xf>
    <xf numFmtId="165" fontId="4" fillId="0" borderId="47" xfId="0" applyNumberFormat="1" applyFont="1" applyBorder="1" applyAlignment="1" applyProtection="1">
      <alignment horizontal="right" vertical="center"/>
    </xf>
    <xf numFmtId="177" fontId="3" fillId="0" borderId="1" xfId="0" applyNumberFormat="1" applyFont="1" applyBorder="1" applyAlignment="1" applyProtection="1">
      <alignment vertical="center"/>
      <protection locked="0"/>
    </xf>
    <xf numFmtId="165" fontId="4" fillId="0" borderId="33" xfId="0" applyNumberFormat="1" applyFont="1" applyFill="1" applyBorder="1" applyAlignment="1" applyProtection="1">
      <alignment horizontal="right" vertical="center" wrapText="1"/>
    </xf>
    <xf numFmtId="164" fontId="4" fillId="0" borderId="0" xfId="0" applyNumberFormat="1" applyFont="1" applyFill="1" applyBorder="1" applyAlignment="1" applyProtection="1">
      <alignment vertical="center"/>
    </xf>
    <xf numFmtId="14" fontId="16" fillId="0" borderId="0" xfId="0" applyNumberFormat="1" applyFont="1" applyAlignment="1" applyProtection="1">
      <alignment horizontal="center" vertical="center"/>
    </xf>
    <xf numFmtId="14" fontId="17" fillId="0" borderId="0" xfId="0" applyNumberFormat="1" applyFont="1" applyAlignment="1" applyProtection="1">
      <alignment horizontal="center"/>
    </xf>
    <xf numFmtId="0" fontId="18" fillId="0" borderId="0" xfId="0" applyFont="1" applyAlignment="1" applyProtection="1">
      <alignment vertical="center"/>
    </xf>
    <xf numFmtId="0" fontId="7" fillId="0" borderId="0" xfId="0" applyFont="1" applyAlignment="1" applyProtection="1">
      <alignment horizontal="left"/>
    </xf>
    <xf numFmtId="0" fontId="10" fillId="0" borderId="0" xfId="0" applyFont="1" applyBorder="1" applyAlignment="1" applyProtection="1">
      <alignment vertical="center"/>
    </xf>
    <xf numFmtId="0" fontId="10" fillId="0" borderId="0" xfId="0" applyFont="1" applyBorder="1" applyAlignment="1" applyProtection="1">
      <alignment horizontal="left" vertical="center"/>
    </xf>
    <xf numFmtId="0" fontId="10" fillId="0" borderId="0" xfId="0" applyFont="1" applyBorder="1" applyAlignment="1" applyProtection="1">
      <alignment horizontal="center" vertical="center"/>
    </xf>
    <xf numFmtId="0" fontId="4" fillId="0" borderId="0" xfId="0" applyFont="1" applyFill="1" applyAlignment="1" applyProtection="1">
      <alignment vertical="center"/>
    </xf>
    <xf numFmtId="0" fontId="4" fillId="0" borderId="0" xfId="0" applyFont="1" applyFill="1" applyBorder="1" applyAlignment="1" applyProtection="1">
      <alignment vertical="center"/>
    </xf>
    <xf numFmtId="0" fontId="19" fillId="0" borderId="0" xfId="0" applyFont="1" applyAlignment="1" applyProtection="1">
      <alignment vertical="center"/>
    </xf>
    <xf numFmtId="0" fontId="3" fillId="0" borderId="1" xfId="0" applyFont="1" applyBorder="1" applyAlignment="1" applyProtection="1">
      <alignment horizontal="left" vertical="center"/>
      <protection locked="0"/>
    </xf>
    <xf numFmtId="14" fontId="3" fillId="0" borderId="1" xfId="0" applyNumberFormat="1" applyFont="1" applyBorder="1" applyAlignment="1" applyProtection="1">
      <alignment horizontal="left" vertical="center"/>
      <protection locked="0"/>
    </xf>
    <xf numFmtId="8" fontId="1" fillId="0" borderId="23" xfId="1" applyNumberFormat="1" applyFont="1" applyBorder="1" applyAlignment="1" applyProtection="1">
      <alignment horizontal="right" vertical="center" wrapText="1"/>
      <protection locked="0"/>
    </xf>
    <xf numFmtId="0" fontId="20" fillId="0" borderId="0" xfId="0" applyFont="1" applyAlignment="1" applyProtection="1">
      <alignment vertical="center"/>
    </xf>
    <xf numFmtId="0" fontId="20" fillId="0" borderId="0" xfId="0" applyFont="1" applyBorder="1" applyAlignment="1" applyProtection="1">
      <alignment vertical="center"/>
    </xf>
    <xf numFmtId="0" fontId="3" fillId="0" borderId="1" xfId="0" applyNumberFormat="1" applyFont="1" applyBorder="1" applyAlignment="1" applyProtection="1">
      <alignment horizontal="left" vertical="center"/>
      <protection locked="0"/>
    </xf>
    <xf numFmtId="0" fontId="4" fillId="0" borderId="0" xfId="0" applyFont="1" applyFill="1" applyBorder="1" applyAlignment="1" applyProtection="1">
      <alignment horizontal="left" vertical="center"/>
    </xf>
    <xf numFmtId="0" fontId="4" fillId="0" borderId="0" xfId="0" applyFont="1" applyBorder="1" applyAlignment="1" applyProtection="1">
      <alignment vertical="center"/>
    </xf>
    <xf numFmtId="0" fontId="4" fillId="0" borderId="0" xfId="0" applyFont="1" applyBorder="1" applyAlignment="1" applyProtection="1">
      <alignment horizontal="left" vertical="center"/>
    </xf>
    <xf numFmtId="14" fontId="4" fillId="5" borderId="1" xfId="0" applyNumberFormat="1" applyFont="1" applyFill="1" applyBorder="1" applyAlignment="1" applyProtection="1">
      <alignment horizontal="left" vertical="center"/>
    </xf>
    <xf numFmtId="164" fontId="4" fillId="5" borderId="17" xfId="0" applyNumberFormat="1" applyFont="1" applyFill="1" applyBorder="1" applyAlignment="1" applyProtection="1">
      <alignment horizontal="center" vertical="center"/>
      <protection locked="0"/>
    </xf>
    <xf numFmtId="164" fontId="4" fillId="5" borderId="14" xfId="0" applyNumberFormat="1" applyFont="1" applyFill="1" applyBorder="1" applyAlignment="1" applyProtection="1">
      <alignment horizontal="center" vertical="center"/>
      <protection locked="0"/>
    </xf>
    <xf numFmtId="0" fontId="4" fillId="5" borderId="31" xfId="0" applyFont="1" applyFill="1" applyBorder="1" applyAlignment="1" applyProtection="1">
      <alignment horizontal="center" vertical="center" wrapText="1"/>
    </xf>
    <xf numFmtId="0" fontId="4" fillId="5" borderId="43" xfId="0" applyFont="1" applyFill="1" applyBorder="1" applyAlignment="1" applyProtection="1">
      <alignment horizontal="center" vertical="center" wrapText="1"/>
    </xf>
    <xf numFmtId="0" fontId="4" fillId="5" borderId="41" xfId="0" applyFont="1" applyFill="1" applyBorder="1" applyAlignment="1" applyProtection="1">
      <alignment horizontal="center" vertical="center" wrapText="1"/>
    </xf>
    <xf numFmtId="164" fontId="4" fillId="5" borderId="7" xfId="0" applyNumberFormat="1" applyFont="1" applyFill="1" applyBorder="1" applyAlignment="1" applyProtection="1">
      <alignment vertical="center"/>
    </xf>
    <xf numFmtId="164" fontId="4" fillId="5" borderId="28" xfId="0" applyNumberFormat="1" applyFont="1" applyFill="1" applyBorder="1" applyAlignment="1" applyProtection="1">
      <alignment vertical="center"/>
    </xf>
    <xf numFmtId="164" fontId="4" fillId="5" borderId="15" xfId="0" applyNumberFormat="1" applyFont="1" applyFill="1" applyBorder="1" applyAlignment="1" applyProtection="1">
      <alignment horizontal="center" vertical="center"/>
      <protection locked="0"/>
    </xf>
    <xf numFmtId="164" fontId="4" fillId="5" borderId="13" xfId="0" applyNumberFormat="1" applyFont="1" applyFill="1" applyBorder="1" applyAlignment="1" applyProtection="1">
      <alignment horizontal="center" vertical="center"/>
      <protection locked="0"/>
    </xf>
    <xf numFmtId="0" fontId="4" fillId="5" borderId="8" xfId="0" applyFont="1" applyFill="1" applyBorder="1" applyAlignment="1" applyProtection="1">
      <alignment horizontal="center" vertical="center" wrapText="1"/>
    </xf>
    <xf numFmtId="0" fontId="4" fillId="5" borderId="9" xfId="0" applyFont="1" applyFill="1" applyBorder="1" applyAlignment="1" applyProtection="1">
      <alignment horizontal="center" vertical="center" wrapText="1"/>
    </xf>
    <xf numFmtId="0" fontId="4" fillId="5" borderId="10" xfId="0" applyFont="1" applyFill="1" applyBorder="1" applyAlignment="1" applyProtection="1">
      <alignment horizontal="center" vertical="center" wrapText="1"/>
    </xf>
    <xf numFmtId="164" fontId="4" fillId="5" borderId="6" xfId="0" applyNumberFormat="1" applyFont="1" applyFill="1" applyBorder="1" applyAlignment="1" applyProtection="1">
      <alignment horizontal="center" vertical="center"/>
    </xf>
    <xf numFmtId="0" fontId="4" fillId="5" borderId="11" xfId="0" applyFont="1" applyFill="1" applyBorder="1" applyAlignment="1" applyProtection="1">
      <alignment horizontal="center" vertical="center" wrapText="1"/>
    </xf>
    <xf numFmtId="0" fontId="11" fillId="5" borderId="1" xfId="0" applyFont="1" applyFill="1" applyBorder="1" applyAlignment="1" applyProtection="1">
      <alignment horizontal="center" vertical="center" wrapText="1"/>
    </xf>
    <xf numFmtId="169" fontId="11" fillId="5" borderId="1" xfId="0" applyNumberFormat="1" applyFont="1" applyFill="1" applyBorder="1" applyAlignment="1" applyProtection="1">
      <alignment horizontal="right" vertical="center" wrapText="1"/>
    </xf>
    <xf numFmtId="0" fontId="11" fillId="5" borderId="7" xfId="0" applyFont="1" applyFill="1" applyBorder="1" applyAlignment="1" applyProtection="1">
      <alignment horizontal="center" vertical="center" wrapText="1"/>
    </xf>
    <xf numFmtId="0" fontId="11" fillId="5" borderId="28" xfId="0" applyFont="1" applyFill="1" applyBorder="1" applyAlignment="1" applyProtection="1">
      <alignment horizontal="center" vertical="center" wrapText="1"/>
    </xf>
    <xf numFmtId="0" fontId="11" fillId="5" borderId="7" xfId="0" applyFont="1" applyFill="1" applyBorder="1" applyAlignment="1" applyProtection="1">
      <alignment horizontal="left" vertical="center" wrapText="1"/>
    </xf>
    <xf numFmtId="0" fontId="11" fillId="5" borderId="26" xfId="0" applyFont="1" applyFill="1" applyBorder="1" applyAlignment="1" applyProtection="1">
      <alignment horizontal="center" vertical="center" wrapText="1"/>
    </xf>
    <xf numFmtId="0" fontId="11" fillId="5" borderId="27" xfId="0" applyFont="1" applyFill="1" applyBorder="1" applyAlignment="1" applyProtection="1">
      <alignment horizontal="center" vertical="center" wrapText="1"/>
    </xf>
    <xf numFmtId="0" fontId="11" fillId="5" borderId="6" xfId="0" applyFont="1" applyFill="1" applyBorder="1" applyAlignment="1" applyProtection="1">
      <alignment horizontal="center" vertical="center" wrapText="1"/>
    </xf>
    <xf numFmtId="0" fontId="11" fillId="5" borderId="51" xfId="0" applyFont="1" applyFill="1" applyBorder="1" applyAlignment="1" applyProtection="1">
      <alignment horizontal="center" vertical="center" wrapText="1"/>
    </xf>
    <xf numFmtId="8" fontId="11" fillId="5" borderId="26" xfId="1" applyNumberFormat="1" applyFont="1" applyFill="1" applyBorder="1" applyAlignment="1" applyProtection="1">
      <alignment horizontal="right" vertical="center" wrapText="1"/>
    </xf>
    <xf numFmtId="8" fontId="11" fillId="5" borderId="27" xfId="1" applyNumberFormat="1" applyFont="1" applyFill="1" applyBorder="1" applyAlignment="1" applyProtection="1">
      <alignment horizontal="right" vertical="center" wrapText="1"/>
    </xf>
    <xf numFmtId="8" fontId="11" fillId="5" borderId="7" xfId="1" applyNumberFormat="1" applyFont="1" applyFill="1" applyBorder="1" applyAlignment="1" applyProtection="1">
      <alignment horizontal="right" vertical="center" wrapText="1"/>
    </xf>
    <xf numFmtId="8" fontId="11" fillId="5" borderId="6" xfId="1" applyNumberFormat="1" applyFont="1" applyFill="1" applyBorder="1" applyAlignment="1" applyProtection="1">
      <alignment horizontal="right" vertical="center" wrapText="1"/>
    </xf>
    <xf numFmtId="0" fontId="4" fillId="5" borderId="7" xfId="0" applyFont="1" applyFill="1" applyBorder="1" applyAlignment="1" applyProtection="1">
      <alignment horizontal="center" vertical="center" wrapText="1"/>
    </xf>
    <xf numFmtId="167" fontId="4" fillId="5" borderId="7" xfId="0" applyNumberFormat="1" applyFont="1" applyFill="1" applyBorder="1" applyAlignment="1" applyProtection="1">
      <alignment horizontal="right" vertical="center"/>
    </xf>
    <xf numFmtId="165" fontId="3" fillId="0" borderId="36" xfId="0" applyNumberFormat="1" applyFont="1" applyBorder="1" applyAlignment="1" applyProtection="1">
      <alignment horizontal="right" vertical="center"/>
      <protection locked="0"/>
    </xf>
    <xf numFmtId="168" fontId="4" fillId="0" borderId="29" xfId="0" applyNumberFormat="1" applyFont="1" applyBorder="1" applyAlignment="1" applyProtection="1">
      <alignment horizontal="right" vertical="center"/>
    </xf>
    <xf numFmtId="168" fontId="4" fillId="0" borderId="27" xfId="0" applyNumberFormat="1" applyFont="1" applyBorder="1" applyAlignment="1" applyProtection="1">
      <alignment horizontal="right" vertical="center"/>
    </xf>
    <xf numFmtId="168" fontId="4" fillId="0" borderId="66" xfId="0" applyNumberFormat="1" applyFont="1" applyBorder="1" applyAlignment="1" applyProtection="1">
      <alignment horizontal="right" vertical="center"/>
    </xf>
    <xf numFmtId="0" fontId="3" fillId="0" borderId="12" xfId="0" applyFont="1" applyBorder="1" applyAlignment="1" applyProtection="1">
      <alignment horizontal="left" vertical="center"/>
      <protection locked="0"/>
    </xf>
    <xf numFmtId="0" fontId="3" fillId="0" borderId="14" xfId="0" applyFont="1" applyBorder="1" applyAlignment="1" applyProtection="1">
      <alignment horizontal="left" vertical="center"/>
      <protection locked="0"/>
    </xf>
    <xf numFmtId="0" fontId="3" fillId="0" borderId="56" xfId="0" applyFont="1" applyBorder="1" applyAlignment="1" applyProtection="1">
      <alignment horizontal="left" vertical="center"/>
      <protection locked="0"/>
    </xf>
    <xf numFmtId="164" fontId="4" fillId="5" borderId="6" xfId="0" applyNumberFormat="1" applyFont="1" applyFill="1" applyBorder="1" applyAlignment="1" applyProtection="1">
      <alignment horizontal="left" vertical="center"/>
    </xf>
    <xf numFmtId="0" fontId="7" fillId="0" borderId="0" xfId="0" applyFont="1" applyAlignment="1" applyProtection="1">
      <alignment horizontal="center" vertical="center"/>
    </xf>
    <xf numFmtId="0" fontId="3" fillId="0" borderId="0" xfId="0" applyFont="1" applyBorder="1" applyAlignment="1" applyProtection="1">
      <alignment horizontal="left" vertical="center"/>
    </xf>
    <xf numFmtId="0" fontId="7" fillId="0" borderId="0" xfId="0" applyFont="1" applyAlignment="1" applyProtection="1">
      <alignment horizontal="center" vertical="center"/>
    </xf>
    <xf numFmtId="164" fontId="4" fillId="5" borderId="6" xfId="0" applyNumberFormat="1" applyFont="1" applyFill="1" applyBorder="1" applyAlignment="1" applyProtection="1">
      <alignment horizontal="left" vertical="center"/>
    </xf>
    <xf numFmtId="0" fontId="3" fillId="0" borderId="0" xfId="0" applyFont="1" applyBorder="1" applyAlignment="1" applyProtection="1">
      <alignment horizontal="left" vertical="center"/>
    </xf>
    <xf numFmtId="0" fontId="11" fillId="5" borderId="25" xfId="0" applyFont="1" applyFill="1" applyBorder="1" applyAlignment="1" applyProtection="1">
      <alignment horizontal="center" vertical="center" wrapText="1"/>
    </xf>
    <xf numFmtId="0" fontId="3" fillId="0" borderId="0" xfId="0" applyFont="1" applyAlignment="1" applyProtection="1">
      <alignment horizontal="justify" vertical="center"/>
    </xf>
    <xf numFmtId="0" fontId="4" fillId="0" borderId="0" xfId="0" applyFont="1" applyBorder="1" applyAlignment="1" applyProtection="1">
      <alignment horizontal="right" vertical="center"/>
    </xf>
    <xf numFmtId="0" fontId="3" fillId="0" borderId="0" xfId="0" applyFont="1" applyAlignment="1" applyProtection="1">
      <alignment horizontal="left" vertical="center"/>
    </xf>
    <xf numFmtId="177" fontId="3" fillId="0" borderId="24" xfId="0" applyNumberFormat="1" applyFont="1" applyFill="1" applyBorder="1" applyAlignment="1" applyProtection="1">
      <alignment horizontal="right" vertical="center" wrapText="1"/>
      <protection locked="0"/>
    </xf>
    <xf numFmtId="165" fontId="3" fillId="0" borderId="1" xfId="0" applyNumberFormat="1" applyFont="1" applyFill="1" applyBorder="1" applyAlignment="1" applyProtection="1">
      <alignment horizontal="right" vertical="center" wrapText="1"/>
      <protection locked="0"/>
    </xf>
    <xf numFmtId="165" fontId="3" fillId="0" borderId="33" xfId="0" applyNumberFormat="1" applyFont="1" applyBorder="1" applyAlignment="1" applyProtection="1">
      <alignment horizontal="right" vertical="center"/>
    </xf>
    <xf numFmtId="165" fontId="3" fillId="0" borderId="37" xfId="0" applyNumberFormat="1" applyFont="1" applyBorder="1" applyAlignment="1" applyProtection="1">
      <alignment horizontal="right" vertical="center"/>
    </xf>
    <xf numFmtId="165" fontId="3" fillId="3" borderId="32" xfId="0" applyNumberFormat="1" applyFont="1" applyFill="1" applyBorder="1" applyAlignment="1" applyProtection="1">
      <alignment horizontal="right" vertical="center"/>
    </xf>
    <xf numFmtId="0" fontId="1" fillId="0" borderId="17" xfId="0" applyFont="1" applyBorder="1" applyAlignment="1" applyProtection="1">
      <alignment horizontal="center" vertical="center"/>
    </xf>
    <xf numFmtId="176" fontId="11" fillId="0" borderId="3" xfId="0" applyNumberFormat="1" applyFont="1" applyBorder="1" applyAlignment="1" applyProtection="1">
      <alignment vertical="center" wrapText="1"/>
    </xf>
    <xf numFmtId="8" fontId="10" fillId="0" borderId="14" xfId="1" applyNumberFormat="1" applyFont="1" applyBorder="1" applyAlignment="1" applyProtection="1">
      <alignment horizontal="right" vertical="center" wrapText="1"/>
    </xf>
    <xf numFmtId="8" fontId="10" fillId="0" borderId="62" xfId="1" applyNumberFormat="1" applyFont="1" applyBorder="1" applyAlignment="1" applyProtection="1">
      <alignment horizontal="right" vertical="center" wrapText="1"/>
    </xf>
    <xf numFmtId="0" fontId="1" fillId="0" borderId="14" xfId="0" applyFont="1" applyBorder="1" applyAlignment="1" applyProtection="1">
      <alignment horizontal="center" vertical="center"/>
    </xf>
    <xf numFmtId="176" fontId="11" fillId="0" borderId="5" xfId="0" applyNumberFormat="1" applyFont="1" applyBorder="1" applyAlignment="1" applyProtection="1">
      <alignment vertical="center" wrapText="1"/>
    </xf>
    <xf numFmtId="178" fontId="10" fillId="0" borderId="12" xfId="1" applyNumberFormat="1" applyFont="1" applyBorder="1" applyAlignment="1" applyProtection="1">
      <alignment horizontal="right" vertical="center" wrapText="1"/>
    </xf>
    <xf numFmtId="0" fontId="1" fillId="0" borderId="12" xfId="0" applyFont="1" applyBorder="1" applyAlignment="1" applyProtection="1">
      <alignment horizontal="center" vertical="center"/>
    </xf>
    <xf numFmtId="176" fontId="11" fillId="0" borderId="4" xfId="0" applyNumberFormat="1" applyFont="1" applyBorder="1" applyAlignment="1" applyProtection="1">
      <alignment vertical="center" wrapText="1"/>
    </xf>
    <xf numFmtId="8" fontId="10" fillId="0" borderId="12" xfId="1" applyNumberFormat="1" applyFont="1" applyBorder="1" applyAlignment="1" applyProtection="1">
      <alignment horizontal="right" vertical="center" wrapText="1"/>
    </xf>
    <xf numFmtId="8" fontId="10" fillId="0" borderId="38" xfId="1" applyNumberFormat="1" applyFont="1" applyBorder="1" applyAlignment="1" applyProtection="1">
      <alignment horizontal="right" vertical="center" wrapText="1"/>
    </xf>
    <xf numFmtId="178" fontId="10" fillId="0" borderId="15" xfId="1" applyNumberFormat="1" applyFont="1" applyBorder="1" applyAlignment="1" applyProtection="1">
      <alignment horizontal="right" vertical="center" wrapText="1"/>
    </xf>
    <xf numFmtId="178" fontId="10" fillId="5" borderId="7" xfId="1" applyNumberFormat="1" applyFont="1" applyFill="1" applyBorder="1" applyAlignment="1" applyProtection="1">
      <alignment horizontal="right" vertical="center" wrapText="1"/>
    </xf>
    <xf numFmtId="0" fontId="3" fillId="0" borderId="17" xfId="0" applyNumberFormat="1" applyFont="1" applyBorder="1" applyAlignment="1" applyProtection="1">
      <alignment horizontal="center" vertical="center"/>
      <protection locked="0"/>
    </xf>
    <xf numFmtId="0" fontId="3" fillId="0" borderId="12" xfId="0" applyFont="1" applyBorder="1" applyAlignment="1" applyProtection="1">
      <alignment horizontal="center" vertical="center"/>
      <protection locked="0"/>
    </xf>
    <xf numFmtId="170" fontId="8" fillId="0" borderId="21" xfId="0" applyNumberFormat="1" applyFont="1" applyFill="1" applyBorder="1" applyAlignment="1" applyProtection="1">
      <alignment horizontal="left" vertical="center" wrapText="1"/>
      <protection locked="0"/>
    </xf>
    <xf numFmtId="14" fontId="3" fillId="0" borderId="1" xfId="0" applyNumberFormat="1" applyFont="1" applyFill="1" applyBorder="1" applyAlignment="1" applyProtection="1">
      <alignment horizontal="center" vertical="center"/>
      <protection locked="0"/>
    </xf>
    <xf numFmtId="165" fontId="3" fillId="0" borderId="14" xfId="0" applyNumberFormat="1" applyFont="1" applyFill="1" applyBorder="1" applyAlignment="1" applyProtection="1">
      <alignment horizontal="right" vertical="center"/>
      <protection locked="0"/>
    </xf>
    <xf numFmtId="0" fontId="3" fillId="0" borderId="1" xfId="0" applyFont="1" applyFill="1" applyBorder="1" applyAlignment="1" applyProtection="1">
      <alignment horizontal="left" vertical="center" wrapText="1"/>
      <protection locked="0"/>
    </xf>
    <xf numFmtId="0" fontId="3" fillId="0" borderId="0" xfId="0" applyFont="1" applyAlignment="1" applyProtection="1">
      <alignment vertical="center" wrapText="1"/>
    </xf>
    <xf numFmtId="0" fontId="7" fillId="0" borderId="0" xfId="0" applyFont="1" applyAlignment="1" applyProtection="1">
      <alignment horizontal="center" vertical="center"/>
    </xf>
    <xf numFmtId="44" fontId="3" fillId="0" borderId="1" xfId="14" applyFont="1" applyBorder="1" applyAlignment="1" applyProtection="1">
      <alignment vertical="center"/>
      <protection locked="0"/>
    </xf>
    <xf numFmtId="0" fontId="3" fillId="0" borderId="1" xfId="0" applyFont="1" applyFill="1" applyBorder="1" applyAlignment="1" applyProtection="1">
      <alignment horizontal="center" vertical="center" wrapText="1"/>
      <protection locked="0"/>
    </xf>
    <xf numFmtId="0" fontId="5" fillId="0" borderId="0" xfId="0" applyFont="1" applyAlignment="1" applyProtection="1">
      <alignment horizontal="center" vertical="center"/>
    </xf>
    <xf numFmtId="176" fontId="3" fillId="0" borderId="4" xfId="0" applyNumberFormat="1" applyFont="1" applyFill="1" applyBorder="1" applyAlignment="1" applyProtection="1">
      <alignment horizontal="center" vertical="center"/>
      <protection locked="0"/>
    </xf>
    <xf numFmtId="165" fontId="3" fillId="0" borderId="1" xfId="0" applyNumberFormat="1" applyFont="1" applyFill="1" applyBorder="1" applyAlignment="1" applyProtection="1">
      <alignment vertical="center"/>
      <protection locked="0"/>
    </xf>
    <xf numFmtId="0" fontId="3" fillId="0" borderId="5" xfId="0" applyNumberFormat="1" applyFont="1" applyBorder="1" applyAlignment="1" applyProtection="1">
      <alignment horizontal="center" vertical="center"/>
      <protection locked="0"/>
    </xf>
    <xf numFmtId="0" fontId="4" fillId="5" borderId="6" xfId="0" applyFont="1" applyFill="1" applyBorder="1" applyAlignment="1" applyProtection="1">
      <alignment horizontal="left" vertical="center"/>
    </xf>
    <xf numFmtId="0" fontId="4" fillId="5" borderId="28" xfId="0" applyFont="1" applyFill="1" applyBorder="1" applyAlignment="1" applyProtection="1">
      <alignment horizontal="left" vertical="center"/>
    </xf>
    <xf numFmtId="0" fontId="3" fillId="0" borderId="20" xfId="0" applyFont="1" applyBorder="1" applyAlignment="1" applyProtection="1">
      <alignment horizontal="left" vertical="center"/>
      <protection locked="0"/>
    </xf>
    <xf numFmtId="0" fontId="3" fillId="0" borderId="22" xfId="0" applyFont="1" applyBorder="1" applyAlignment="1" applyProtection="1">
      <alignment horizontal="left" vertical="center"/>
      <protection locked="0"/>
    </xf>
    <xf numFmtId="0" fontId="3" fillId="0" borderId="21" xfId="0" applyFont="1" applyBorder="1" applyAlignment="1" applyProtection="1">
      <alignment horizontal="left" vertical="center"/>
      <protection locked="0"/>
    </xf>
    <xf numFmtId="0" fontId="4" fillId="5" borderId="54" xfId="0" applyFont="1" applyFill="1" applyBorder="1" applyAlignment="1" applyProtection="1">
      <alignment horizontal="left" vertical="center"/>
    </xf>
    <xf numFmtId="0" fontId="4" fillId="5" borderId="52" xfId="0" applyFont="1" applyFill="1" applyBorder="1" applyAlignment="1" applyProtection="1">
      <alignment horizontal="left" vertical="center"/>
    </xf>
    <xf numFmtId="0" fontId="4" fillId="5" borderId="55" xfId="0" applyFont="1" applyFill="1" applyBorder="1" applyAlignment="1" applyProtection="1">
      <alignment horizontal="left" vertical="center"/>
    </xf>
    <xf numFmtId="0" fontId="4" fillId="5" borderId="53" xfId="0" applyFont="1" applyFill="1" applyBorder="1" applyAlignment="1" applyProtection="1">
      <alignment horizontal="left" vertical="center"/>
    </xf>
    <xf numFmtId="0" fontId="3" fillId="0" borderId="64" xfId="0" applyFont="1" applyBorder="1" applyAlignment="1" applyProtection="1">
      <alignment horizontal="left" vertical="top" wrapText="1"/>
      <protection locked="0"/>
    </xf>
    <xf numFmtId="0" fontId="3" fillId="0" borderId="63" xfId="0" applyFont="1" applyBorder="1" applyAlignment="1" applyProtection="1">
      <alignment horizontal="left" vertical="top" wrapText="1"/>
      <protection locked="0"/>
    </xf>
    <xf numFmtId="0" fontId="3" fillId="0" borderId="65" xfId="0" applyFont="1" applyBorder="1" applyAlignment="1" applyProtection="1">
      <alignment horizontal="left" vertical="top" wrapText="1"/>
      <protection locked="0"/>
    </xf>
    <xf numFmtId="0" fontId="3" fillId="0" borderId="19" xfId="0" applyFont="1" applyBorder="1" applyAlignment="1" applyProtection="1">
      <alignment horizontal="left" vertical="top" wrapText="1"/>
      <protection locked="0"/>
    </xf>
    <xf numFmtId="0" fontId="3" fillId="0" borderId="16" xfId="0" applyFont="1" applyBorder="1" applyAlignment="1" applyProtection="1">
      <alignment horizontal="left" vertical="top" wrapText="1"/>
      <protection locked="0"/>
    </xf>
    <xf numFmtId="0" fontId="3" fillId="0" borderId="35" xfId="0" applyFont="1" applyBorder="1" applyAlignment="1" applyProtection="1">
      <alignment horizontal="left" vertical="top" wrapText="1"/>
      <protection locked="0"/>
    </xf>
    <xf numFmtId="0" fontId="4" fillId="5" borderId="7" xfId="0" applyNumberFormat="1" applyFont="1" applyFill="1" applyBorder="1" applyAlignment="1" applyProtection="1">
      <alignment horizontal="center" vertical="center"/>
    </xf>
    <xf numFmtId="0" fontId="4" fillId="5" borderId="7" xfId="0" applyFont="1" applyFill="1" applyBorder="1" applyAlignment="1" applyProtection="1">
      <alignment horizontal="center" vertical="center"/>
    </xf>
    <xf numFmtId="164" fontId="4" fillId="5" borderId="34" xfId="0" applyNumberFormat="1" applyFont="1" applyFill="1" applyBorder="1" applyAlignment="1" applyProtection="1">
      <alignment horizontal="left" vertical="center"/>
    </xf>
    <xf numFmtId="164" fontId="4" fillId="5" borderId="3" xfId="0" applyNumberFormat="1" applyFont="1" applyFill="1" applyBorder="1" applyAlignment="1" applyProtection="1">
      <alignment horizontal="left" vertical="center"/>
    </xf>
    <xf numFmtId="164" fontId="4" fillId="5" borderId="49" xfId="0" applyNumberFormat="1" applyFont="1" applyFill="1" applyBorder="1" applyAlignment="1" applyProtection="1">
      <alignment horizontal="left" vertical="center"/>
    </xf>
    <xf numFmtId="164" fontId="4" fillId="5" borderId="50" xfId="0" applyNumberFormat="1" applyFont="1" applyFill="1" applyBorder="1" applyAlignment="1" applyProtection="1">
      <alignment horizontal="left" vertical="center"/>
    </xf>
    <xf numFmtId="0" fontId="4" fillId="5" borderId="51" xfId="0" applyFont="1" applyFill="1" applyBorder="1" applyAlignment="1" applyProtection="1">
      <alignment horizontal="center" vertical="center" wrapText="1"/>
    </xf>
    <xf numFmtId="0" fontId="4" fillId="5" borderId="18" xfId="0" applyFont="1" applyFill="1" applyBorder="1" applyAlignment="1" applyProtection="1">
      <alignment horizontal="center" vertical="center" wrapText="1"/>
    </xf>
    <xf numFmtId="0" fontId="4" fillId="5" borderId="52" xfId="0" applyFont="1" applyFill="1" applyBorder="1" applyAlignment="1" applyProtection="1">
      <alignment horizontal="center" vertical="center" wrapText="1"/>
    </xf>
    <xf numFmtId="0" fontId="4" fillId="5" borderId="53" xfId="0" applyFont="1" applyFill="1" applyBorder="1" applyAlignment="1" applyProtection="1">
      <alignment horizontal="center" vertical="center" wrapText="1"/>
    </xf>
    <xf numFmtId="164" fontId="4" fillId="5" borderId="6" xfId="0" applyNumberFormat="1" applyFont="1" applyFill="1" applyBorder="1" applyAlignment="1" applyProtection="1">
      <alignment horizontal="left" vertical="center" wrapText="1"/>
    </xf>
    <xf numFmtId="164" fontId="4" fillId="5" borderId="25" xfId="0" applyNumberFormat="1" applyFont="1" applyFill="1" applyBorder="1" applyAlignment="1" applyProtection="1">
      <alignment horizontal="left" vertical="center" wrapText="1"/>
    </xf>
    <xf numFmtId="164" fontId="4" fillId="5" borderId="28" xfId="0" applyNumberFormat="1" applyFont="1" applyFill="1" applyBorder="1" applyAlignment="1" applyProtection="1">
      <alignment horizontal="left" vertical="center" wrapText="1"/>
    </xf>
    <xf numFmtId="0" fontId="4" fillId="0" borderId="0" xfId="0" applyFont="1" applyAlignment="1" applyProtection="1">
      <alignment horizontal="left" vertical="center" wrapText="1"/>
    </xf>
    <xf numFmtId="0" fontId="4" fillId="5" borderId="6" xfId="0" applyFont="1" applyFill="1" applyBorder="1" applyAlignment="1" applyProtection="1">
      <alignment horizontal="center" vertical="center"/>
    </xf>
    <xf numFmtId="0" fontId="4" fillId="5" borderId="25" xfId="0" applyFont="1" applyFill="1" applyBorder="1" applyAlignment="1" applyProtection="1">
      <alignment horizontal="center" vertical="center"/>
    </xf>
    <xf numFmtId="0" fontId="4" fillId="5" borderId="28" xfId="0" applyFont="1" applyFill="1" applyBorder="1" applyAlignment="1" applyProtection="1">
      <alignment horizontal="center" vertical="center"/>
    </xf>
    <xf numFmtId="0" fontId="4" fillId="5" borderId="54" xfId="0" applyFont="1" applyFill="1" applyBorder="1" applyAlignment="1" applyProtection="1">
      <alignment horizontal="center" vertical="center" wrapText="1"/>
    </xf>
    <xf numFmtId="0" fontId="4" fillId="5" borderId="55" xfId="0" applyFont="1" applyFill="1" applyBorder="1" applyAlignment="1" applyProtection="1">
      <alignment horizontal="center" vertical="center" wrapText="1"/>
    </xf>
    <xf numFmtId="164" fontId="4" fillId="5" borderId="6" xfId="0" applyNumberFormat="1" applyFont="1" applyFill="1" applyBorder="1" applyAlignment="1" applyProtection="1">
      <alignment horizontal="left" vertical="center"/>
    </xf>
    <xf numFmtId="164" fontId="4" fillId="5" borderId="28" xfId="0" applyNumberFormat="1" applyFont="1" applyFill="1" applyBorder="1" applyAlignment="1" applyProtection="1">
      <alignment horizontal="left" vertical="center"/>
    </xf>
    <xf numFmtId="0" fontId="7" fillId="0" borderId="0" xfId="0" applyFont="1" applyAlignment="1" applyProtection="1">
      <alignment horizontal="center" vertical="center"/>
    </xf>
    <xf numFmtId="0" fontId="20" fillId="0" borderId="0" xfId="0" applyFont="1" applyBorder="1" applyAlignment="1" applyProtection="1">
      <alignment horizontal="left" vertical="center" wrapText="1"/>
    </xf>
    <xf numFmtId="0" fontId="4" fillId="5" borderId="54" xfId="13" applyFont="1" applyFill="1" applyBorder="1" applyAlignment="1" applyProtection="1">
      <alignment horizontal="center" vertical="center" wrapText="1"/>
    </xf>
    <xf numFmtId="0" fontId="4" fillId="5" borderId="55" xfId="13" applyFont="1" applyFill="1" applyBorder="1" applyAlignment="1" applyProtection="1">
      <alignment horizontal="center" vertical="center" wrapText="1"/>
    </xf>
    <xf numFmtId="0" fontId="3" fillId="0" borderId="0" xfId="0" applyFont="1" applyBorder="1" applyAlignment="1" applyProtection="1">
      <alignment horizontal="left" vertical="center"/>
    </xf>
    <xf numFmtId="0" fontId="11" fillId="5" borderId="1" xfId="0" applyFont="1" applyFill="1" applyBorder="1" applyAlignment="1" applyProtection="1">
      <alignment vertical="center" wrapText="1"/>
    </xf>
    <xf numFmtId="0" fontId="14" fillId="0" borderId="0" xfId="0" applyFont="1" applyAlignment="1" applyProtection="1">
      <alignment horizontal="left"/>
    </xf>
    <xf numFmtId="0" fontId="6" fillId="0" borderId="1" xfId="0" applyFont="1" applyBorder="1" applyAlignment="1" applyProtection="1">
      <alignment vertical="center" wrapText="1"/>
    </xf>
    <xf numFmtId="0" fontId="4" fillId="5" borderId="20" xfId="0" applyFont="1" applyFill="1" applyBorder="1" applyAlignment="1" applyProtection="1">
      <alignment vertical="center" wrapText="1"/>
    </xf>
    <xf numFmtId="0" fontId="4" fillId="5" borderId="22" xfId="0" applyFont="1" applyFill="1" applyBorder="1" applyAlignment="1" applyProtection="1">
      <alignment vertical="center" wrapText="1"/>
    </xf>
    <xf numFmtId="0" fontId="0" fillId="5" borderId="22" xfId="0" applyFill="1" applyBorder="1" applyAlignment="1" applyProtection="1">
      <alignment vertical="center"/>
    </xf>
    <xf numFmtId="0" fontId="0" fillId="5" borderId="21" xfId="0" applyFill="1" applyBorder="1" applyAlignment="1" applyProtection="1">
      <alignment vertical="center"/>
    </xf>
    <xf numFmtId="0" fontId="4" fillId="0" borderId="0" xfId="0" applyFont="1" applyAlignment="1" applyProtection="1">
      <alignment horizontal="center" vertical="center" wrapText="1"/>
    </xf>
    <xf numFmtId="0" fontId="4" fillId="5" borderId="1" xfId="0" applyFont="1" applyFill="1" applyBorder="1" applyAlignment="1" applyProtection="1">
      <alignment vertical="center" wrapText="1"/>
    </xf>
    <xf numFmtId="0" fontId="0" fillId="5" borderId="1" xfId="0" applyFill="1" applyBorder="1" applyAlignment="1" applyProtection="1">
      <alignment vertical="center"/>
    </xf>
    <xf numFmtId="0" fontId="7" fillId="0" borderId="0" xfId="0" applyFont="1" applyAlignment="1" applyProtection="1">
      <alignment horizontal="left" vertical="center"/>
    </xf>
    <xf numFmtId="0" fontId="11" fillId="5" borderId="51" xfId="0" applyFont="1" applyFill="1" applyBorder="1" applyAlignment="1" applyProtection="1">
      <alignment horizontal="center" vertical="center"/>
    </xf>
    <xf numFmtId="0" fontId="11" fillId="5" borderId="56" xfId="0" applyFont="1" applyFill="1" applyBorder="1" applyAlignment="1" applyProtection="1">
      <alignment horizontal="center" vertical="center"/>
    </xf>
    <xf numFmtId="0" fontId="11" fillId="5" borderId="6" xfId="0" applyFont="1" applyFill="1" applyBorder="1" applyAlignment="1" applyProtection="1">
      <alignment horizontal="left" vertical="center" wrapText="1"/>
    </xf>
    <xf numFmtId="0" fontId="11" fillId="5" borderId="25" xfId="0" applyFont="1" applyFill="1" applyBorder="1" applyAlignment="1" applyProtection="1">
      <alignment horizontal="left" vertical="center" wrapText="1"/>
    </xf>
    <xf numFmtId="0" fontId="11" fillId="5" borderId="54" xfId="0" applyFont="1" applyFill="1" applyBorder="1" applyAlignment="1" applyProtection="1">
      <alignment horizontal="center" vertical="center" wrapText="1"/>
    </xf>
    <xf numFmtId="0" fontId="11" fillId="5" borderId="57" xfId="0" applyFont="1" applyFill="1" applyBorder="1" applyAlignment="1" applyProtection="1">
      <alignment horizontal="center" vertical="center" wrapText="1"/>
    </xf>
    <xf numFmtId="0" fontId="11" fillId="5" borderId="52" xfId="0" applyFont="1" applyFill="1" applyBorder="1" applyAlignment="1" applyProtection="1">
      <alignment horizontal="center" vertical="center" wrapText="1"/>
    </xf>
    <xf numFmtId="0" fontId="11" fillId="5" borderId="25" xfId="0" applyFont="1" applyFill="1" applyBorder="1" applyAlignment="1" applyProtection="1">
      <alignment horizontal="center" vertical="center" wrapText="1"/>
    </xf>
    <xf numFmtId="0" fontId="8" fillId="0" borderId="6" xfId="0" applyFont="1" applyFill="1" applyBorder="1" applyAlignment="1" applyProtection="1">
      <alignment horizontal="center" vertical="center" wrapText="1"/>
    </xf>
    <xf numFmtId="0" fontId="8" fillId="0" borderId="28" xfId="0" applyFont="1" applyFill="1" applyBorder="1" applyAlignment="1">
      <alignment horizontal="center" vertical="center" wrapText="1"/>
    </xf>
    <xf numFmtId="175" fontId="8" fillId="0" borderId="24" xfId="0" applyNumberFormat="1" applyFont="1" applyFill="1" applyBorder="1" applyAlignment="1" applyProtection="1">
      <alignment horizontal="center" vertical="center"/>
      <protection locked="0"/>
    </xf>
    <xf numFmtId="175" fontId="8" fillId="0" borderId="45" xfId="0" applyNumberFormat="1" applyFont="1" applyFill="1" applyBorder="1" applyAlignment="1" applyProtection="1">
      <alignment horizontal="center" vertical="center"/>
      <protection locked="0"/>
    </xf>
    <xf numFmtId="174" fontId="8" fillId="0" borderId="38" xfId="0" applyNumberFormat="1" applyFont="1" applyBorder="1" applyAlignment="1" applyProtection="1">
      <alignment horizontal="center" vertical="center"/>
      <protection locked="0"/>
    </xf>
    <xf numFmtId="174" fontId="8" fillId="0" borderId="4" xfId="0" applyNumberFormat="1" applyFont="1" applyBorder="1" applyAlignment="1" applyProtection="1">
      <alignment horizontal="center" vertical="center"/>
      <protection locked="0"/>
    </xf>
    <xf numFmtId="0" fontId="0" fillId="5" borderId="25" xfId="0" applyFill="1" applyBorder="1" applyAlignment="1" applyProtection="1">
      <alignment vertical="center"/>
    </xf>
    <xf numFmtId="0" fontId="0" fillId="5" borderId="28" xfId="0" applyFill="1" applyBorder="1" applyAlignment="1" applyProtection="1">
      <alignment vertical="center"/>
    </xf>
    <xf numFmtId="0" fontId="4" fillId="5" borderId="6" xfId="0" applyFont="1" applyFill="1" applyBorder="1" applyAlignment="1" applyProtection="1">
      <alignment horizontal="left" vertical="center" wrapText="1"/>
    </xf>
    <xf numFmtId="0" fontId="0" fillId="5" borderId="25" xfId="0" applyFill="1" applyBorder="1" applyAlignment="1" applyProtection="1">
      <alignment horizontal="left" vertical="center" wrapText="1"/>
    </xf>
    <xf numFmtId="0" fontId="0" fillId="5" borderId="28" xfId="0" applyFill="1" applyBorder="1" applyAlignment="1" applyProtection="1">
      <alignment horizontal="left" vertical="center" wrapText="1"/>
    </xf>
    <xf numFmtId="173" fontId="8" fillId="0" borderId="38" xfId="0" applyNumberFormat="1" applyFont="1" applyBorder="1" applyAlignment="1" applyProtection="1">
      <alignment horizontal="center" vertical="center"/>
      <protection locked="0"/>
    </xf>
    <xf numFmtId="173" fontId="8" fillId="0" borderId="4" xfId="0" applyNumberFormat="1" applyFont="1" applyBorder="1" applyAlignment="1" applyProtection="1">
      <alignment horizontal="center" vertical="center"/>
      <protection locked="0"/>
    </xf>
    <xf numFmtId="0" fontId="4" fillId="5" borderId="7" xfId="0" applyFont="1" applyFill="1" applyBorder="1" applyAlignment="1" applyProtection="1">
      <alignment horizontal="center" vertical="center" wrapText="1"/>
    </xf>
    <xf numFmtId="0" fontId="0" fillId="5" borderId="7" xfId="0" applyFill="1" applyBorder="1" applyAlignment="1" applyProtection="1">
      <alignment horizontal="center" vertical="center" wrapText="1"/>
    </xf>
    <xf numFmtId="0" fontId="3" fillId="0" borderId="38" xfId="0" applyFont="1" applyBorder="1" applyAlignment="1" applyProtection="1">
      <alignment horizontal="left" vertical="center"/>
      <protection locked="0"/>
    </xf>
    <xf numFmtId="0" fontId="3" fillId="0" borderId="4" xfId="0" applyFont="1" applyBorder="1" applyAlignment="1" applyProtection="1">
      <alignment horizontal="left" vertical="center"/>
      <protection locked="0"/>
    </xf>
    <xf numFmtId="0" fontId="4" fillId="0" borderId="7" xfId="0" applyFont="1" applyFill="1" applyBorder="1" applyAlignment="1" applyProtection="1">
      <alignment horizontal="center" vertical="center" wrapText="1"/>
    </xf>
    <xf numFmtId="0" fontId="0" fillId="0" borderId="7" xfId="0" applyFill="1" applyBorder="1" applyAlignment="1" applyProtection="1">
      <alignment horizontal="center" vertical="center" wrapText="1"/>
    </xf>
    <xf numFmtId="0" fontId="0" fillId="0" borderId="7" xfId="0" applyBorder="1" applyAlignment="1" applyProtection="1">
      <alignment horizontal="center" vertical="center" wrapText="1"/>
    </xf>
    <xf numFmtId="0" fontId="4" fillId="5" borderId="25" xfId="0" applyFont="1" applyFill="1" applyBorder="1" applyAlignment="1" applyProtection="1">
      <alignment horizontal="left" vertical="center" wrapText="1"/>
    </xf>
    <xf numFmtId="0" fontId="4" fillId="5" borderId="28" xfId="0" applyFont="1" applyFill="1" applyBorder="1" applyAlignment="1" applyProtection="1">
      <alignment horizontal="left" vertical="center" wrapText="1"/>
    </xf>
    <xf numFmtId="0" fontId="3" fillId="0" borderId="49" xfId="0" applyFont="1" applyBorder="1" applyAlignment="1" applyProtection="1">
      <alignment horizontal="left" vertical="center"/>
      <protection locked="0"/>
    </xf>
    <xf numFmtId="0" fontId="3" fillId="0" borderId="61" xfId="0" applyFont="1" applyBorder="1" applyAlignment="1" applyProtection="1">
      <alignment horizontal="left" vertical="center"/>
      <protection locked="0"/>
    </xf>
    <xf numFmtId="0" fontId="3" fillId="0" borderId="50" xfId="0" applyFont="1" applyBorder="1" applyAlignment="1" applyProtection="1">
      <alignment horizontal="left" vertical="center"/>
      <protection locked="0"/>
    </xf>
    <xf numFmtId="173" fontId="8" fillId="0" borderId="58" xfId="0" applyNumberFormat="1" applyFont="1" applyBorder="1" applyAlignment="1" applyProtection="1">
      <alignment horizontal="center" vertical="center"/>
      <protection locked="0"/>
    </xf>
    <xf numFmtId="173" fontId="8" fillId="0" borderId="48" xfId="0" applyNumberFormat="1" applyFont="1" applyBorder="1" applyAlignment="1" applyProtection="1">
      <alignment horizontal="center" vertical="center"/>
      <protection locked="0"/>
    </xf>
    <xf numFmtId="170" fontId="7" fillId="2" borderId="55" xfId="0" applyNumberFormat="1" applyFont="1" applyFill="1" applyBorder="1" applyAlignment="1" applyProtection="1">
      <alignment horizontal="left" vertical="center"/>
    </xf>
    <xf numFmtId="170" fontId="7" fillId="2" borderId="59" xfId="0" applyNumberFormat="1" applyFont="1" applyFill="1" applyBorder="1" applyAlignment="1" applyProtection="1">
      <alignment horizontal="left" vertical="center"/>
    </xf>
    <xf numFmtId="170" fontId="7" fillId="2" borderId="25" xfId="0" applyNumberFormat="1" applyFont="1" applyFill="1" applyBorder="1" applyAlignment="1" applyProtection="1">
      <alignment horizontal="left" vertical="center"/>
    </xf>
    <xf numFmtId="170" fontId="7" fillId="2" borderId="28" xfId="0" applyNumberFormat="1" applyFont="1" applyFill="1" applyBorder="1" applyAlignment="1" applyProtection="1">
      <alignment horizontal="left" vertical="center"/>
    </xf>
    <xf numFmtId="0" fontId="7" fillId="5" borderId="51" xfId="0" applyFont="1" applyFill="1" applyBorder="1" applyAlignment="1" applyProtection="1">
      <alignment horizontal="center" vertical="center" wrapText="1"/>
    </xf>
    <xf numFmtId="0" fontId="7" fillId="5" borderId="18" xfId="0" applyFont="1" applyFill="1" applyBorder="1" applyAlignment="1" applyProtection="1">
      <alignment horizontal="center" vertical="center" wrapText="1"/>
    </xf>
    <xf numFmtId="0" fontId="4" fillId="5" borderId="25" xfId="0" applyFont="1" applyFill="1" applyBorder="1" applyAlignment="1" applyProtection="1">
      <alignment horizontal="left" vertical="center"/>
    </xf>
    <xf numFmtId="0" fontId="4" fillId="5" borderId="57" xfId="0" applyFont="1" applyFill="1" applyBorder="1" applyAlignment="1" applyProtection="1">
      <alignment horizontal="center" vertical="center" wrapText="1"/>
    </xf>
    <xf numFmtId="0" fontId="4" fillId="5" borderId="59" xfId="0" applyFont="1" applyFill="1" applyBorder="1" applyAlignment="1" applyProtection="1">
      <alignment horizontal="center" vertical="center" wrapText="1"/>
    </xf>
    <xf numFmtId="0" fontId="3" fillId="0" borderId="34" xfId="0" applyFont="1" applyBorder="1" applyAlignment="1" applyProtection="1">
      <alignment horizontal="left" vertical="center"/>
      <protection locked="0"/>
    </xf>
    <xf numFmtId="0" fontId="3" fillId="0" borderId="60" xfId="0" applyFont="1" applyBorder="1" applyAlignment="1" applyProtection="1">
      <alignment horizontal="left" vertical="center"/>
      <protection locked="0"/>
    </xf>
    <xf numFmtId="0" fontId="3" fillId="0" borderId="3" xfId="0" applyFont="1" applyBorder="1" applyAlignment="1" applyProtection="1">
      <alignment horizontal="left" vertical="center"/>
      <protection locked="0"/>
    </xf>
    <xf numFmtId="0" fontId="0" fillId="5" borderId="25" xfId="0" applyFill="1" applyBorder="1" applyAlignment="1" applyProtection="1">
      <alignment horizontal="left" vertical="center"/>
    </xf>
    <xf numFmtId="0" fontId="0" fillId="5" borderId="57" xfId="0" applyFill="1" applyBorder="1" applyAlignment="1" applyProtection="1">
      <alignment horizontal="left" vertical="center"/>
    </xf>
    <xf numFmtId="0" fontId="0" fillId="5" borderId="28" xfId="0" applyFill="1" applyBorder="1" applyAlignment="1" applyProtection="1">
      <alignment horizontal="left" vertical="center"/>
    </xf>
    <xf numFmtId="174" fontId="8" fillId="0" borderId="54" xfId="0" applyNumberFormat="1" applyFont="1" applyBorder="1" applyAlignment="1" applyProtection="1">
      <alignment horizontal="center" vertical="center"/>
      <protection locked="0"/>
    </xf>
    <xf numFmtId="174" fontId="8" fillId="0" borderId="52" xfId="0" applyNumberFormat="1" applyFont="1" applyBorder="1" applyAlignment="1" applyProtection="1">
      <alignment horizontal="center" vertical="center"/>
      <protection locked="0"/>
    </xf>
    <xf numFmtId="171" fontId="8" fillId="0" borderId="38" xfId="0" applyNumberFormat="1" applyFont="1" applyBorder="1" applyAlignment="1" applyProtection="1">
      <alignment horizontal="center" vertical="center"/>
      <protection locked="0"/>
    </xf>
    <xf numFmtId="171" fontId="8" fillId="0" borderId="4" xfId="0" applyNumberFormat="1" applyFont="1" applyBorder="1" applyAlignment="1" applyProtection="1">
      <alignment horizontal="center" vertical="center"/>
      <protection locked="0"/>
    </xf>
    <xf numFmtId="172" fontId="8" fillId="0" borderId="58" xfId="0" applyNumberFormat="1" applyFont="1" applyBorder="1" applyAlignment="1" applyProtection="1">
      <alignment horizontal="center" vertical="center"/>
      <protection locked="0"/>
    </xf>
    <xf numFmtId="172" fontId="8" fillId="0" borderId="48" xfId="0" applyNumberFormat="1" applyFont="1" applyBorder="1" applyAlignment="1" applyProtection="1">
      <alignment horizontal="center" vertical="center"/>
      <protection locked="0"/>
    </xf>
    <xf numFmtId="0" fontId="4" fillId="0" borderId="6" xfId="0" applyFont="1" applyFill="1" applyBorder="1" applyAlignment="1" applyProtection="1">
      <alignment horizontal="center" vertical="center" wrapText="1"/>
    </xf>
    <xf numFmtId="0" fontId="0" fillId="0" borderId="25" xfId="0" applyBorder="1" applyAlignment="1" applyProtection="1">
      <alignment horizontal="center" vertical="center" wrapText="1"/>
    </xf>
    <xf numFmtId="0" fontId="0" fillId="0" borderId="28" xfId="0" applyBorder="1" applyAlignment="1" applyProtection="1">
      <alignment horizontal="center" vertical="center" wrapText="1"/>
    </xf>
    <xf numFmtId="171" fontId="8" fillId="0" borderId="62" xfId="0" applyNumberFormat="1" applyFont="1" applyBorder="1" applyAlignment="1" applyProtection="1">
      <alignment horizontal="center" vertical="center"/>
      <protection locked="0"/>
    </xf>
    <xf numFmtId="171" fontId="8" fillId="0" borderId="5" xfId="0" applyNumberFormat="1" applyFont="1" applyBorder="1" applyAlignment="1" applyProtection="1">
      <alignment horizontal="center" vertical="center"/>
      <protection locked="0"/>
    </xf>
    <xf numFmtId="0" fontId="4" fillId="5" borderId="7" xfId="0" applyFont="1" applyFill="1" applyBorder="1" applyAlignment="1" applyProtection="1">
      <alignment horizontal="left" vertical="center" wrapText="1"/>
    </xf>
    <xf numFmtId="0" fontId="0" fillId="5" borderId="7" xfId="0" applyFill="1" applyBorder="1" applyAlignment="1" applyProtection="1">
      <alignment horizontal="left" vertical="center" wrapText="1"/>
    </xf>
    <xf numFmtId="0" fontId="0" fillId="0" borderId="25" xfId="0" applyFill="1" applyBorder="1" applyAlignment="1" applyProtection="1">
      <alignment horizontal="center" vertical="center" wrapText="1"/>
    </xf>
    <xf numFmtId="172" fontId="8" fillId="0" borderId="38" xfId="0" applyNumberFormat="1" applyFont="1" applyBorder="1" applyAlignment="1" applyProtection="1">
      <alignment horizontal="center" vertical="center"/>
      <protection locked="0"/>
    </xf>
    <xf numFmtId="172" fontId="8" fillId="0" borderId="4" xfId="0" applyNumberFormat="1" applyFont="1" applyBorder="1" applyAlignment="1" applyProtection="1">
      <alignment horizontal="center" vertical="center"/>
      <protection locked="0"/>
    </xf>
  </cellXfs>
  <cellStyles count="15">
    <cellStyle name="Euro" xfId="1"/>
    <cellStyle name="Euro 10" xfId="2"/>
    <cellStyle name="Euro 11" xfId="3"/>
    <cellStyle name="Euro 12" xfId="4"/>
    <cellStyle name="Euro 2" xfId="5"/>
    <cellStyle name="Euro 3" xfId="6"/>
    <cellStyle name="Euro 4" xfId="7"/>
    <cellStyle name="Euro 5" xfId="8"/>
    <cellStyle name="Euro 6" xfId="9"/>
    <cellStyle name="Euro 7" xfId="10"/>
    <cellStyle name="Euro 8" xfId="11"/>
    <cellStyle name="Euro 9" xfId="12"/>
    <cellStyle name="Moneda" xfId="14" builtinId="4"/>
    <cellStyle name="Normal" xfId="0" builtinId="0"/>
    <cellStyle name="Normal 2" xfId="13"/>
  </cellStyles>
  <dxfs count="7">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s>
  <tableStyles count="0" defaultTableStyle="TableStyleMedium9" defaultPivotStyle="PivotStyleLight16"/>
  <colors>
    <mruColors>
      <color rgb="FFFFFFCC"/>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2.jpeg"/></Relationships>
</file>

<file path=xl/drawings/_rels/drawing7.xml.rels><?xml version="1.0" encoding="UTF-8" standalone="yes"?>
<Relationships xmlns="http://schemas.openxmlformats.org/package/2006/relationships"><Relationship Id="rId1" Type="http://schemas.openxmlformats.org/officeDocument/2006/relationships/image" Target="../media/image2.jpeg"/></Relationships>
</file>

<file path=xl/drawings/_rels/drawing8.xml.rels><?xml version="1.0" encoding="UTF-8" standalone="yes"?>
<Relationships xmlns="http://schemas.openxmlformats.org/package/2006/relationships"><Relationship Id="rId1" Type="http://schemas.openxmlformats.org/officeDocument/2006/relationships/image" Target="../media/image2.jpeg"/></Relationships>
</file>

<file path=xl/drawings/_rels/drawing9.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4.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4.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5.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619760</xdr:colOff>
      <xdr:row>0</xdr:row>
      <xdr:rowOff>777765</xdr:rowOff>
    </xdr:to>
    <xdr:pic>
      <xdr:nvPicPr>
        <xdr:cNvPr id="5" name="Imagen 4"/>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614979</xdr:colOff>
      <xdr:row>0</xdr:row>
      <xdr:rowOff>777765</xdr:rowOff>
    </xdr:to>
    <xdr:pic>
      <xdr:nvPicPr>
        <xdr:cNvPr id="5" name="Imagen 4"/>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619760</xdr:colOff>
      <xdr:row>13</xdr:row>
      <xdr:rowOff>516709</xdr:rowOff>
    </xdr:to>
    <xdr:pic>
      <xdr:nvPicPr>
        <xdr:cNvPr id="5" name="Imagen 4"/>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7689" cy="77070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619760</xdr:colOff>
      <xdr:row>0</xdr:row>
      <xdr:rowOff>777765</xdr:rowOff>
    </xdr:to>
    <xdr:pic>
      <xdr:nvPicPr>
        <xdr:cNvPr id="5" name="Imagen 4"/>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619760</xdr:colOff>
      <xdr:row>0</xdr:row>
      <xdr:rowOff>777765</xdr:rowOff>
    </xdr:to>
    <xdr:pic>
      <xdr:nvPicPr>
        <xdr:cNvPr id="5" name="Imagen 4"/>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614979</xdr:colOff>
      <xdr:row>0</xdr:row>
      <xdr:rowOff>777765</xdr:rowOff>
    </xdr:to>
    <xdr:pic>
      <xdr:nvPicPr>
        <xdr:cNvPr id="5" name="Imagen 4"/>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614979</xdr:colOff>
      <xdr:row>0</xdr:row>
      <xdr:rowOff>777765</xdr:rowOff>
    </xdr:to>
    <xdr:pic>
      <xdr:nvPicPr>
        <xdr:cNvPr id="5" name="Imagen 4"/>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614979</xdr:colOff>
      <xdr:row>0</xdr:row>
      <xdr:rowOff>777765</xdr:rowOff>
    </xdr:to>
    <xdr:pic>
      <xdr:nvPicPr>
        <xdr:cNvPr id="5" name="Imagen 4"/>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614979</xdr:colOff>
      <xdr:row>0</xdr:row>
      <xdr:rowOff>777765</xdr:rowOff>
    </xdr:to>
    <xdr:pic>
      <xdr:nvPicPr>
        <xdr:cNvPr id="5" name="Imagen 4"/>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629920</xdr:colOff>
      <xdr:row>1</xdr:row>
      <xdr:rowOff>151232</xdr:rowOff>
    </xdr:to>
    <xdr:pic>
      <xdr:nvPicPr>
        <xdr:cNvPr id="5" name="Imagen 4"/>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477520</xdr:colOff>
      <xdr:row>1</xdr:row>
      <xdr:rowOff>151232</xdr:rowOff>
    </xdr:to>
    <xdr:pic>
      <xdr:nvPicPr>
        <xdr:cNvPr id="5" name="Imagen 4"/>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477520</xdr:colOff>
      <xdr:row>1</xdr:row>
      <xdr:rowOff>151232</xdr:rowOff>
    </xdr:to>
    <xdr:pic>
      <xdr:nvPicPr>
        <xdr:cNvPr id="5" name="Imagen 4"/>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731520</xdr:colOff>
      <xdr:row>0</xdr:row>
      <xdr:rowOff>777765</xdr:rowOff>
    </xdr:to>
    <xdr:pic>
      <xdr:nvPicPr>
        <xdr:cNvPr id="5" name="Imagen 4"/>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60960</xdr:colOff>
      <xdr:row>0</xdr:row>
      <xdr:rowOff>777765</xdr:rowOff>
    </xdr:to>
    <xdr:pic>
      <xdr:nvPicPr>
        <xdr:cNvPr id="5" name="Imagen 4"/>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O20"/>
  <sheetViews>
    <sheetView showGridLines="0" tabSelected="1" zoomScale="75" zoomScaleNormal="75" workbookViewId="0">
      <pane xSplit="10" ySplit="19" topLeftCell="K23" activePane="bottomRight" state="frozen"/>
      <selection activeCell="C5" sqref="C5:D5"/>
      <selection pane="topRight" activeCell="C5" sqref="C5:D5"/>
      <selection pane="bottomLeft" activeCell="C5" sqref="C5:D5"/>
      <selection pane="bottomRight" activeCell="E9" sqref="E9:I10"/>
    </sheetView>
  </sheetViews>
  <sheetFormatPr baseColWidth="10" defaultColWidth="11.453125" defaultRowHeight="14" x14ac:dyDescent="0.25"/>
  <cols>
    <col min="1" max="1" width="1.7265625" style="16" customWidth="1"/>
    <col min="2" max="2" width="14.7265625" style="16" customWidth="1"/>
    <col min="3" max="3" width="40.453125" style="16" customWidth="1"/>
    <col min="4" max="4" width="1.81640625" style="16" customWidth="1"/>
    <col min="5" max="5" width="20.7265625" style="16" customWidth="1"/>
    <col min="6" max="8" width="22.26953125" style="16" customWidth="1"/>
    <col min="9" max="9" width="42.1796875" style="16" customWidth="1"/>
    <col min="10" max="10" width="5.1796875" style="16" customWidth="1"/>
    <col min="11" max="40" width="14.7265625" style="16" customWidth="1"/>
    <col min="41" max="16384" width="11.453125" style="16"/>
  </cols>
  <sheetData>
    <row r="1" spans="2:15" ht="66.75" customHeight="1" x14ac:dyDescent="0.35">
      <c r="F1" s="121"/>
      <c r="G1" s="121"/>
      <c r="H1" s="121"/>
      <c r="J1" s="175"/>
      <c r="K1" s="175"/>
      <c r="L1" s="175"/>
      <c r="M1" s="175"/>
      <c r="N1" s="175"/>
      <c r="O1" s="175"/>
    </row>
    <row r="2" spans="2:15" ht="14.5" x14ac:dyDescent="0.25">
      <c r="B2" s="118"/>
      <c r="C2" s="118"/>
      <c r="D2" s="118"/>
      <c r="E2" s="118"/>
    </row>
    <row r="3" spans="2:15" ht="18" x14ac:dyDescent="0.25">
      <c r="B3" s="127" t="s">
        <v>114</v>
      </c>
      <c r="C3" s="120"/>
      <c r="D3" s="120"/>
      <c r="E3" s="120"/>
    </row>
    <row r="4" spans="2:15" ht="17" thickBot="1" x14ac:dyDescent="0.3">
      <c r="B4" s="120"/>
      <c r="C4" s="120"/>
      <c r="D4" s="120"/>
      <c r="E4" s="120"/>
    </row>
    <row r="5" spans="2:15" ht="14.5" thickBot="1" x14ac:dyDescent="0.3">
      <c r="B5" s="216" t="s">
        <v>116</v>
      </c>
      <c r="C5" s="217"/>
      <c r="D5" s="126"/>
      <c r="E5" s="218" t="s">
        <v>173</v>
      </c>
      <c r="F5" s="219"/>
      <c r="G5" s="219"/>
      <c r="H5" s="219"/>
      <c r="I5" s="220"/>
    </row>
    <row r="6" spans="2:15" ht="14.5" thickBot="1" x14ac:dyDescent="0.3">
      <c r="B6" s="21"/>
      <c r="C6" s="21"/>
      <c r="D6" s="21"/>
      <c r="E6" s="21"/>
    </row>
    <row r="7" spans="2:15" ht="14.5" thickBot="1" x14ac:dyDescent="0.3">
      <c r="B7" s="216" t="s">
        <v>117</v>
      </c>
      <c r="C7" s="217"/>
      <c r="D7" s="134"/>
      <c r="E7" s="128" t="s">
        <v>174</v>
      </c>
      <c r="F7" s="135"/>
      <c r="G7" s="135"/>
      <c r="H7" s="135"/>
      <c r="I7" s="135"/>
    </row>
    <row r="8" spans="2:15" ht="14.5" thickBot="1" x14ac:dyDescent="0.3">
      <c r="B8" s="136"/>
      <c r="C8" s="136"/>
      <c r="D8" s="136"/>
      <c r="E8" s="136"/>
    </row>
    <row r="9" spans="2:15" x14ac:dyDescent="0.25">
      <c r="B9" s="221" t="s">
        <v>115</v>
      </c>
      <c r="C9" s="222"/>
      <c r="D9" s="126"/>
      <c r="E9" s="225" t="s">
        <v>175</v>
      </c>
      <c r="F9" s="226"/>
      <c r="G9" s="226"/>
      <c r="H9" s="226"/>
      <c r="I9" s="227"/>
    </row>
    <row r="10" spans="2:15" ht="14.5" thickBot="1" x14ac:dyDescent="0.3">
      <c r="B10" s="223"/>
      <c r="C10" s="224"/>
      <c r="D10" s="126"/>
      <c r="E10" s="228"/>
      <c r="F10" s="229"/>
      <c r="G10" s="229"/>
      <c r="H10" s="229"/>
      <c r="I10" s="230"/>
    </row>
    <row r="11" spans="2:15" ht="14.5" thickBot="1" x14ac:dyDescent="0.3">
      <c r="B11" s="21"/>
      <c r="C11" s="21"/>
      <c r="D11" s="125"/>
      <c r="E11" s="21"/>
    </row>
    <row r="12" spans="2:15" ht="14.5" thickBot="1" x14ac:dyDescent="0.3">
      <c r="B12" s="216" t="s">
        <v>129</v>
      </c>
      <c r="C12" s="217"/>
      <c r="D12" s="134"/>
      <c r="E12" s="137" t="s">
        <v>127</v>
      </c>
      <c r="F12" s="129">
        <v>45292</v>
      </c>
      <c r="G12" s="137" t="s">
        <v>128</v>
      </c>
      <c r="H12" s="129">
        <v>45657</v>
      </c>
    </row>
    <row r="13" spans="2:15" ht="14.5" thickBot="1" x14ac:dyDescent="0.3">
      <c r="B13" s="21"/>
      <c r="C13" s="21"/>
      <c r="D13" s="21"/>
      <c r="E13" s="21"/>
    </row>
    <row r="14" spans="2:15" ht="14.5" thickBot="1" x14ac:dyDescent="0.3">
      <c r="B14" s="216" t="s">
        <v>119</v>
      </c>
      <c r="C14" s="217"/>
      <c r="D14" s="134"/>
      <c r="E14" s="128">
        <v>2023</v>
      </c>
      <c r="G14" s="137" t="s">
        <v>130</v>
      </c>
      <c r="H14" s="133" t="s">
        <v>176</v>
      </c>
    </row>
    <row r="15" spans="2:15" ht="14.5" thickBot="1" x14ac:dyDescent="0.3">
      <c r="B15" s="21"/>
      <c r="C15" s="21"/>
      <c r="D15" s="21"/>
      <c r="E15" s="21"/>
    </row>
    <row r="16" spans="2:15" ht="14.5" thickBot="1" x14ac:dyDescent="0.3">
      <c r="B16" s="216" t="s">
        <v>136</v>
      </c>
      <c r="C16" s="217"/>
      <c r="D16" s="134"/>
      <c r="E16" s="128"/>
    </row>
    <row r="17" spans="2:8" x14ac:dyDescent="0.25">
      <c r="B17" s="21"/>
      <c r="C17" s="21"/>
      <c r="D17" s="21"/>
      <c r="E17" s="21"/>
    </row>
    <row r="18" spans="2:8" x14ac:dyDescent="0.25">
      <c r="B18" s="21"/>
      <c r="C18" s="21"/>
      <c r="D18" s="21"/>
      <c r="E18" s="21"/>
    </row>
    <row r="19" spans="2:8" x14ac:dyDescent="0.25">
      <c r="F19" s="87"/>
      <c r="G19" s="87"/>
      <c r="H19" s="87"/>
    </row>
    <row r="20" spans="2:8" x14ac:dyDescent="0.25">
      <c r="B20" s="136"/>
      <c r="C20" s="136"/>
      <c r="D20" s="136"/>
      <c r="E20" s="136"/>
      <c r="F20" s="87"/>
      <c r="G20" s="87"/>
      <c r="H20" s="87"/>
    </row>
  </sheetData>
  <sheetProtection algorithmName="SHA-512" hashValue="Am+goAbxia/ZYB0xUjp7nzXJ8Hsa5bq+32wQpaWYmGJovoIcF70YbRpTR0YUE2WsbiTfihqVSzlDlZS9pc1uig==" saltValue="7uKaXg2evric9R4oRgUBLg==" spinCount="100000" sheet="1" objects="1" scenarios="1"/>
  <protectedRanges>
    <protectedRange password="CC9E" sqref="F19:H20 F1:H1 B20:E20 B3:E13 B14:I16 A1:E2 J1:IX20 F2:I13 A3:A20 B17:I18" name="Rango2"/>
    <protectedRange password="CC9E" sqref="J1:O1 A21:IX65539 F19:H20 F1:H1 B20:E20 P1:IX18 N2:O18 M1:M18 F2:L2 A1:E2 M19:IX20 B3:I16 A3:A20 J3:L20 B17:I18" name="Rango1"/>
  </protectedRanges>
  <mergeCells count="8">
    <mergeCell ref="B16:C16"/>
    <mergeCell ref="B12:C12"/>
    <mergeCell ref="B14:C14"/>
    <mergeCell ref="E5:I5"/>
    <mergeCell ref="B7:C7"/>
    <mergeCell ref="B9:C10"/>
    <mergeCell ref="E9:I10"/>
    <mergeCell ref="B5:C5"/>
  </mergeCells>
  <pageMargins left="0.39370078740157483" right="0.39370078740157483" top="0.78740157480314965" bottom="0.78740157480314965" header="0" footer="0.39370078740157483"/>
  <pageSetup paperSize="9" scale="67" fitToHeight="0" orientation="landscape" r:id="rId1"/>
  <headerFooter alignWithMargins="0">
    <oddFooter xml:space="preserve">&amp;CP. &amp;P / &amp;N
</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N42"/>
  <sheetViews>
    <sheetView showGridLines="0" topLeftCell="A16" zoomScale="85" zoomScaleNormal="85" workbookViewId="0">
      <selection activeCell="B27" sqref="B27"/>
    </sheetView>
  </sheetViews>
  <sheetFormatPr baseColWidth="10" defaultColWidth="11.453125" defaultRowHeight="14" x14ac:dyDescent="0.25"/>
  <cols>
    <col min="1" max="1" width="1.7265625" style="16" customWidth="1"/>
    <col min="2" max="2" width="190" style="16" customWidth="1"/>
    <col min="3" max="3" width="1.81640625" style="16" customWidth="1"/>
    <col min="4" max="4" width="20.7265625" style="16" customWidth="1"/>
    <col min="5" max="7" width="22.26953125" style="16" customWidth="1"/>
    <col min="8" max="8" width="49.54296875" style="16" customWidth="1"/>
    <col min="9" max="9" width="5.1796875" style="16" customWidth="1"/>
    <col min="10" max="39" width="14.7265625" style="16" customWidth="1"/>
    <col min="40" max="16384" width="11.453125" style="16"/>
  </cols>
  <sheetData>
    <row r="1" spans="2:14" ht="66.75" customHeight="1" x14ac:dyDescent="0.35">
      <c r="E1" s="121"/>
      <c r="F1" s="121"/>
      <c r="G1" s="121"/>
      <c r="I1" s="175"/>
      <c r="J1" s="175"/>
      <c r="K1" s="175"/>
      <c r="L1" s="175"/>
      <c r="M1" s="175"/>
      <c r="N1" s="175"/>
    </row>
    <row r="2" spans="2:14" ht="14.5" x14ac:dyDescent="0.25">
      <c r="B2" s="118"/>
      <c r="C2" s="118"/>
      <c r="D2" s="118"/>
    </row>
    <row r="3" spans="2:14" ht="18" x14ac:dyDescent="0.25">
      <c r="B3" s="127" t="s">
        <v>118</v>
      </c>
      <c r="C3" s="120"/>
      <c r="D3" s="120"/>
    </row>
    <row r="4" spans="2:14" ht="16.5" x14ac:dyDescent="0.25">
      <c r="B4" s="120"/>
      <c r="C4" s="120"/>
      <c r="D4" s="120"/>
    </row>
    <row r="5" spans="2:14" ht="42" x14ac:dyDescent="0.25">
      <c r="B5" s="181" t="s">
        <v>170</v>
      </c>
      <c r="C5" s="21"/>
      <c r="D5" s="21"/>
    </row>
    <row r="6" spans="2:14" ht="3.65" customHeight="1" x14ac:dyDescent="0.25">
      <c r="C6" s="21"/>
      <c r="D6" s="21"/>
    </row>
    <row r="7" spans="2:14" x14ac:dyDescent="0.25">
      <c r="B7" s="181" t="s">
        <v>152</v>
      </c>
      <c r="C7" s="21"/>
      <c r="D7" s="21"/>
    </row>
    <row r="8" spans="2:14" ht="3.65" customHeight="1" x14ac:dyDescent="0.25">
      <c r="C8" s="21"/>
      <c r="D8" s="21"/>
    </row>
    <row r="9" spans="2:14" x14ac:dyDescent="0.25">
      <c r="B9" s="181" t="s">
        <v>153</v>
      </c>
      <c r="C9" s="21"/>
      <c r="D9" s="21"/>
    </row>
    <row r="10" spans="2:14" ht="3.65" customHeight="1" x14ac:dyDescent="0.25">
      <c r="C10" s="21"/>
      <c r="D10" s="21"/>
    </row>
    <row r="11" spans="2:14" x14ac:dyDescent="0.25">
      <c r="B11" s="181" t="s">
        <v>160</v>
      </c>
      <c r="C11" s="21"/>
      <c r="D11" s="21"/>
    </row>
    <row r="12" spans="2:14" ht="3.65" customHeight="1" x14ac:dyDescent="0.25">
      <c r="C12" s="21"/>
      <c r="D12" s="21"/>
    </row>
    <row r="13" spans="2:14" x14ac:dyDescent="0.25">
      <c r="B13" s="181" t="s">
        <v>154</v>
      </c>
      <c r="C13" s="21"/>
      <c r="D13" s="21"/>
    </row>
    <row r="14" spans="2:14" ht="3.65" customHeight="1" x14ac:dyDescent="0.25">
      <c r="C14" s="21"/>
      <c r="D14" s="21"/>
    </row>
    <row r="15" spans="2:14" x14ac:dyDescent="0.25">
      <c r="B15" s="181" t="s">
        <v>168</v>
      </c>
      <c r="C15" s="21"/>
      <c r="D15" s="21"/>
    </row>
    <row r="16" spans="2:14" ht="3.65" customHeight="1" x14ac:dyDescent="0.25">
      <c r="C16" s="21"/>
      <c r="D16" s="21"/>
    </row>
    <row r="17" spans="2:4" x14ac:dyDescent="0.25">
      <c r="B17" s="181" t="s">
        <v>155</v>
      </c>
      <c r="C17" s="21"/>
      <c r="D17" s="21"/>
    </row>
    <row r="18" spans="2:4" ht="3.65" customHeight="1" x14ac:dyDescent="0.25">
      <c r="C18" s="21"/>
      <c r="D18" s="21"/>
    </row>
    <row r="19" spans="2:4" ht="28" x14ac:dyDescent="0.25">
      <c r="B19" s="181" t="s">
        <v>161</v>
      </c>
      <c r="C19" s="21"/>
      <c r="D19" s="21"/>
    </row>
    <row r="20" spans="2:4" ht="3.65" customHeight="1" x14ac:dyDescent="0.25">
      <c r="C20" s="21"/>
      <c r="D20" s="21"/>
    </row>
    <row r="21" spans="2:4" x14ac:dyDescent="0.25">
      <c r="B21" s="181" t="s">
        <v>162</v>
      </c>
      <c r="C21" s="21"/>
      <c r="D21" s="21"/>
    </row>
    <row r="22" spans="2:4" ht="3.65" customHeight="1" x14ac:dyDescent="0.25">
      <c r="C22" s="21"/>
      <c r="D22" s="21"/>
    </row>
    <row r="23" spans="2:4" x14ac:dyDescent="0.25">
      <c r="B23" s="181" t="s">
        <v>156</v>
      </c>
      <c r="C23" s="21"/>
      <c r="D23" s="21"/>
    </row>
    <row r="24" spans="2:4" ht="3.65" customHeight="1" x14ac:dyDescent="0.25">
      <c r="C24" s="21"/>
      <c r="D24" s="21"/>
    </row>
    <row r="25" spans="2:4" ht="28" x14ac:dyDescent="0.25">
      <c r="B25" s="181" t="s">
        <v>157</v>
      </c>
      <c r="C25" s="21"/>
      <c r="D25" s="21"/>
    </row>
    <row r="26" spans="2:4" ht="3.65" customHeight="1" x14ac:dyDescent="0.25">
      <c r="C26" s="21"/>
      <c r="D26" s="21"/>
    </row>
    <row r="27" spans="2:4" x14ac:dyDescent="0.25">
      <c r="B27" s="181" t="s">
        <v>163</v>
      </c>
      <c r="C27" s="21"/>
      <c r="D27" s="21"/>
    </row>
    <row r="28" spans="2:4" ht="3.65" customHeight="1" x14ac:dyDescent="0.25">
      <c r="C28" s="21"/>
      <c r="D28" s="21"/>
    </row>
    <row r="29" spans="2:4" x14ac:dyDescent="0.25">
      <c r="B29" s="181" t="s">
        <v>164</v>
      </c>
      <c r="C29" s="21"/>
      <c r="D29" s="21"/>
    </row>
    <row r="30" spans="2:4" ht="3.65" customHeight="1" x14ac:dyDescent="0.25">
      <c r="C30" s="21"/>
      <c r="D30" s="21"/>
    </row>
    <row r="31" spans="2:4" ht="28" x14ac:dyDescent="0.25">
      <c r="B31" s="181" t="s">
        <v>169</v>
      </c>
      <c r="C31" s="21"/>
      <c r="D31" s="21"/>
    </row>
    <row r="32" spans="2:4" ht="3.65" customHeight="1" x14ac:dyDescent="0.25">
      <c r="C32" s="21"/>
      <c r="D32" s="21"/>
    </row>
    <row r="33" spans="2:7" ht="27" customHeight="1" x14ac:dyDescent="0.25">
      <c r="B33" s="181" t="s">
        <v>158</v>
      </c>
      <c r="C33" s="21"/>
      <c r="D33" s="21"/>
    </row>
    <row r="34" spans="2:7" ht="3.65" customHeight="1" x14ac:dyDescent="0.25">
      <c r="C34" s="21"/>
      <c r="D34" s="21"/>
    </row>
    <row r="35" spans="2:7" ht="28" x14ac:dyDescent="0.25">
      <c r="B35" s="181" t="s">
        <v>159</v>
      </c>
      <c r="C35" s="21"/>
      <c r="D35" s="21"/>
    </row>
    <row r="36" spans="2:7" ht="3.65" customHeight="1" x14ac:dyDescent="0.25">
      <c r="C36" s="21"/>
      <c r="D36" s="21"/>
    </row>
    <row r="37" spans="2:7" x14ac:dyDescent="0.25">
      <c r="B37" s="181" t="s">
        <v>138</v>
      </c>
      <c r="C37" s="21"/>
      <c r="D37" s="21"/>
    </row>
    <row r="38" spans="2:7" ht="3.65" customHeight="1" x14ac:dyDescent="0.25">
      <c r="C38" s="21"/>
      <c r="D38" s="21"/>
    </row>
    <row r="39" spans="2:7" x14ac:dyDescent="0.25">
      <c r="B39" s="181" t="s">
        <v>137</v>
      </c>
      <c r="C39" s="21"/>
      <c r="D39" s="21"/>
    </row>
    <row r="40" spans="2:7" ht="3.65" customHeight="1" x14ac:dyDescent="0.25">
      <c r="C40" s="21"/>
      <c r="D40" s="21"/>
    </row>
    <row r="41" spans="2:7" x14ac:dyDescent="0.25">
      <c r="C41" s="21"/>
      <c r="D41" s="21"/>
    </row>
    <row r="42" spans="2:7" x14ac:dyDescent="0.25">
      <c r="B42" s="176"/>
      <c r="C42" s="136"/>
      <c r="D42" s="136"/>
      <c r="E42" s="87"/>
      <c r="F42" s="87"/>
      <c r="G42" s="87"/>
    </row>
  </sheetData>
  <sheetProtection algorithmName="SHA-512" hashValue="LBRQJwK5r/v9mPmjvj4odJJx90MLg36LKBSxI/MsGqoO9NKJSFSIjNSCuawDsqcgSYTP7B7Un1GBTKzyYgqpJg==" saltValue="VYMVi5UTbyN6nz98nesvMg==" spinCount="100000" sheet="1" objects="1" scenarios="1"/>
  <protectedRanges>
    <protectedRange password="CC9E" sqref="E1:G1 E2:H4 I1:IW5 C5:H5 C41:H41 I41:IW42 A5:A42 C6:IW40 A1:D4 B42:G42" name="Rango2"/>
    <protectedRange password="CC9E" sqref="I1:N1 E1:G1 L1:L4 E2:K2 C1:D2 C3:K4 C44:IW44 A44 O1:IW5 M2:N5 C5:L5 C41:H41 I41:IW42 A5:A42 C6:IW40 A1:B4 B42:G42 A45:IW65562" name="Rango1"/>
    <protectedRange password="CC9E" sqref="B21 B23 B25 B27 B29 B31 B19 B17 B15 B13 B11 B9" name="Rango2_2"/>
    <protectedRange password="CC9E" sqref="B21 B23 B25 B27 B29 B31 B19 B17 B15 B13 B11 B9" name="Rango1_1"/>
    <protectedRange password="CC9E" sqref="B5" name="Rango2_1_1"/>
    <protectedRange password="CC9E" sqref="B5" name="Rango1_2_1"/>
    <protectedRange password="CC9E" sqref="B7" name="Rango2_4_1"/>
    <protectedRange password="CC9E" sqref="B7" name="Rango1_5_1"/>
  </protectedRanges>
  <pageMargins left="0.7" right="0.7" top="0.75" bottom="0.75" header="0.3" footer="0.3"/>
  <pageSetup paperSize="9" scale="68" fitToHeight="0" orientation="landscape" horizontalDpi="0"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I54"/>
  <sheetViews>
    <sheetView showGridLines="0" zoomScale="70" zoomScaleNormal="70" workbookViewId="0">
      <pane xSplit="5" ySplit="14" topLeftCell="F15" activePane="bottomRight" state="frozen"/>
      <selection activeCell="C5" sqref="C5:D5"/>
      <selection pane="topRight" activeCell="C5" sqref="C5:D5"/>
      <selection pane="bottomLeft" activeCell="C5" sqref="C5:D5"/>
      <selection pane="bottomRight" activeCell="D28" sqref="D28"/>
    </sheetView>
  </sheetViews>
  <sheetFormatPr baseColWidth="10" defaultColWidth="11.453125" defaultRowHeight="14" x14ac:dyDescent="0.25"/>
  <cols>
    <col min="1" max="1" width="1.7265625" style="16" customWidth="1"/>
    <col min="2" max="2" width="14.7265625" style="16" customWidth="1"/>
    <col min="3" max="3" width="55.453125" style="16" customWidth="1"/>
    <col min="4" max="4" width="61.54296875" style="16" customWidth="1"/>
    <col min="5" max="5" width="9" style="16" customWidth="1"/>
    <col min="6" max="18" width="14.7265625" style="16" customWidth="1"/>
    <col min="19" max="19" width="16" style="16" bestFit="1" customWidth="1"/>
    <col min="20" max="20" width="14.7265625" style="16" customWidth="1"/>
    <col min="21" max="35" width="14.7265625" style="16" hidden="1" customWidth="1"/>
    <col min="36" max="16384" width="11.453125" style="16"/>
  </cols>
  <sheetData>
    <row r="1" spans="1:35" ht="62.5" hidden="1" customHeight="1" x14ac:dyDescent="0.25">
      <c r="D1" s="175"/>
      <c r="E1" s="175"/>
      <c r="F1" s="175"/>
      <c r="G1" s="175"/>
      <c r="H1" s="175"/>
      <c r="I1" s="175"/>
      <c r="J1" s="175"/>
    </row>
    <row r="2" spans="1:35" ht="14.5" hidden="1" x14ac:dyDescent="0.25">
      <c r="B2" s="118"/>
    </row>
    <row r="3" spans="1:35" hidden="1" x14ac:dyDescent="0.25"/>
    <row r="4" spans="1:35" hidden="1" x14ac:dyDescent="0.25">
      <c r="B4" s="93" t="s">
        <v>82</v>
      </c>
    </row>
    <row r="5" spans="1:35" hidden="1" x14ac:dyDescent="0.25">
      <c r="B5" s="21"/>
    </row>
    <row r="6" spans="1:35" hidden="1" x14ac:dyDescent="0.25">
      <c r="B6" s="132" t="s">
        <v>140</v>
      </c>
      <c r="C6" s="135"/>
    </row>
    <row r="7" spans="1:35" hidden="1" x14ac:dyDescent="0.25">
      <c r="B7" s="131"/>
      <c r="C7" s="182"/>
    </row>
    <row r="8" spans="1:35" hidden="1" x14ac:dyDescent="0.25">
      <c r="B8" s="131" t="s">
        <v>139</v>
      </c>
      <c r="C8" s="182"/>
    </row>
    <row r="9" spans="1:35" hidden="1" x14ac:dyDescent="0.25">
      <c r="B9" s="132"/>
      <c r="C9" s="135"/>
    </row>
    <row r="10" spans="1:35" hidden="1" x14ac:dyDescent="0.25">
      <c r="B10" s="131" t="s">
        <v>150</v>
      </c>
      <c r="C10" s="182"/>
    </row>
    <row r="11" spans="1:35" hidden="1" x14ac:dyDescent="0.25">
      <c r="B11" s="21"/>
      <c r="C11" s="87"/>
      <c r="D11" s="87"/>
    </row>
    <row r="12" spans="1:35" ht="6" customHeight="1" thickBot="1" x14ac:dyDescent="0.3">
      <c r="A12" s="183"/>
    </row>
    <row r="13" spans="1:35" ht="14.5" thickBot="1" x14ac:dyDescent="0.3">
      <c r="B13" s="237" t="s">
        <v>120</v>
      </c>
      <c r="C13" s="237" t="s">
        <v>2</v>
      </c>
      <c r="D13" s="239" t="s">
        <v>4</v>
      </c>
      <c r="E13" s="239" t="s">
        <v>111</v>
      </c>
      <c r="F13" s="232">
        <f>'Datos solicitud'!E14</f>
        <v>2023</v>
      </c>
      <c r="G13" s="232"/>
      <c r="H13" s="232"/>
      <c r="I13" s="232"/>
      <c r="J13" s="232"/>
      <c r="K13" s="231">
        <f>F13+1</f>
        <v>2024</v>
      </c>
      <c r="L13" s="231"/>
      <c r="M13" s="231"/>
      <c r="N13" s="231"/>
      <c r="O13" s="231"/>
      <c r="P13" s="231">
        <f>K13+1</f>
        <v>2025</v>
      </c>
      <c r="Q13" s="231"/>
      <c r="R13" s="231"/>
      <c r="S13" s="231"/>
      <c r="T13" s="231"/>
      <c r="U13" s="231">
        <f>P13+1</f>
        <v>2026</v>
      </c>
      <c r="V13" s="231"/>
      <c r="W13" s="231"/>
      <c r="X13" s="231"/>
      <c r="Y13" s="231"/>
      <c r="Z13" s="231">
        <f>U13+1</f>
        <v>2027</v>
      </c>
      <c r="AA13" s="231"/>
      <c r="AB13" s="231"/>
      <c r="AC13" s="231"/>
      <c r="AD13" s="231"/>
      <c r="AE13" s="231">
        <f>Z13+1</f>
        <v>2028</v>
      </c>
      <c r="AF13" s="231"/>
      <c r="AG13" s="231"/>
      <c r="AH13" s="231"/>
      <c r="AI13" s="231"/>
    </row>
    <row r="14" spans="1:35" s="57" customFormat="1" ht="78.75" customHeight="1" thickBot="1" x14ac:dyDescent="0.3">
      <c r="B14" s="238"/>
      <c r="C14" s="238"/>
      <c r="D14" s="240"/>
      <c r="E14" s="240"/>
      <c r="F14" s="140" t="s">
        <v>108</v>
      </c>
      <c r="G14" s="141" t="s">
        <v>9</v>
      </c>
      <c r="H14" s="141" t="s">
        <v>166</v>
      </c>
      <c r="I14" s="141" t="s">
        <v>167</v>
      </c>
      <c r="J14" s="142" t="s">
        <v>5</v>
      </c>
      <c r="K14" s="140" t="s">
        <v>108</v>
      </c>
      <c r="L14" s="141" t="s">
        <v>9</v>
      </c>
      <c r="M14" s="141" t="s">
        <v>166</v>
      </c>
      <c r="N14" s="141" t="s">
        <v>167</v>
      </c>
      <c r="O14" s="142" t="s">
        <v>5</v>
      </c>
      <c r="P14" s="140" t="s">
        <v>108</v>
      </c>
      <c r="Q14" s="141" t="s">
        <v>9</v>
      </c>
      <c r="R14" s="141" t="s">
        <v>166</v>
      </c>
      <c r="S14" s="141" t="s">
        <v>167</v>
      </c>
      <c r="T14" s="142" t="s">
        <v>5</v>
      </c>
      <c r="U14" s="140" t="s">
        <v>108</v>
      </c>
      <c r="V14" s="141" t="s">
        <v>9</v>
      </c>
      <c r="W14" s="141" t="s">
        <v>166</v>
      </c>
      <c r="X14" s="141" t="s">
        <v>167</v>
      </c>
      <c r="Y14" s="142" t="s">
        <v>5</v>
      </c>
      <c r="Z14" s="140" t="s">
        <v>108</v>
      </c>
      <c r="AA14" s="141" t="s">
        <v>9</v>
      </c>
      <c r="AB14" s="141" t="s">
        <v>166</v>
      </c>
      <c r="AC14" s="141" t="s">
        <v>167</v>
      </c>
      <c r="AD14" s="142" t="s">
        <v>5</v>
      </c>
      <c r="AE14" s="140" t="s">
        <v>108</v>
      </c>
      <c r="AF14" s="141" t="s">
        <v>9</v>
      </c>
      <c r="AG14" s="141" t="s">
        <v>166</v>
      </c>
      <c r="AH14" s="141" t="s">
        <v>167</v>
      </c>
      <c r="AI14" s="142" t="s">
        <v>5</v>
      </c>
    </row>
    <row r="15" spans="1:35" ht="15.75" customHeight="1" x14ac:dyDescent="0.25">
      <c r="B15" s="138">
        <v>1</v>
      </c>
      <c r="C15" s="80" t="s">
        <v>181</v>
      </c>
      <c r="D15" s="213" t="s">
        <v>279</v>
      </c>
      <c r="E15" s="5" t="s">
        <v>113</v>
      </c>
      <c r="F15" s="184"/>
      <c r="G15" s="185"/>
      <c r="H15" s="115"/>
      <c r="I15" s="214"/>
      <c r="J15" s="116">
        <f>G15+I15</f>
        <v>0</v>
      </c>
      <c r="K15" s="184"/>
      <c r="L15" s="185"/>
      <c r="M15" s="115">
        <v>980</v>
      </c>
      <c r="N15" s="102">
        <v>42747.6</v>
      </c>
      <c r="O15" s="116">
        <f>L15+N15</f>
        <v>42747.6</v>
      </c>
      <c r="P15" s="184"/>
      <c r="Q15" s="185"/>
      <c r="R15" s="115"/>
      <c r="S15" s="102"/>
      <c r="T15" s="116">
        <f>Q15+S15</f>
        <v>0</v>
      </c>
      <c r="U15" s="184"/>
      <c r="V15" s="185"/>
      <c r="W15" s="115"/>
      <c r="X15" s="102"/>
      <c r="Y15" s="116">
        <f>V15+X15</f>
        <v>0</v>
      </c>
      <c r="Z15" s="184"/>
      <c r="AA15" s="185"/>
      <c r="AB15" s="115"/>
      <c r="AC15" s="102"/>
      <c r="AD15" s="116">
        <f>AA15+AC15</f>
        <v>0</v>
      </c>
      <c r="AE15" s="184"/>
      <c r="AF15" s="185"/>
      <c r="AG15" s="115"/>
      <c r="AH15" s="102"/>
      <c r="AI15" s="116">
        <f>AF15+AH15</f>
        <v>0</v>
      </c>
    </row>
    <row r="16" spans="1:35" x14ac:dyDescent="0.25">
      <c r="B16" s="139">
        <v>2</v>
      </c>
      <c r="C16" s="81" t="s">
        <v>182</v>
      </c>
      <c r="D16" s="213" t="s">
        <v>273</v>
      </c>
      <c r="E16" s="5" t="s">
        <v>113</v>
      </c>
      <c r="F16" s="184"/>
      <c r="G16" s="185"/>
      <c r="H16" s="115"/>
      <c r="I16" s="214"/>
      <c r="J16" s="116">
        <f t="shared" ref="J16:J50" si="0">G16+I16</f>
        <v>0</v>
      </c>
      <c r="K16" s="184"/>
      <c r="L16" s="185"/>
      <c r="M16" s="115">
        <v>1070</v>
      </c>
      <c r="N16" s="102">
        <v>45528.5</v>
      </c>
      <c r="O16" s="116">
        <f t="shared" ref="O16:O50" si="1">L16+N16</f>
        <v>45528.5</v>
      </c>
      <c r="P16" s="184"/>
      <c r="Q16" s="185"/>
      <c r="R16" s="115"/>
      <c r="S16" s="102"/>
      <c r="T16" s="116">
        <f t="shared" ref="T16:T50" si="2">Q16+S16</f>
        <v>0</v>
      </c>
      <c r="U16" s="184"/>
      <c r="V16" s="185"/>
      <c r="W16" s="115"/>
      <c r="X16" s="102"/>
      <c r="Y16" s="116">
        <f t="shared" ref="Y16:Y50" si="3">V16+X16</f>
        <v>0</v>
      </c>
      <c r="Z16" s="184"/>
      <c r="AA16" s="185"/>
      <c r="AB16" s="115"/>
      <c r="AC16" s="102"/>
      <c r="AD16" s="116">
        <f t="shared" ref="AD16:AD50" si="4">AA16+AC16</f>
        <v>0</v>
      </c>
      <c r="AE16" s="184"/>
      <c r="AF16" s="185"/>
      <c r="AG16" s="115"/>
      <c r="AH16" s="102"/>
      <c r="AI16" s="116">
        <f t="shared" ref="AI16:AI50" si="5">AF16+AH16</f>
        <v>0</v>
      </c>
    </row>
    <row r="17" spans="2:35" x14ac:dyDescent="0.25">
      <c r="B17" s="139">
        <v>3</v>
      </c>
      <c r="C17" s="81" t="s">
        <v>183</v>
      </c>
      <c r="D17" s="213" t="s">
        <v>271</v>
      </c>
      <c r="E17" s="5" t="s">
        <v>113</v>
      </c>
      <c r="F17" s="184"/>
      <c r="G17" s="185"/>
      <c r="H17" s="115"/>
      <c r="I17" s="214"/>
      <c r="J17" s="116">
        <f t="shared" si="0"/>
        <v>0</v>
      </c>
      <c r="K17" s="184"/>
      <c r="L17" s="185"/>
      <c r="M17" s="115">
        <v>1215</v>
      </c>
      <c r="N17" s="102">
        <v>40678.199999999997</v>
      </c>
      <c r="O17" s="116">
        <f t="shared" si="1"/>
        <v>40678.199999999997</v>
      </c>
      <c r="P17" s="184"/>
      <c r="Q17" s="185"/>
      <c r="R17" s="115"/>
      <c r="S17" s="102"/>
      <c r="T17" s="116">
        <f t="shared" si="2"/>
        <v>0</v>
      </c>
      <c r="U17" s="184"/>
      <c r="V17" s="185"/>
      <c r="W17" s="115"/>
      <c r="X17" s="102"/>
      <c r="Y17" s="116"/>
      <c r="Z17" s="184"/>
      <c r="AA17" s="185"/>
      <c r="AB17" s="115"/>
      <c r="AC17" s="102"/>
      <c r="AD17" s="116"/>
      <c r="AE17" s="184"/>
      <c r="AF17" s="185"/>
      <c r="AG17" s="115"/>
      <c r="AH17" s="102"/>
      <c r="AI17" s="116"/>
    </row>
    <row r="18" spans="2:35" x14ac:dyDescent="0.25">
      <c r="B18" s="139">
        <v>4</v>
      </c>
      <c r="C18" s="81" t="s">
        <v>255</v>
      </c>
      <c r="D18" s="213" t="s">
        <v>276</v>
      </c>
      <c r="E18" s="5" t="s">
        <v>113</v>
      </c>
      <c r="F18" s="184"/>
      <c r="G18" s="185"/>
      <c r="H18" s="115"/>
      <c r="I18" s="214"/>
      <c r="J18" s="116">
        <f t="shared" si="0"/>
        <v>0</v>
      </c>
      <c r="K18" s="184"/>
      <c r="L18" s="185"/>
      <c r="M18" s="115">
        <v>650</v>
      </c>
      <c r="N18" s="102">
        <v>20312.5</v>
      </c>
      <c r="O18" s="116">
        <f t="shared" si="1"/>
        <v>20312.5</v>
      </c>
      <c r="P18" s="184"/>
      <c r="Q18" s="185"/>
      <c r="R18" s="115"/>
      <c r="S18" s="102"/>
      <c r="T18" s="116">
        <f t="shared" si="2"/>
        <v>0</v>
      </c>
      <c r="U18" s="184"/>
      <c r="V18" s="185"/>
      <c r="W18" s="115"/>
      <c r="X18" s="102"/>
      <c r="Y18" s="116">
        <f t="shared" si="3"/>
        <v>0</v>
      </c>
      <c r="Z18" s="184"/>
      <c r="AA18" s="185"/>
      <c r="AB18" s="115"/>
      <c r="AC18" s="102"/>
      <c r="AD18" s="116">
        <f t="shared" si="4"/>
        <v>0</v>
      </c>
      <c r="AE18" s="184"/>
      <c r="AF18" s="185"/>
      <c r="AG18" s="115"/>
      <c r="AH18" s="102"/>
      <c r="AI18" s="116">
        <f t="shared" si="5"/>
        <v>0</v>
      </c>
    </row>
    <row r="19" spans="2:35" x14ac:dyDescent="0.25">
      <c r="B19" s="139">
        <v>5</v>
      </c>
      <c r="C19" s="81" t="s">
        <v>184</v>
      </c>
      <c r="D19" s="213" t="s">
        <v>276</v>
      </c>
      <c r="E19" s="5" t="s">
        <v>113</v>
      </c>
      <c r="F19" s="184"/>
      <c r="G19" s="185"/>
      <c r="H19" s="115"/>
      <c r="I19" s="214"/>
      <c r="J19" s="116">
        <f t="shared" si="0"/>
        <v>0</v>
      </c>
      <c r="K19" s="184"/>
      <c r="L19" s="185"/>
      <c r="M19" s="115">
        <v>750</v>
      </c>
      <c r="N19" s="102">
        <v>25110</v>
      </c>
      <c r="O19" s="116">
        <f t="shared" si="1"/>
        <v>25110</v>
      </c>
      <c r="P19" s="184"/>
      <c r="Q19" s="185"/>
      <c r="R19" s="115"/>
      <c r="S19" s="102"/>
      <c r="T19" s="116">
        <f t="shared" si="2"/>
        <v>0</v>
      </c>
      <c r="U19" s="184"/>
      <c r="V19" s="185"/>
      <c r="W19" s="115"/>
      <c r="X19" s="102"/>
      <c r="Y19" s="116"/>
      <c r="Z19" s="184"/>
      <c r="AA19" s="185"/>
      <c r="AB19" s="115"/>
      <c r="AC19" s="102"/>
      <c r="AD19" s="116"/>
      <c r="AE19" s="184"/>
      <c r="AF19" s="185"/>
      <c r="AG19" s="115"/>
      <c r="AH19" s="102"/>
      <c r="AI19" s="116"/>
    </row>
    <row r="20" spans="2:35" x14ac:dyDescent="0.25">
      <c r="B20" s="139">
        <v>6</v>
      </c>
      <c r="C20" s="81" t="s">
        <v>256</v>
      </c>
      <c r="D20" s="213" t="s">
        <v>280</v>
      </c>
      <c r="E20" s="5" t="s">
        <v>113</v>
      </c>
      <c r="F20" s="184"/>
      <c r="G20" s="185"/>
      <c r="H20" s="115"/>
      <c r="I20" s="214"/>
      <c r="J20" s="116">
        <f t="shared" si="0"/>
        <v>0</v>
      </c>
      <c r="K20" s="184"/>
      <c r="L20" s="185"/>
      <c r="M20" s="115">
        <v>570</v>
      </c>
      <c r="N20" s="102">
        <v>11679.3</v>
      </c>
      <c r="O20" s="116">
        <f t="shared" si="1"/>
        <v>11679.3</v>
      </c>
      <c r="P20" s="184"/>
      <c r="Q20" s="185"/>
      <c r="R20" s="115"/>
      <c r="S20" s="102"/>
      <c r="T20" s="116">
        <f t="shared" si="2"/>
        <v>0</v>
      </c>
      <c r="U20" s="184"/>
      <c r="V20" s="185"/>
      <c r="W20" s="115"/>
      <c r="X20" s="102"/>
      <c r="Y20" s="116"/>
      <c r="Z20" s="184"/>
      <c r="AA20" s="185"/>
      <c r="AB20" s="115"/>
      <c r="AC20" s="102"/>
      <c r="AD20" s="116"/>
      <c r="AE20" s="184"/>
      <c r="AF20" s="185"/>
      <c r="AG20" s="115"/>
      <c r="AH20" s="102"/>
      <c r="AI20" s="116"/>
    </row>
    <row r="21" spans="2:35" x14ac:dyDescent="0.25">
      <c r="B21" s="139">
        <v>7</v>
      </c>
      <c r="C21" s="81" t="s">
        <v>185</v>
      </c>
      <c r="D21" s="213" t="s">
        <v>281</v>
      </c>
      <c r="E21" s="5" t="s">
        <v>113</v>
      </c>
      <c r="F21" s="184"/>
      <c r="G21" s="185"/>
      <c r="H21" s="115"/>
      <c r="I21" s="214"/>
      <c r="J21" s="116">
        <f t="shared" si="0"/>
        <v>0</v>
      </c>
      <c r="K21" s="184"/>
      <c r="L21" s="185"/>
      <c r="M21" s="115">
        <v>965</v>
      </c>
      <c r="N21" s="102">
        <v>32520.5</v>
      </c>
      <c r="O21" s="116">
        <f t="shared" si="1"/>
        <v>32520.5</v>
      </c>
      <c r="P21" s="184"/>
      <c r="Q21" s="185"/>
      <c r="R21" s="115"/>
      <c r="S21" s="102"/>
      <c r="T21" s="116">
        <f t="shared" si="2"/>
        <v>0</v>
      </c>
      <c r="U21" s="184"/>
      <c r="V21" s="185"/>
      <c r="W21" s="115"/>
      <c r="X21" s="102"/>
      <c r="Y21" s="116"/>
      <c r="Z21" s="184"/>
      <c r="AA21" s="185"/>
      <c r="AB21" s="115"/>
      <c r="AC21" s="102"/>
      <c r="AD21" s="116"/>
      <c r="AE21" s="184"/>
      <c r="AF21" s="185"/>
      <c r="AG21" s="115"/>
      <c r="AH21" s="102"/>
      <c r="AI21" s="116"/>
    </row>
    <row r="22" spans="2:35" x14ac:dyDescent="0.25">
      <c r="B22" s="139">
        <v>8</v>
      </c>
      <c r="C22" s="81" t="s">
        <v>186</v>
      </c>
      <c r="D22" s="213" t="s">
        <v>251</v>
      </c>
      <c r="E22" s="5" t="s">
        <v>113</v>
      </c>
      <c r="F22" s="184"/>
      <c r="G22" s="185"/>
      <c r="H22" s="115"/>
      <c r="I22" s="214"/>
      <c r="J22" s="116">
        <f t="shared" si="0"/>
        <v>0</v>
      </c>
      <c r="K22" s="184"/>
      <c r="L22" s="185"/>
      <c r="M22" s="115">
        <v>935</v>
      </c>
      <c r="N22" s="102">
        <v>47610.2</v>
      </c>
      <c r="O22" s="116">
        <f t="shared" si="1"/>
        <v>47610.2</v>
      </c>
      <c r="P22" s="184"/>
      <c r="Q22" s="185"/>
      <c r="R22" s="115"/>
      <c r="S22" s="102"/>
      <c r="T22" s="116">
        <f t="shared" si="2"/>
        <v>0</v>
      </c>
      <c r="U22" s="184"/>
      <c r="V22" s="185"/>
      <c r="W22" s="115"/>
      <c r="X22" s="102"/>
      <c r="Y22" s="116"/>
      <c r="Z22" s="184"/>
      <c r="AA22" s="185"/>
      <c r="AB22" s="115"/>
      <c r="AC22" s="102"/>
      <c r="AD22" s="116"/>
      <c r="AE22" s="184"/>
      <c r="AF22" s="185"/>
      <c r="AG22" s="115"/>
      <c r="AH22" s="102"/>
      <c r="AI22" s="116"/>
    </row>
    <row r="23" spans="2:35" x14ac:dyDescent="0.25">
      <c r="B23" s="139">
        <v>9</v>
      </c>
      <c r="C23" s="81" t="s">
        <v>257</v>
      </c>
      <c r="D23" s="213" t="s">
        <v>272</v>
      </c>
      <c r="E23" s="5" t="s">
        <v>113</v>
      </c>
      <c r="F23" s="184"/>
      <c r="G23" s="185"/>
      <c r="H23" s="115"/>
      <c r="I23" s="214"/>
      <c r="J23" s="116">
        <f t="shared" si="0"/>
        <v>0</v>
      </c>
      <c r="K23" s="184"/>
      <c r="L23" s="185"/>
      <c r="M23" s="115">
        <v>1200</v>
      </c>
      <c r="N23" s="102">
        <v>35568</v>
      </c>
      <c r="O23" s="116">
        <f t="shared" si="1"/>
        <v>35568</v>
      </c>
      <c r="P23" s="184"/>
      <c r="Q23" s="185"/>
      <c r="R23" s="115"/>
      <c r="S23" s="102"/>
      <c r="T23" s="116">
        <f t="shared" si="2"/>
        <v>0</v>
      </c>
      <c r="U23" s="184"/>
      <c r="V23" s="185"/>
      <c r="W23" s="115"/>
      <c r="X23" s="102"/>
      <c r="Y23" s="116"/>
      <c r="Z23" s="184"/>
      <c r="AA23" s="185"/>
      <c r="AB23" s="115"/>
      <c r="AC23" s="102"/>
      <c r="AD23" s="116"/>
      <c r="AE23" s="184"/>
      <c r="AF23" s="185"/>
      <c r="AG23" s="115"/>
      <c r="AH23" s="102"/>
      <c r="AI23" s="116"/>
    </row>
    <row r="24" spans="2:35" x14ac:dyDescent="0.25">
      <c r="B24" s="139">
        <v>10</v>
      </c>
      <c r="C24" s="81" t="s">
        <v>187</v>
      </c>
      <c r="D24" s="213" t="s">
        <v>268</v>
      </c>
      <c r="E24" s="5" t="s">
        <v>113</v>
      </c>
      <c r="F24" s="184"/>
      <c r="G24" s="185"/>
      <c r="H24" s="115"/>
      <c r="I24" s="214"/>
      <c r="J24" s="116">
        <f t="shared" si="0"/>
        <v>0</v>
      </c>
      <c r="K24" s="184"/>
      <c r="L24" s="185"/>
      <c r="M24" s="115">
        <v>1265</v>
      </c>
      <c r="N24" s="102">
        <v>38443.35</v>
      </c>
      <c r="O24" s="116">
        <f t="shared" si="1"/>
        <v>38443.35</v>
      </c>
      <c r="P24" s="184"/>
      <c r="Q24" s="185"/>
      <c r="R24" s="115"/>
      <c r="S24" s="102"/>
      <c r="T24" s="116">
        <f t="shared" si="2"/>
        <v>0</v>
      </c>
      <c r="U24" s="184"/>
      <c r="V24" s="185"/>
      <c r="W24" s="115"/>
      <c r="X24" s="102"/>
      <c r="Y24" s="116"/>
      <c r="Z24" s="184"/>
      <c r="AA24" s="185"/>
      <c r="AB24" s="115"/>
      <c r="AC24" s="102"/>
      <c r="AD24" s="116"/>
      <c r="AE24" s="184"/>
      <c r="AF24" s="185"/>
      <c r="AG24" s="115"/>
      <c r="AH24" s="102"/>
      <c r="AI24" s="116"/>
    </row>
    <row r="25" spans="2:35" x14ac:dyDescent="0.25">
      <c r="B25" s="139">
        <v>11</v>
      </c>
      <c r="C25" s="81" t="s">
        <v>188</v>
      </c>
      <c r="D25" s="213" t="s">
        <v>269</v>
      </c>
      <c r="E25" s="5" t="s">
        <v>113</v>
      </c>
      <c r="F25" s="184"/>
      <c r="G25" s="185"/>
      <c r="H25" s="115"/>
      <c r="I25" s="214"/>
      <c r="J25" s="116">
        <f t="shared" si="0"/>
        <v>0</v>
      </c>
      <c r="K25" s="184"/>
      <c r="L25" s="185"/>
      <c r="M25" s="115">
        <v>690</v>
      </c>
      <c r="N25" s="102">
        <v>23101.200000000001</v>
      </c>
      <c r="O25" s="116">
        <f t="shared" si="1"/>
        <v>23101.200000000001</v>
      </c>
      <c r="P25" s="184"/>
      <c r="Q25" s="185"/>
      <c r="R25" s="115"/>
      <c r="S25" s="102"/>
      <c r="T25" s="116">
        <f t="shared" si="2"/>
        <v>0</v>
      </c>
      <c r="U25" s="184"/>
      <c r="V25" s="185"/>
      <c r="W25" s="115"/>
      <c r="X25" s="102"/>
      <c r="Y25" s="116"/>
      <c r="Z25" s="184"/>
      <c r="AA25" s="185"/>
      <c r="AB25" s="115"/>
      <c r="AC25" s="102"/>
      <c r="AD25" s="116"/>
      <c r="AE25" s="184"/>
      <c r="AF25" s="185"/>
      <c r="AG25" s="115"/>
      <c r="AH25" s="102"/>
      <c r="AI25" s="116"/>
    </row>
    <row r="26" spans="2:35" x14ac:dyDescent="0.25">
      <c r="B26" s="139">
        <v>12</v>
      </c>
      <c r="C26" s="81" t="s">
        <v>258</v>
      </c>
      <c r="D26" s="213" t="s">
        <v>269</v>
      </c>
      <c r="E26" s="5" t="s">
        <v>113</v>
      </c>
      <c r="F26" s="184"/>
      <c r="G26" s="185"/>
      <c r="H26" s="115"/>
      <c r="I26" s="214"/>
      <c r="J26" s="116">
        <f t="shared" si="0"/>
        <v>0</v>
      </c>
      <c r="K26" s="184"/>
      <c r="L26" s="185"/>
      <c r="M26" s="115">
        <v>500</v>
      </c>
      <c r="N26" s="102">
        <v>12860</v>
      </c>
      <c r="O26" s="116">
        <f t="shared" si="1"/>
        <v>12860</v>
      </c>
      <c r="P26" s="184"/>
      <c r="Q26" s="185"/>
      <c r="R26" s="115"/>
      <c r="S26" s="102"/>
      <c r="T26" s="116">
        <f t="shared" si="2"/>
        <v>0</v>
      </c>
      <c r="U26" s="184"/>
      <c r="V26" s="185"/>
      <c r="W26" s="115"/>
      <c r="X26" s="102"/>
      <c r="Y26" s="116"/>
      <c r="Z26" s="184"/>
      <c r="AA26" s="185"/>
      <c r="AB26" s="115"/>
      <c r="AC26" s="102"/>
      <c r="AD26" s="116"/>
      <c r="AE26" s="184"/>
      <c r="AF26" s="185"/>
      <c r="AG26" s="115"/>
      <c r="AH26" s="102"/>
      <c r="AI26" s="116"/>
    </row>
    <row r="27" spans="2:35" x14ac:dyDescent="0.25">
      <c r="B27" s="139">
        <v>13</v>
      </c>
      <c r="C27" s="81" t="s">
        <v>189</v>
      </c>
      <c r="D27" s="213" t="s">
        <v>270</v>
      </c>
      <c r="E27" s="5" t="s">
        <v>113</v>
      </c>
      <c r="F27" s="184"/>
      <c r="G27" s="185"/>
      <c r="H27" s="115"/>
      <c r="I27" s="214"/>
      <c r="J27" s="116">
        <f t="shared" si="0"/>
        <v>0</v>
      </c>
      <c r="K27" s="184"/>
      <c r="L27" s="185"/>
      <c r="M27" s="115">
        <v>1050</v>
      </c>
      <c r="N27" s="102">
        <v>37002</v>
      </c>
      <c r="O27" s="116">
        <f t="shared" si="1"/>
        <v>37002</v>
      </c>
      <c r="P27" s="184"/>
      <c r="Q27" s="185"/>
      <c r="R27" s="115"/>
      <c r="S27" s="102"/>
      <c r="T27" s="116">
        <f t="shared" si="2"/>
        <v>0</v>
      </c>
      <c r="U27" s="184"/>
      <c r="V27" s="185"/>
      <c r="W27" s="115"/>
      <c r="X27" s="102"/>
      <c r="Y27" s="116"/>
      <c r="Z27" s="184"/>
      <c r="AA27" s="185"/>
      <c r="AB27" s="115"/>
      <c r="AC27" s="102"/>
      <c r="AD27" s="116"/>
      <c r="AE27" s="184"/>
      <c r="AF27" s="185"/>
      <c r="AG27" s="115"/>
      <c r="AH27" s="102"/>
      <c r="AI27" s="116"/>
    </row>
    <row r="28" spans="2:35" x14ac:dyDescent="0.25">
      <c r="B28" s="139">
        <v>14</v>
      </c>
      <c r="C28" s="81" t="s">
        <v>259</v>
      </c>
      <c r="D28" s="213" t="s">
        <v>271</v>
      </c>
      <c r="E28" s="5" t="s">
        <v>113</v>
      </c>
      <c r="F28" s="184"/>
      <c r="G28" s="185"/>
      <c r="H28" s="115"/>
      <c r="I28" s="214"/>
      <c r="J28" s="116">
        <f t="shared" si="0"/>
        <v>0</v>
      </c>
      <c r="K28" s="184"/>
      <c r="L28" s="185"/>
      <c r="M28" s="115">
        <v>1005</v>
      </c>
      <c r="N28" s="102">
        <v>45667.199999999997</v>
      </c>
      <c r="O28" s="116">
        <f t="shared" si="1"/>
        <v>45667.199999999997</v>
      </c>
      <c r="P28" s="184"/>
      <c r="Q28" s="185"/>
      <c r="R28" s="115"/>
      <c r="S28" s="102"/>
      <c r="T28" s="116">
        <f t="shared" si="2"/>
        <v>0</v>
      </c>
      <c r="U28" s="184"/>
      <c r="V28" s="185"/>
      <c r="W28" s="115"/>
      <c r="X28" s="102"/>
      <c r="Y28" s="116"/>
      <c r="Z28" s="184"/>
      <c r="AA28" s="185"/>
      <c r="AB28" s="115"/>
      <c r="AC28" s="102"/>
      <c r="AD28" s="116"/>
      <c r="AE28" s="184"/>
      <c r="AF28" s="185"/>
      <c r="AG28" s="115"/>
      <c r="AH28" s="102"/>
      <c r="AI28" s="116"/>
    </row>
    <row r="29" spans="2:35" x14ac:dyDescent="0.25">
      <c r="B29" s="139">
        <v>15</v>
      </c>
      <c r="C29" s="81" t="s">
        <v>190</v>
      </c>
      <c r="D29" s="213" t="s">
        <v>271</v>
      </c>
      <c r="E29" s="5" t="s">
        <v>113</v>
      </c>
      <c r="F29" s="184"/>
      <c r="G29" s="185"/>
      <c r="H29" s="115"/>
      <c r="I29" s="214"/>
      <c r="J29" s="116">
        <f t="shared" si="0"/>
        <v>0</v>
      </c>
      <c r="K29" s="184"/>
      <c r="L29" s="185"/>
      <c r="M29" s="115">
        <v>680</v>
      </c>
      <c r="N29" s="102">
        <v>28893.200000000001</v>
      </c>
      <c r="O29" s="116">
        <f t="shared" si="1"/>
        <v>28893.200000000001</v>
      </c>
      <c r="P29" s="184"/>
      <c r="Q29" s="185"/>
      <c r="R29" s="115"/>
      <c r="S29" s="102"/>
      <c r="T29" s="116">
        <f t="shared" si="2"/>
        <v>0</v>
      </c>
      <c r="U29" s="184"/>
      <c r="V29" s="185"/>
      <c r="W29" s="115"/>
      <c r="X29" s="102"/>
      <c r="Y29" s="116"/>
      <c r="Z29" s="184"/>
      <c r="AA29" s="185"/>
      <c r="AB29" s="115"/>
      <c r="AC29" s="102"/>
      <c r="AD29" s="116"/>
      <c r="AE29" s="184"/>
      <c r="AF29" s="185"/>
      <c r="AG29" s="115"/>
      <c r="AH29" s="102"/>
      <c r="AI29" s="116"/>
    </row>
    <row r="30" spans="2:35" x14ac:dyDescent="0.25">
      <c r="B30" s="139">
        <v>16</v>
      </c>
      <c r="C30" s="81" t="s">
        <v>260</v>
      </c>
      <c r="D30" s="213" t="s">
        <v>271</v>
      </c>
      <c r="E30" s="5" t="s">
        <v>113</v>
      </c>
      <c r="F30" s="184"/>
      <c r="G30" s="185"/>
      <c r="H30" s="115"/>
      <c r="I30" s="214"/>
      <c r="J30" s="116">
        <f t="shared" si="0"/>
        <v>0</v>
      </c>
      <c r="K30" s="184"/>
      <c r="L30" s="185"/>
      <c r="M30" s="115">
        <v>625</v>
      </c>
      <c r="N30" s="102">
        <v>25556.25</v>
      </c>
      <c r="O30" s="116">
        <f t="shared" si="1"/>
        <v>25556.25</v>
      </c>
      <c r="P30" s="184"/>
      <c r="Q30" s="185"/>
      <c r="R30" s="115"/>
      <c r="S30" s="102"/>
      <c r="T30" s="116">
        <f t="shared" si="2"/>
        <v>0</v>
      </c>
      <c r="U30" s="184"/>
      <c r="V30" s="185"/>
      <c r="W30" s="115"/>
      <c r="X30" s="102"/>
      <c r="Y30" s="116"/>
      <c r="Z30" s="184"/>
      <c r="AA30" s="185"/>
      <c r="AB30" s="115"/>
      <c r="AC30" s="102"/>
      <c r="AD30" s="116"/>
      <c r="AE30" s="184"/>
      <c r="AF30" s="185"/>
      <c r="AG30" s="115"/>
      <c r="AH30" s="102"/>
      <c r="AI30" s="116"/>
    </row>
    <row r="31" spans="2:35" x14ac:dyDescent="0.25">
      <c r="B31" s="139">
        <v>17</v>
      </c>
      <c r="C31" s="81" t="s">
        <v>261</v>
      </c>
      <c r="D31" s="213" t="s">
        <v>271</v>
      </c>
      <c r="E31" s="5" t="s">
        <v>113</v>
      </c>
      <c r="F31" s="184"/>
      <c r="G31" s="185"/>
      <c r="H31" s="115"/>
      <c r="I31" s="214"/>
      <c r="J31" s="116">
        <f t="shared" si="0"/>
        <v>0</v>
      </c>
      <c r="K31" s="184"/>
      <c r="L31" s="185"/>
      <c r="M31" s="115">
        <v>1000</v>
      </c>
      <c r="N31" s="102">
        <v>15730</v>
      </c>
      <c r="O31" s="116">
        <f t="shared" si="1"/>
        <v>15730</v>
      </c>
      <c r="P31" s="184"/>
      <c r="Q31" s="185"/>
      <c r="R31" s="115"/>
      <c r="S31" s="102"/>
      <c r="T31" s="116">
        <f t="shared" si="2"/>
        <v>0</v>
      </c>
      <c r="U31" s="184"/>
      <c r="V31" s="185"/>
      <c r="W31" s="115"/>
      <c r="X31" s="102"/>
      <c r="Y31" s="116"/>
      <c r="Z31" s="184"/>
      <c r="AA31" s="185"/>
      <c r="AB31" s="115"/>
      <c r="AC31" s="102"/>
      <c r="AD31" s="116"/>
      <c r="AE31" s="184"/>
      <c r="AF31" s="185"/>
      <c r="AG31" s="115"/>
      <c r="AH31" s="102"/>
      <c r="AI31" s="116"/>
    </row>
    <row r="32" spans="2:35" x14ac:dyDescent="0.25">
      <c r="B32" s="139">
        <v>18</v>
      </c>
      <c r="C32" s="81" t="s">
        <v>262</v>
      </c>
      <c r="D32" s="213" t="s">
        <v>272</v>
      </c>
      <c r="E32" s="5" t="s">
        <v>113</v>
      </c>
      <c r="F32" s="184"/>
      <c r="G32" s="185"/>
      <c r="H32" s="115"/>
      <c r="I32" s="214"/>
      <c r="J32" s="116">
        <f t="shared" si="0"/>
        <v>0</v>
      </c>
      <c r="K32" s="184"/>
      <c r="L32" s="185"/>
      <c r="M32" s="115">
        <v>250</v>
      </c>
      <c r="N32" s="102">
        <v>5507.5</v>
      </c>
      <c r="O32" s="116">
        <f t="shared" si="1"/>
        <v>5507.5</v>
      </c>
      <c r="P32" s="184"/>
      <c r="Q32" s="185"/>
      <c r="R32" s="115"/>
      <c r="S32" s="102"/>
      <c r="T32" s="116">
        <f t="shared" si="2"/>
        <v>0</v>
      </c>
      <c r="U32" s="184"/>
      <c r="V32" s="185"/>
      <c r="W32" s="115"/>
      <c r="X32" s="102"/>
      <c r="Y32" s="116"/>
      <c r="Z32" s="184"/>
      <c r="AA32" s="185"/>
      <c r="AB32" s="115"/>
      <c r="AC32" s="102"/>
      <c r="AD32" s="116"/>
      <c r="AE32" s="184"/>
      <c r="AF32" s="185"/>
      <c r="AG32" s="115"/>
      <c r="AH32" s="102"/>
      <c r="AI32" s="116"/>
    </row>
    <row r="33" spans="2:35" x14ac:dyDescent="0.25">
      <c r="B33" s="139">
        <v>19</v>
      </c>
      <c r="C33" s="81" t="s">
        <v>191</v>
      </c>
      <c r="D33" s="213" t="s">
        <v>273</v>
      </c>
      <c r="E33" s="5" t="s">
        <v>113</v>
      </c>
      <c r="F33" s="184"/>
      <c r="G33" s="185"/>
      <c r="H33" s="115"/>
      <c r="I33" s="214"/>
      <c r="J33" s="116">
        <f t="shared" si="0"/>
        <v>0</v>
      </c>
      <c r="K33" s="184"/>
      <c r="L33" s="185"/>
      <c r="M33" s="115">
        <v>1355</v>
      </c>
      <c r="N33" s="102">
        <v>83102.149999999994</v>
      </c>
      <c r="O33" s="116">
        <f t="shared" si="1"/>
        <v>83102.149999999994</v>
      </c>
      <c r="P33" s="184"/>
      <c r="Q33" s="185"/>
      <c r="R33" s="115"/>
      <c r="S33" s="102"/>
      <c r="T33" s="116">
        <f t="shared" si="2"/>
        <v>0</v>
      </c>
      <c r="U33" s="184"/>
      <c r="V33" s="185"/>
      <c r="W33" s="115"/>
      <c r="X33" s="102"/>
      <c r="Y33" s="116"/>
      <c r="Z33" s="184"/>
      <c r="AA33" s="185"/>
      <c r="AB33" s="115"/>
      <c r="AC33" s="102"/>
      <c r="AD33" s="116"/>
      <c r="AE33" s="184"/>
      <c r="AF33" s="185"/>
      <c r="AG33" s="115"/>
      <c r="AH33" s="102"/>
      <c r="AI33" s="116"/>
    </row>
    <row r="34" spans="2:35" x14ac:dyDescent="0.25">
      <c r="B34" s="139">
        <v>20</v>
      </c>
      <c r="C34" s="81" t="s">
        <v>263</v>
      </c>
      <c r="D34" s="213" t="s">
        <v>273</v>
      </c>
      <c r="E34" s="5" t="s">
        <v>113</v>
      </c>
      <c r="F34" s="184"/>
      <c r="G34" s="185"/>
      <c r="H34" s="115"/>
      <c r="I34" s="214"/>
      <c r="J34" s="116">
        <f t="shared" si="0"/>
        <v>0</v>
      </c>
      <c r="K34" s="184"/>
      <c r="L34" s="185"/>
      <c r="M34" s="115">
        <v>1100</v>
      </c>
      <c r="N34" s="102">
        <v>39270</v>
      </c>
      <c r="O34" s="116">
        <f t="shared" si="1"/>
        <v>39270</v>
      </c>
      <c r="P34" s="184"/>
      <c r="Q34" s="185"/>
      <c r="R34" s="115"/>
      <c r="S34" s="102"/>
      <c r="T34" s="116">
        <f t="shared" si="2"/>
        <v>0</v>
      </c>
      <c r="U34" s="184"/>
      <c r="V34" s="185"/>
      <c r="W34" s="115"/>
      <c r="X34" s="102"/>
      <c r="Y34" s="116"/>
      <c r="Z34" s="184"/>
      <c r="AA34" s="185"/>
      <c r="AB34" s="115"/>
      <c r="AC34" s="102"/>
      <c r="AD34" s="116"/>
      <c r="AE34" s="184"/>
      <c r="AF34" s="185"/>
      <c r="AG34" s="115"/>
      <c r="AH34" s="102"/>
      <c r="AI34" s="116"/>
    </row>
    <row r="35" spans="2:35" x14ac:dyDescent="0.25">
      <c r="B35" s="139">
        <v>21</v>
      </c>
      <c r="C35" s="81" t="s">
        <v>192</v>
      </c>
      <c r="D35" s="213" t="s">
        <v>274</v>
      </c>
      <c r="E35" s="5" t="s">
        <v>113</v>
      </c>
      <c r="F35" s="184"/>
      <c r="G35" s="185"/>
      <c r="H35" s="115"/>
      <c r="I35" s="214"/>
      <c r="J35" s="116">
        <f t="shared" si="0"/>
        <v>0</v>
      </c>
      <c r="K35" s="184"/>
      <c r="L35" s="185"/>
      <c r="M35" s="115">
        <v>800</v>
      </c>
      <c r="N35" s="102">
        <v>23840</v>
      </c>
      <c r="O35" s="116">
        <f t="shared" si="1"/>
        <v>23840</v>
      </c>
      <c r="P35" s="184"/>
      <c r="Q35" s="185"/>
      <c r="R35" s="115"/>
      <c r="S35" s="102"/>
      <c r="T35" s="116">
        <f t="shared" si="2"/>
        <v>0</v>
      </c>
      <c r="U35" s="184"/>
      <c r="V35" s="185"/>
      <c r="W35" s="115"/>
      <c r="X35" s="102"/>
      <c r="Y35" s="116"/>
      <c r="Z35" s="184"/>
      <c r="AA35" s="185"/>
      <c r="AB35" s="115"/>
      <c r="AC35" s="102"/>
      <c r="AD35" s="116"/>
      <c r="AE35" s="184"/>
      <c r="AF35" s="185"/>
      <c r="AG35" s="115"/>
      <c r="AH35" s="102"/>
      <c r="AI35" s="116"/>
    </row>
    <row r="36" spans="2:35" x14ac:dyDescent="0.25">
      <c r="B36" s="139">
        <v>22</v>
      </c>
      <c r="C36" s="81" t="s">
        <v>193</v>
      </c>
      <c r="D36" s="213" t="s">
        <v>252</v>
      </c>
      <c r="E36" s="5" t="s">
        <v>113</v>
      </c>
      <c r="F36" s="184"/>
      <c r="G36" s="185"/>
      <c r="H36" s="115"/>
      <c r="I36" s="214"/>
      <c r="J36" s="116">
        <f t="shared" si="0"/>
        <v>0</v>
      </c>
      <c r="K36" s="184"/>
      <c r="L36" s="185"/>
      <c r="M36" s="115">
        <v>430</v>
      </c>
      <c r="N36" s="102">
        <v>16946.3</v>
      </c>
      <c r="O36" s="116">
        <f t="shared" si="1"/>
        <v>16946.3</v>
      </c>
      <c r="P36" s="184"/>
      <c r="Q36" s="185"/>
      <c r="R36" s="115"/>
      <c r="S36" s="102"/>
      <c r="T36" s="116">
        <f t="shared" si="2"/>
        <v>0</v>
      </c>
      <c r="U36" s="184"/>
      <c r="V36" s="185"/>
      <c r="W36" s="115"/>
      <c r="X36" s="102"/>
      <c r="Y36" s="116">
        <f t="shared" si="3"/>
        <v>0</v>
      </c>
      <c r="Z36" s="184"/>
      <c r="AA36" s="185"/>
      <c r="AB36" s="115"/>
      <c r="AC36" s="102"/>
      <c r="AD36" s="116">
        <f t="shared" si="4"/>
        <v>0</v>
      </c>
      <c r="AE36" s="184"/>
      <c r="AF36" s="185"/>
      <c r="AG36" s="115"/>
      <c r="AH36" s="102"/>
      <c r="AI36" s="116">
        <f t="shared" si="5"/>
        <v>0</v>
      </c>
    </row>
    <row r="37" spans="2:35" x14ac:dyDescent="0.25">
      <c r="B37" s="139">
        <v>23</v>
      </c>
      <c r="C37" s="81" t="s">
        <v>264</v>
      </c>
      <c r="D37" s="213" t="s">
        <v>272</v>
      </c>
      <c r="E37" s="5" t="s">
        <v>113</v>
      </c>
      <c r="F37" s="184"/>
      <c r="G37" s="185"/>
      <c r="H37" s="115"/>
      <c r="I37" s="214"/>
      <c r="J37" s="116">
        <f t="shared" si="0"/>
        <v>0</v>
      </c>
      <c r="K37" s="184"/>
      <c r="L37" s="185"/>
      <c r="M37" s="115">
        <v>1150</v>
      </c>
      <c r="N37" s="102">
        <v>28186.5</v>
      </c>
      <c r="O37" s="116">
        <f t="shared" si="1"/>
        <v>28186.5</v>
      </c>
      <c r="P37" s="184"/>
      <c r="Q37" s="185"/>
      <c r="R37" s="115"/>
      <c r="S37" s="102"/>
      <c r="T37" s="116">
        <f t="shared" si="2"/>
        <v>0</v>
      </c>
      <c r="U37" s="184"/>
      <c r="V37" s="185"/>
      <c r="W37" s="115"/>
      <c r="X37" s="102"/>
      <c r="Y37" s="116">
        <f t="shared" si="3"/>
        <v>0</v>
      </c>
      <c r="Z37" s="184"/>
      <c r="AA37" s="185"/>
      <c r="AB37" s="115"/>
      <c r="AC37" s="102"/>
      <c r="AD37" s="116">
        <f t="shared" si="4"/>
        <v>0</v>
      </c>
      <c r="AE37" s="184"/>
      <c r="AF37" s="185"/>
      <c r="AG37" s="115"/>
      <c r="AH37" s="102"/>
      <c r="AI37" s="116">
        <f t="shared" si="5"/>
        <v>0</v>
      </c>
    </row>
    <row r="38" spans="2:35" x14ac:dyDescent="0.25">
      <c r="B38" s="139">
        <v>24</v>
      </c>
      <c r="C38" s="81" t="s">
        <v>265</v>
      </c>
      <c r="D38" s="213" t="s">
        <v>275</v>
      </c>
      <c r="E38" s="5" t="s">
        <v>113</v>
      </c>
      <c r="F38" s="184"/>
      <c r="G38" s="185"/>
      <c r="H38" s="115"/>
      <c r="I38" s="214"/>
      <c r="J38" s="116">
        <f>G38+I38</f>
        <v>0</v>
      </c>
      <c r="K38" s="184"/>
      <c r="L38" s="185"/>
      <c r="M38" s="115">
        <v>560</v>
      </c>
      <c r="N38" s="102">
        <v>16648.8</v>
      </c>
      <c r="O38" s="116">
        <f t="shared" si="1"/>
        <v>16648.8</v>
      </c>
      <c r="P38" s="184"/>
      <c r="Q38" s="185"/>
      <c r="R38" s="115"/>
      <c r="S38" s="102"/>
      <c r="T38" s="116">
        <f t="shared" si="2"/>
        <v>0</v>
      </c>
      <c r="U38" s="184"/>
      <c r="V38" s="185"/>
      <c r="W38" s="115"/>
      <c r="X38" s="102"/>
      <c r="Y38" s="116">
        <f t="shared" si="3"/>
        <v>0</v>
      </c>
      <c r="Z38" s="184"/>
      <c r="AA38" s="185"/>
      <c r="AB38" s="115"/>
      <c r="AC38" s="102"/>
      <c r="AD38" s="116">
        <f t="shared" si="4"/>
        <v>0</v>
      </c>
      <c r="AE38" s="184"/>
      <c r="AF38" s="185"/>
      <c r="AG38" s="115"/>
      <c r="AH38" s="102"/>
      <c r="AI38" s="116">
        <f t="shared" si="5"/>
        <v>0</v>
      </c>
    </row>
    <row r="39" spans="2:35" x14ac:dyDescent="0.25">
      <c r="B39" s="139">
        <v>25</v>
      </c>
      <c r="C39" s="81" t="s">
        <v>194</v>
      </c>
      <c r="D39" s="213" t="s">
        <v>273</v>
      </c>
      <c r="E39" s="5" t="s">
        <v>113</v>
      </c>
      <c r="F39" s="184"/>
      <c r="G39" s="185"/>
      <c r="H39" s="115"/>
      <c r="I39" s="214"/>
      <c r="J39" s="116">
        <f t="shared" si="0"/>
        <v>0</v>
      </c>
      <c r="K39" s="184"/>
      <c r="L39" s="185"/>
      <c r="M39" s="115">
        <v>910</v>
      </c>
      <c r="N39" s="102">
        <v>33888.400000000001</v>
      </c>
      <c r="O39" s="116">
        <f t="shared" si="1"/>
        <v>33888.400000000001</v>
      </c>
      <c r="P39" s="184"/>
      <c r="Q39" s="185"/>
      <c r="R39" s="115"/>
      <c r="S39" s="102"/>
      <c r="T39" s="116">
        <f t="shared" si="2"/>
        <v>0</v>
      </c>
      <c r="U39" s="184"/>
      <c r="V39" s="185"/>
      <c r="W39" s="115"/>
      <c r="X39" s="102"/>
      <c r="Y39" s="116">
        <f t="shared" si="3"/>
        <v>0</v>
      </c>
      <c r="Z39" s="184"/>
      <c r="AA39" s="185"/>
      <c r="AB39" s="115"/>
      <c r="AC39" s="102"/>
      <c r="AD39" s="116">
        <f t="shared" si="4"/>
        <v>0</v>
      </c>
      <c r="AE39" s="184"/>
      <c r="AF39" s="185"/>
      <c r="AG39" s="115"/>
      <c r="AH39" s="102"/>
      <c r="AI39" s="116">
        <f t="shared" si="5"/>
        <v>0</v>
      </c>
    </row>
    <row r="40" spans="2:35" x14ac:dyDescent="0.25">
      <c r="B40" s="139">
        <v>26</v>
      </c>
      <c r="C40" s="81" t="s">
        <v>195</v>
      </c>
      <c r="D40" s="213" t="s">
        <v>276</v>
      </c>
      <c r="E40" s="5" t="s">
        <v>113</v>
      </c>
      <c r="F40" s="184"/>
      <c r="G40" s="185"/>
      <c r="H40" s="115"/>
      <c r="I40" s="214"/>
      <c r="J40" s="116">
        <f t="shared" si="0"/>
        <v>0</v>
      </c>
      <c r="K40" s="184"/>
      <c r="L40" s="185"/>
      <c r="M40" s="115">
        <v>950</v>
      </c>
      <c r="N40" s="102">
        <v>33915</v>
      </c>
      <c r="O40" s="116">
        <f t="shared" si="1"/>
        <v>33915</v>
      </c>
      <c r="P40" s="184"/>
      <c r="Q40" s="185"/>
      <c r="R40" s="115"/>
      <c r="S40" s="102"/>
      <c r="T40" s="116">
        <f t="shared" si="2"/>
        <v>0</v>
      </c>
      <c r="U40" s="184"/>
      <c r="V40" s="185"/>
      <c r="W40" s="115"/>
      <c r="X40" s="102"/>
      <c r="Y40" s="116">
        <f t="shared" si="3"/>
        <v>0</v>
      </c>
      <c r="Z40" s="184"/>
      <c r="AA40" s="185"/>
      <c r="AB40" s="115"/>
      <c r="AC40" s="102"/>
      <c r="AD40" s="116">
        <f t="shared" si="4"/>
        <v>0</v>
      </c>
      <c r="AE40" s="184"/>
      <c r="AF40" s="185"/>
      <c r="AG40" s="115"/>
      <c r="AH40" s="102"/>
      <c r="AI40" s="116">
        <f t="shared" si="5"/>
        <v>0</v>
      </c>
    </row>
    <row r="41" spans="2:35" x14ac:dyDescent="0.25">
      <c r="B41" s="139">
        <v>27</v>
      </c>
      <c r="C41" s="81" t="s">
        <v>266</v>
      </c>
      <c r="D41" s="213" t="s">
        <v>277</v>
      </c>
      <c r="E41" s="5" t="s">
        <v>113</v>
      </c>
      <c r="F41" s="184"/>
      <c r="G41" s="185"/>
      <c r="H41" s="115"/>
      <c r="I41" s="214"/>
      <c r="J41" s="116">
        <f t="shared" si="0"/>
        <v>0</v>
      </c>
      <c r="K41" s="184"/>
      <c r="L41" s="185"/>
      <c r="M41" s="115">
        <v>735</v>
      </c>
      <c r="N41" s="102">
        <v>22762.95</v>
      </c>
      <c r="O41" s="116">
        <f t="shared" si="1"/>
        <v>22762.95</v>
      </c>
      <c r="P41" s="184"/>
      <c r="Q41" s="185"/>
      <c r="R41" s="115"/>
      <c r="S41" s="102"/>
      <c r="T41" s="116">
        <f t="shared" si="2"/>
        <v>0</v>
      </c>
      <c r="U41" s="184"/>
      <c r="V41" s="185"/>
      <c r="W41" s="115"/>
      <c r="X41" s="102"/>
      <c r="Y41" s="116">
        <f t="shared" si="3"/>
        <v>0</v>
      </c>
      <c r="Z41" s="184"/>
      <c r="AA41" s="185"/>
      <c r="AB41" s="115"/>
      <c r="AC41" s="102"/>
      <c r="AD41" s="116">
        <f t="shared" si="4"/>
        <v>0</v>
      </c>
      <c r="AE41" s="184"/>
      <c r="AF41" s="185"/>
      <c r="AG41" s="115"/>
      <c r="AH41" s="102"/>
      <c r="AI41" s="116">
        <f t="shared" si="5"/>
        <v>0</v>
      </c>
    </row>
    <row r="42" spans="2:35" x14ac:dyDescent="0.25">
      <c r="B42" s="139">
        <v>28</v>
      </c>
      <c r="C42" s="81" t="s">
        <v>196</v>
      </c>
      <c r="D42" s="213" t="s">
        <v>278</v>
      </c>
      <c r="E42" s="5" t="s">
        <v>113</v>
      </c>
      <c r="F42" s="184"/>
      <c r="G42" s="185"/>
      <c r="H42" s="115"/>
      <c r="I42" s="214"/>
      <c r="J42" s="116">
        <f t="shared" si="0"/>
        <v>0</v>
      </c>
      <c r="K42" s="184"/>
      <c r="L42" s="185"/>
      <c r="M42" s="115">
        <v>600</v>
      </c>
      <c r="N42" s="102">
        <v>15636</v>
      </c>
      <c r="O42" s="116">
        <f t="shared" si="1"/>
        <v>15636</v>
      </c>
      <c r="P42" s="184"/>
      <c r="Q42" s="185"/>
      <c r="R42" s="115"/>
      <c r="S42" s="102"/>
      <c r="T42" s="116">
        <f t="shared" si="2"/>
        <v>0</v>
      </c>
      <c r="U42" s="184"/>
      <c r="V42" s="185"/>
      <c r="W42" s="115"/>
      <c r="X42" s="102"/>
      <c r="Y42" s="116">
        <f t="shared" si="3"/>
        <v>0</v>
      </c>
      <c r="Z42" s="184"/>
      <c r="AA42" s="185"/>
      <c r="AB42" s="115"/>
      <c r="AC42" s="102"/>
      <c r="AD42" s="116">
        <f t="shared" si="4"/>
        <v>0</v>
      </c>
      <c r="AE42" s="184"/>
      <c r="AF42" s="185"/>
      <c r="AG42" s="115"/>
      <c r="AH42" s="102"/>
      <c r="AI42" s="116">
        <f t="shared" si="5"/>
        <v>0</v>
      </c>
    </row>
    <row r="43" spans="2:35" x14ac:dyDescent="0.25">
      <c r="B43" s="139">
        <v>29</v>
      </c>
      <c r="C43" s="81" t="s">
        <v>267</v>
      </c>
      <c r="D43" s="213" t="s">
        <v>279</v>
      </c>
      <c r="E43" s="5" t="s">
        <v>113</v>
      </c>
      <c r="F43" s="184"/>
      <c r="G43" s="185"/>
      <c r="H43" s="115"/>
      <c r="I43" s="214"/>
      <c r="J43" s="116">
        <f t="shared" si="0"/>
        <v>0</v>
      </c>
      <c r="K43" s="184"/>
      <c r="L43" s="185"/>
      <c r="M43" s="115">
        <v>600</v>
      </c>
      <c r="N43" s="102">
        <v>35958</v>
      </c>
      <c r="O43" s="116">
        <f t="shared" si="1"/>
        <v>35958</v>
      </c>
      <c r="P43" s="184"/>
      <c r="Q43" s="185"/>
      <c r="R43" s="115"/>
      <c r="S43" s="102"/>
      <c r="T43" s="116">
        <f t="shared" si="2"/>
        <v>0</v>
      </c>
      <c r="U43" s="184"/>
      <c r="V43" s="185"/>
      <c r="W43" s="115"/>
      <c r="X43" s="102"/>
      <c r="Y43" s="116">
        <f t="shared" si="3"/>
        <v>0</v>
      </c>
      <c r="Z43" s="184"/>
      <c r="AA43" s="185"/>
      <c r="AB43" s="115"/>
      <c r="AC43" s="102"/>
      <c r="AD43" s="116">
        <f t="shared" si="4"/>
        <v>0</v>
      </c>
      <c r="AE43" s="184"/>
      <c r="AF43" s="185"/>
      <c r="AG43" s="115"/>
      <c r="AH43" s="102"/>
      <c r="AI43" s="116">
        <f t="shared" si="5"/>
        <v>0</v>
      </c>
    </row>
    <row r="44" spans="2:35" x14ac:dyDescent="0.25">
      <c r="B44" s="139">
        <v>30</v>
      </c>
      <c r="C44" s="81"/>
      <c r="D44" s="213"/>
      <c r="E44" s="5" t="s">
        <v>113</v>
      </c>
      <c r="F44" s="184"/>
      <c r="G44" s="185"/>
      <c r="H44" s="115"/>
      <c r="I44" s="214"/>
      <c r="J44" s="116">
        <f t="shared" si="0"/>
        <v>0</v>
      </c>
      <c r="K44" s="184"/>
      <c r="L44" s="185"/>
      <c r="M44" s="115"/>
      <c r="N44" s="102"/>
      <c r="O44" s="116">
        <f t="shared" si="1"/>
        <v>0</v>
      </c>
      <c r="P44" s="184"/>
      <c r="Q44" s="185"/>
      <c r="R44" s="115"/>
      <c r="S44" s="102"/>
      <c r="T44" s="116">
        <f t="shared" si="2"/>
        <v>0</v>
      </c>
      <c r="U44" s="184"/>
      <c r="V44" s="185"/>
      <c r="W44" s="115"/>
      <c r="X44" s="102"/>
      <c r="Y44" s="116">
        <f t="shared" si="3"/>
        <v>0</v>
      </c>
      <c r="Z44" s="184"/>
      <c r="AA44" s="185"/>
      <c r="AB44" s="115"/>
      <c r="AC44" s="102"/>
      <c r="AD44" s="116">
        <f t="shared" si="4"/>
        <v>0</v>
      </c>
      <c r="AE44" s="184"/>
      <c r="AF44" s="185"/>
      <c r="AG44" s="115"/>
      <c r="AH44" s="102"/>
      <c r="AI44" s="116">
        <f t="shared" si="5"/>
        <v>0</v>
      </c>
    </row>
    <row r="45" spans="2:35" x14ac:dyDescent="0.25">
      <c r="B45" s="139">
        <v>31</v>
      </c>
      <c r="C45" s="81"/>
      <c r="D45" s="213"/>
      <c r="E45" s="5" t="s">
        <v>113</v>
      </c>
      <c r="F45" s="184"/>
      <c r="G45" s="185"/>
      <c r="H45" s="115"/>
      <c r="I45" s="214"/>
      <c r="J45" s="116">
        <f t="shared" si="0"/>
        <v>0</v>
      </c>
      <c r="K45" s="184"/>
      <c r="L45" s="185"/>
      <c r="M45" s="115"/>
      <c r="N45" s="102"/>
      <c r="O45" s="116">
        <f t="shared" si="1"/>
        <v>0</v>
      </c>
      <c r="P45" s="184"/>
      <c r="Q45" s="185"/>
      <c r="R45" s="115"/>
      <c r="S45" s="102"/>
      <c r="T45" s="116">
        <f t="shared" si="2"/>
        <v>0</v>
      </c>
      <c r="U45" s="184"/>
      <c r="V45" s="185"/>
      <c r="W45" s="115"/>
      <c r="X45" s="102"/>
      <c r="Y45" s="116"/>
      <c r="Z45" s="184"/>
      <c r="AA45" s="185"/>
      <c r="AB45" s="115"/>
      <c r="AC45" s="102"/>
      <c r="AD45" s="116"/>
      <c r="AE45" s="184"/>
      <c r="AF45" s="185"/>
      <c r="AG45" s="115"/>
      <c r="AH45" s="102"/>
      <c r="AI45" s="116"/>
    </row>
    <row r="46" spans="2:35" x14ac:dyDescent="0.25">
      <c r="B46" s="139">
        <v>32</v>
      </c>
      <c r="C46" s="81"/>
      <c r="D46" s="213"/>
      <c r="E46" s="5" t="s">
        <v>113</v>
      </c>
      <c r="F46" s="184"/>
      <c r="G46" s="185"/>
      <c r="H46" s="115"/>
      <c r="I46" s="214"/>
      <c r="J46" s="116">
        <f t="shared" si="0"/>
        <v>0</v>
      </c>
      <c r="K46" s="184"/>
      <c r="L46" s="185"/>
      <c r="M46" s="115"/>
      <c r="N46" s="102"/>
      <c r="O46" s="116">
        <f t="shared" si="1"/>
        <v>0</v>
      </c>
      <c r="P46" s="184"/>
      <c r="Q46" s="185"/>
      <c r="R46" s="115"/>
      <c r="S46" s="102"/>
      <c r="T46" s="116">
        <f t="shared" si="2"/>
        <v>0</v>
      </c>
      <c r="U46" s="184"/>
      <c r="V46" s="185"/>
      <c r="W46" s="115"/>
      <c r="X46" s="102"/>
      <c r="Y46" s="116"/>
      <c r="Z46" s="184"/>
      <c r="AA46" s="185"/>
      <c r="AB46" s="115"/>
      <c r="AC46" s="102"/>
      <c r="AD46" s="116"/>
      <c r="AE46" s="184"/>
      <c r="AF46" s="185"/>
      <c r="AG46" s="115"/>
      <c r="AH46" s="102"/>
      <c r="AI46" s="116"/>
    </row>
    <row r="47" spans="2:35" x14ac:dyDescent="0.25">
      <c r="B47" s="139">
        <v>33</v>
      </c>
      <c r="C47" s="81"/>
      <c r="D47" s="82"/>
      <c r="E47" s="5" t="s">
        <v>113</v>
      </c>
      <c r="F47" s="184"/>
      <c r="G47" s="185"/>
      <c r="H47" s="115"/>
      <c r="I47" s="102"/>
      <c r="J47" s="116">
        <f t="shared" si="0"/>
        <v>0</v>
      </c>
      <c r="K47" s="184"/>
      <c r="L47" s="185"/>
      <c r="M47" s="115"/>
      <c r="N47" s="102"/>
      <c r="O47" s="116">
        <f t="shared" si="1"/>
        <v>0</v>
      </c>
      <c r="P47" s="184"/>
      <c r="Q47" s="185"/>
      <c r="R47" s="115"/>
      <c r="S47" s="102"/>
      <c r="T47" s="116">
        <f t="shared" si="2"/>
        <v>0</v>
      </c>
      <c r="U47" s="184"/>
      <c r="V47" s="185"/>
      <c r="W47" s="115"/>
      <c r="X47" s="102"/>
      <c r="Y47" s="116"/>
      <c r="Z47" s="184"/>
      <c r="AA47" s="185"/>
      <c r="AB47" s="115"/>
      <c r="AC47" s="102"/>
      <c r="AD47" s="116"/>
      <c r="AE47" s="184"/>
      <c r="AF47" s="185"/>
      <c r="AG47" s="115"/>
      <c r="AH47" s="102"/>
      <c r="AI47" s="116"/>
    </row>
    <row r="48" spans="2:35" x14ac:dyDescent="0.25">
      <c r="B48" s="139">
        <v>34</v>
      </c>
      <c r="C48" s="81" t="s">
        <v>254</v>
      </c>
      <c r="D48" s="82"/>
      <c r="E48" s="5" t="s">
        <v>113</v>
      </c>
      <c r="F48" s="184"/>
      <c r="G48" s="185"/>
      <c r="H48" s="115"/>
      <c r="I48" s="214">
        <v>977621.54999999993</v>
      </c>
      <c r="J48" s="116">
        <f t="shared" si="0"/>
        <v>977621.54999999993</v>
      </c>
      <c r="K48" s="184"/>
      <c r="L48" s="185"/>
      <c r="M48" s="115"/>
      <c r="N48" s="102"/>
      <c r="O48" s="116">
        <f t="shared" si="1"/>
        <v>0</v>
      </c>
      <c r="P48" s="184"/>
      <c r="Q48" s="185"/>
      <c r="R48" s="115"/>
      <c r="S48" s="115"/>
      <c r="T48" s="116">
        <f t="shared" si="2"/>
        <v>0</v>
      </c>
      <c r="U48" s="184"/>
      <c r="V48" s="185"/>
      <c r="W48" s="115"/>
      <c r="X48" s="102"/>
      <c r="Y48" s="116"/>
      <c r="Z48" s="184"/>
      <c r="AA48" s="185"/>
      <c r="AB48" s="115"/>
      <c r="AC48" s="102"/>
      <c r="AD48" s="116"/>
      <c r="AE48" s="184"/>
      <c r="AF48" s="185"/>
      <c r="AG48" s="115"/>
      <c r="AH48" s="102"/>
      <c r="AI48" s="116"/>
    </row>
    <row r="49" spans="1:35" x14ac:dyDescent="0.25">
      <c r="B49" s="139">
        <v>35</v>
      </c>
      <c r="C49" s="81" t="s">
        <v>249</v>
      </c>
      <c r="D49" s="82"/>
      <c r="E49" s="5" t="s">
        <v>113</v>
      </c>
      <c r="F49" s="184"/>
      <c r="G49" s="185"/>
      <c r="H49" s="115"/>
      <c r="I49" s="102"/>
      <c r="J49" s="116">
        <f t="shared" si="0"/>
        <v>0</v>
      </c>
      <c r="K49" s="184"/>
      <c r="L49" s="185"/>
      <c r="M49" s="115"/>
      <c r="N49" s="102"/>
      <c r="O49" s="116">
        <f t="shared" si="1"/>
        <v>0</v>
      </c>
      <c r="P49" s="184"/>
      <c r="Q49" s="185"/>
      <c r="R49" s="115"/>
      <c r="S49" s="210">
        <v>1073309.17</v>
      </c>
      <c r="T49" s="116">
        <f t="shared" si="2"/>
        <v>1073309.17</v>
      </c>
      <c r="U49" s="184"/>
      <c r="V49" s="185"/>
      <c r="W49" s="115"/>
      <c r="X49" s="102"/>
      <c r="Y49" s="116"/>
      <c r="Z49" s="184"/>
      <c r="AA49" s="185"/>
      <c r="AB49" s="115"/>
      <c r="AC49" s="102"/>
      <c r="AD49" s="116"/>
      <c r="AE49" s="184"/>
      <c r="AF49" s="185"/>
      <c r="AG49" s="115"/>
      <c r="AH49" s="102"/>
      <c r="AI49" s="116"/>
    </row>
    <row r="50" spans="1:35" ht="14.5" thickBot="1" x14ac:dyDescent="0.3">
      <c r="B50" s="139">
        <v>36</v>
      </c>
      <c r="C50" s="81"/>
      <c r="D50" s="82"/>
      <c r="E50" s="5" t="s">
        <v>113</v>
      </c>
      <c r="F50" s="184"/>
      <c r="G50" s="185"/>
      <c r="H50" s="115"/>
      <c r="I50" s="102"/>
      <c r="J50" s="116">
        <f t="shared" si="0"/>
        <v>0</v>
      </c>
      <c r="K50" s="184"/>
      <c r="L50" s="185"/>
      <c r="M50" s="115"/>
      <c r="N50" s="102"/>
      <c r="O50" s="116">
        <f t="shared" si="1"/>
        <v>0</v>
      </c>
      <c r="P50" s="184"/>
      <c r="Q50" s="185"/>
      <c r="R50" s="115"/>
      <c r="S50" s="102"/>
      <c r="T50" s="116">
        <f t="shared" si="2"/>
        <v>0</v>
      </c>
      <c r="U50" s="184"/>
      <c r="V50" s="185"/>
      <c r="W50" s="115"/>
      <c r="X50" s="102"/>
      <c r="Y50" s="116">
        <f t="shared" si="3"/>
        <v>0</v>
      </c>
      <c r="Z50" s="184"/>
      <c r="AA50" s="185"/>
      <c r="AB50" s="115"/>
      <c r="AC50" s="102"/>
      <c r="AD50" s="116">
        <f t="shared" si="4"/>
        <v>0</v>
      </c>
      <c r="AE50" s="184"/>
      <c r="AF50" s="185"/>
      <c r="AG50" s="115"/>
      <c r="AH50" s="102"/>
      <c r="AI50" s="116">
        <f t="shared" si="5"/>
        <v>0</v>
      </c>
    </row>
    <row r="51" spans="1:35" ht="31.5" customHeight="1" x14ac:dyDescent="0.25">
      <c r="D51" s="233" t="s">
        <v>109</v>
      </c>
      <c r="E51" s="234"/>
      <c r="F51" s="99">
        <f>SUMIF($E15:$E50,"&lt;&gt;SÍ",F15:F50)</f>
        <v>0</v>
      </c>
      <c r="G51" s="103">
        <f>SUMIF($E15:$E50,"&lt;&gt;SÍ",G15:G50)</f>
        <v>0</v>
      </c>
      <c r="H51" s="104">
        <f ca="1">SUMIF($E15:$E50,"&lt;&gt;SÍ",H15:H49)</f>
        <v>0</v>
      </c>
      <c r="I51" s="105">
        <f>SUMIF($E15:$E50,"&lt;&gt;SÍ",I15:I50)</f>
        <v>977621.54999999993</v>
      </c>
      <c r="J51" s="79">
        <f>G51+I51</f>
        <v>977621.54999999993</v>
      </c>
      <c r="K51" s="99">
        <f>SUMIF($E15:$E50,"&lt;&gt;SÍ",K15:K50)</f>
        <v>0</v>
      </c>
      <c r="L51" s="103">
        <f>SUMIF($E15:$E50,"&lt;&gt;SÍ",L15:L50)</f>
        <v>0</v>
      </c>
      <c r="M51" s="104">
        <f>SUMIF($E15:$E50,"&lt;&gt;SÍ",M15:M50)</f>
        <v>24590</v>
      </c>
      <c r="N51" s="105">
        <f>SUMIF($E15:$E50,"&lt;&gt;SÍ",N15:N50)</f>
        <v>884669.60000000009</v>
      </c>
      <c r="O51" s="79">
        <f>L51+N51</f>
        <v>884669.60000000009</v>
      </c>
      <c r="P51" s="99">
        <f>SUMIF($E15:$E50,"&lt;&gt;SÍ",P15:P50)</f>
        <v>0</v>
      </c>
      <c r="Q51" s="103">
        <f>SUMIF($E15:$E50,"&lt;&gt;SÍ",Q15:Q50)</f>
        <v>0</v>
      </c>
      <c r="R51" s="104">
        <f>SUMIF($E15:$E50,"&lt;&gt;SÍ",R15:R50)</f>
        <v>0</v>
      </c>
      <c r="S51" s="105">
        <f>SUMIF($E15:$E50,"&lt;&gt;SÍ",S15:S50)</f>
        <v>1073309.17</v>
      </c>
      <c r="T51" s="79">
        <f>Q51+S51</f>
        <v>1073309.17</v>
      </c>
      <c r="U51" s="99">
        <f>SUMIF($E15:$E50,"&lt;&gt;SÍ",U15:U50)</f>
        <v>0</v>
      </c>
      <c r="V51" s="103">
        <f>SUMIF($E15:$E50,"&lt;&gt;SÍ",V15:V50)</f>
        <v>0</v>
      </c>
      <c r="W51" s="104">
        <f>SUMIF($E15:$E50,"&lt;&gt;SÍ",W15:W50)</f>
        <v>0</v>
      </c>
      <c r="X51" s="105">
        <f>SUMIF($E15:$E50,"&lt;&gt;SÍ",X15:X50)</f>
        <v>0</v>
      </c>
      <c r="Y51" s="79">
        <f>V51+X51</f>
        <v>0</v>
      </c>
      <c r="Z51" s="99">
        <f>SUMIF($E15:$E50,"&lt;&gt;SÍ",Z15:Z50)</f>
        <v>0</v>
      </c>
      <c r="AA51" s="103">
        <f>SUMIF($E15:$E50,"&lt;&gt;SÍ",AA15:AA50)</f>
        <v>0</v>
      </c>
      <c r="AB51" s="104">
        <f>SUMIF($E15:$E50,"&lt;&gt;SÍ",AB15:AB50)</f>
        <v>0</v>
      </c>
      <c r="AC51" s="105">
        <f>SUMIF($E15:$E50,"&lt;&gt;SÍ",AC15:AC50)</f>
        <v>0</v>
      </c>
      <c r="AD51" s="79">
        <f>AA51+AC51</f>
        <v>0</v>
      </c>
      <c r="AE51" s="99">
        <f>SUMIF($E15:$E50,"&lt;&gt;SÍ",AE15:AE50)</f>
        <v>0</v>
      </c>
      <c r="AF51" s="103">
        <f>SUMIF($E15:$E50,"&lt;&gt;SÍ",AF15:AF50)</f>
        <v>0</v>
      </c>
      <c r="AG51" s="104">
        <f>SUMIF($E15:$E50,"&lt;&gt;SÍ",AG15:AG50)</f>
        <v>0</v>
      </c>
      <c r="AH51" s="105">
        <f>SUMIF($E15:$E50,"&lt;&gt;SÍ",AH15:AH50)</f>
        <v>0</v>
      </c>
      <c r="AI51" s="79">
        <f>AF51+AH51</f>
        <v>0</v>
      </c>
    </row>
    <row r="52" spans="1:35" ht="31.5" customHeight="1" thickBot="1" x14ac:dyDescent="0.3">
      <c r="D52" s="235" t="s">
        <v>110</v>
      </c>
      <c r="E52" s="236"/>
      <c r="F52" s="106">
        <f>SUMIF($E15:$E50,"SÍ",F15:F50)</f>
        <v>0</v>
      </c>
      <c r="G52" s="107">
        <f>SUMIF($E15:$E50,"SÍ",G15:G50)</f>
        <v>0</v>
      </c>
      <c r="H52" s="108"/>
      <c r="I52" s="109"/>
      <c r="J52" s="110">
        <f>G52</f>
        <v>0</v>
      </c>
      <c r="K52" s="106">
        <f>SUMIF($E15:$E50,"SÍ",K15:K50)</f>
        <v>0</v>
      </c>
      <c r="L52" s="107">
        <f>SUMIF($E15:$E50,"SÍ",L15:L50)</f>
        <v>0</v>
      </c>
      <c r="M52" s="108"/>
      <c r="N52" s="109"/>
      <c r="O52" s="110">
        <f>L52</f>
        <v>0</v>
      </c>
      <c r="P52" s="106">
        <f>SUMIF($E15:$E50,"SÍ",P15:P50)</f>
        <v>0</v>
      </c>
      <c r="Q52" s="107">
        <f>SUMIF($E15:$E50,"SÍ",Q15:Q50)</f>
        <v>0</v>
      </c>
      <c r="R52" s="108"/>
      <c r="S52" s="109"/>
      <c r="T52" s="110">
        <f>Q52</f>
        <v>0</v>
      </c>
      <c r="U52" s="106">
        <f>SUMIF($E15:$E50,"SÍ",U15:U50)</f>
        <v>0</v>
      </c>
      <c r="V52" s="107">
        <f>SUMIF($E15:$E50,"SÍ",V15:V50)</f>
        <v>0</v>
      </c>
      <c r="W52" s="108"/>
      <c r="X52" s="109"/>
      <c r="Y52" s="110">
        <f>V52</f>
        <v>0</v>
      </c>
      <c r="Z52" s="106">
        <f>SUMIF($E15:$E50,"SÍ",Z15:Z50)</f>
        <v>0</v>
      </c>
      <c r="AA52" s="107">
        <f>SUMIF($E15:$E50,"SÍ",AA15:AA50)</f>
        <v>0</v>
      </c>
      <c r="AB52" s="108"/>
      <c r="AC52" s="109"/>
      <c r="AD52" s="110">
        <f>AA52</f>
        <v>0</v>
      </c>
      <c r="AE52" s="106">
        <f>SUMIF($E15:$E50,"SÍ",AE15:AE50)</f>
        <v>0</v>
      </c>
      <c r="AF52" s="107">
        <f>SUMIF($E15:$E50,"SÍ",AF15:AF50)</f>
        <v>0</v>
      </c>
      <c r="AG52" s="108"/>
      <c r="AH52" s="109"/>
      <c r="AI52" s="110">
        <f>AF52</f>
        <v>0</v>
      </c>
    </row>
    <row r="53" spans="1:35" ht="31.5" customHeight="1" thickBot="1" x14ac:dyDescent="0.3">
      <c r="C53" s="117"/>
      <c r="D53" s="143" t="s">
        <v>14</v>
      </c>
      <c r="E53" s="144"/>
      <c r="F53" s="100">
        <f>F51+F52</f>
        <v>0</v>
      </c>
      <c r="G53" s="111">
        <f>G51+G52</f>
        <v>0</v>
      </c>
      <c r="H53" s="112">
        <f ca="1">H51</f>
        <v>0</v>
      </c>
      <c r="I53" s="113">
        <f>I51</f>
        <v>977621.54999999993</v>
      </c>
      <c r="J53" s="114">
        <f>G53+I53</f>
        <v>977621.54999999993</v>
      </c>
      <c r="K53" s="100">
        <f>K51+K52</f>
        <v>0</v>
      </c>
      <c r="L53" s="111">
        <f>L51+L52</f>
        <v>0</v>
      </c>
      <c r="M53" s="112">
        <f>M51</f>
        <v>24590</v>
      </c>
      <c r="N53" s="113">
        <f>N51</f>
        <v>884669.60000000009</v>
      </c>
      <c r="O53" s="114">
        <f>L53+N53</f>
        <v>884669.60000000009</v>
      </c>
      <c r="P53" s="100">
        <f>P51+P52</f>
        <v>0</v>
      </c>
      <c r="Q53" s="111">
        <f>Q51+Q52</f>
        <v>0</v>
      </c>
      <c r="R53" s="112">
        <f>R51</f>
        <v>0</v>
      </c>
      <c r="S53" s="113">
        <f>S51</f>
        <v>1073309.17</v>
      </c>
      <c r="T53" s="114">
        <f>Q53+S53</f>
        <v>1073309.17</v>
      </c>
      <c r="U53" s="100">
        <f>U51+U52</f>
        <v>0</v>
      </c>
      <c r="V53" s="111">
        <f>V51+V52</f>
        <v>0</v>
      </c>
      <c r="W53" s="112">
        <f>W51</f>
        <v>0</v>
      </c>
      <c r="X53" s="113">
        <f>X51</f>
        <v>0</v>
      </c>
      <c r="Y53" s="114">
        <f>V53+X53</f>
        <v>0</v>
      </c>
      <c r="Z53" s="100">
        <f>Z51+Z52</f>
        <v>0</v>
      </c>
      <c r="AA53" s="111">
        <f>AA51+AA52</f>
        <v>0</v>
      </c>
      <c r="AB53" s="112">
        <f>AB51</f>
        <v>0</v>
      </c>
      <c r="AC53" s="113">
        <f>AC51</f>
        <v>0</v>
      </c>
      <c r="AD53" s="114">
        <f>AA53+AC53</f>
        <v>0</v>
      </c>
      <c r="AE53" s="100">
        <f>AE51+AE52</f>
        <v>0</v>
      </c>
      <c r="AF53" s="111">
        <f>AF51+AF52</f>
        <v>0</v>
      </c>
      <c r="AG53" s="112">
        <f>AG51</f>
        <v>0</v>
      </c>
      <c r="AH53" s="113">
        <f>AH51</f>
        <v>0</v>
      </c>
      <c r="AI53" s="114">
        <f>AF53+AH53</f>
        <v>0</v>
      </c>
    </row>
    <row r="54" spans="1:35" ht="6" customHeight="1" x14ac:dyDescent="0.25">
      <c r="A54" s="22"/>
      <c r="B54" s="22"/>
      <c r="C54" s="22"/>
      <c r="D54" s="22"/>
      <c r="E54" s="22"/>
      <c r="F54" s="22"/>
      <c r="G54" s="22"/>
      <c r="H54" s="22"/>
      <c r="I54" s="22"/>
      <c r="J54" s="22"/>
    </row>
  </sheetData>
  <sheetProtection insertRows="0"/>
  <protectedRanges>
    <protectedRange password="CC9E" sqref="G12 D1:G1 F54 D2:D5 D53:E54 H54:IU54 U51:U52 Z51:Z52 AE51:AE52 AG13:IU13 AA51:AD53 V51:Y53 Q51:T53 H13:K13 B1:C5 B6:B8 A1:A8 E9:IU10 E2:G8 B11:G11 H1:IU8 H11:IU12 A9:B10 M13:P13 R13:U13 W13:Z13 AB13:AE13 AF51:IU53 B51:C54 D51:F52 H51:J53 K51:K52 L51:O53 P51:P52 A11:A54 G14:G54 H14:IU50 B12:F50" name="Rango2"/>
    <protectedRange password="CC9E" sqref="A56:A65565 K56:IU65565 G12 F54:F65565 D2:D5 D53:E65565 D1:J1 K54:IU54 U51:U52 Z51:Z52 AE51:AE52 AG13:IU13 AA51:AD53 V51:Y53 Q51:T53 K13 B1:C5 B6:B8 A1:A8 E9:IU10 E2:G8 B11:G11 K1:IU8 K11:IU12 I2:J8 H1:H8 A9:B10 M13:P13 R13:U13 W13:Z13 AB13:AE13 AF51:IU53 K51:K52 L51:O53 P51:P52 G14:G65565 A11:A54 B12:C65565 K14:IU50 H11:J65565 D12:F52" name="Rango1"/>
    <protectedRange password="CC9E" sqref="A55:IU55" name="Rango2_1"/>
    <protectedRange password="CC9E" sqref="A55:IU55" name="Rango1_1"/>
  </protectedRanges>
  <mergeCells count="12">
    <mergeCell ref="F13:J13"/>
    <mergeCell ref="D51:E51"/>
    <mergeCell ref="D52:E52"/>
    <mergeCell ref="B13:B14"/>
    <mergeCell ref="D13:D14"/>
    <mergeCell ref="C13:C14"/>
    <mergeCell ref="E13:E14"/>
    <mergeCell ref="K13:O13"/>
    <mergeCell ref="P13:T13"/>
    <mergeCell ref="U13:Y13"/>
    <mergeCell ref="Z13:AD13"/>
    <mergeCell ref="AE13:AI13"/>
  </mergeCells>
  <phoneticPr fontId="2" type="noConversion"/>
  <dataValidations count="1">
    <dataValidation type="list" allowBlank="1" showInputMessage="1" showErrorMessage="1" sqref="E15:E50">
      <formula1>"SÍ,NO"</formula1>
    </dataValidation>
  </dataValidations>
  <pageMargins left="0.39370078740157483" right="0.39370078740157483" top="0.78740157480314965" bottom="0.78740157480314965" header="0" footer="0.39370078740157483"/>
  <pageSetup paperSize="9" scale="23" fitToHeight="0" orientation="landscape" r:id="rId1"/>
  <headerFooter alignWithMargins="0">
    <oddFooter xml:space="preserve">&amp;CP. &amp;P / &amp;N
</oddFooter>
  </headerFooter>
  <ignoredErrors>
    <ignoredError sqref="B15 J14" unlockedFormula="1"/>
  </ignoredError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W41"/>
  <sheetViews>
    <sheetView showGridLines="0" zoomScale="75" zoomScaleNormal="75" workbookViewId="0">
      <pane xSplit="5" ySplit="16" topLeftCell="F17" activePane="bottomRight" state="frozen"/>
      <selection activeCell="C5" sqref="C5:D5"/>
      <selection pane="topRight" activeCell="C5" sqref="C5:D5"/>
      <selection pane="bottomLeft" activeCell="C5" sqref="C5:D5"/>
      <selection pane="bottomRight" activeCell="C1" sqref="C1"/>
    </sheetView>
  </sheetViews>
  <sheetFormatPr baseColWidth="10" defaultColWidth="11.453125" defaultRowHeight="14" x14ac:dyDescent="0.25"/>
  <cols>
    <col min="1" max="1" width="1.7265625" style="16" customWidth="1"/>
    <col min="2" max="2" width="14.7265625" style="16" customWidth="1"/>
    <col min="3" max="3" width="97.7265625" style="16" customWidth="1"/>
    <col min="4" max="4" width="19" style="16" customWidth="1"/>
    <col min="5" max="5" width="11.81640625" style="16" customWidth="1"/>
    <col min="6" max="14" width="14.7265625" style="16" customWidth="1"/>
    <col min="15" max="15" width="14" style="16" customWidth="1"/>
    <col min="16" max="17" width="13.81640625" style="16" customWidth="1"/>
    <col min="18" max="18" width="14.7265625" style="16" customWidth="1"/>
    <col min="19" max="19" width="14.1796875" style="16" customWidth="1"/>
    <col min="20" max="20" width="15.453125" style="16" customWidth="1"/>
    <col min="21" max="21" width="14.453125" style="16" customWidth="1"/>
    <col min="22" max="22" width="14.81640625" style="16" customWidth="1"/>
    <col min="23" max="23" width="14.54296875" style="16" customWidth="1"/>
    <col min="24" max="16384" width="11.453125" style="16"/>
  </cols>
  <sheetData>
    <row r="1" spans="1:23" ht="64.5" customHeight="1" x14ac:dyDescent="0.25">
      <c r="E1" s="252"/>
      <c r="F1" s="252"/>
      <c r="G1" s="252"/>
      <c r="H1" s="252"/>
      <c r="I1" s="252"/>
      <c r="J1" s="252"/>
      <c r="K1" s="12"/>
      <c r="L1" s="12"/>
      <c r="M1" s="12"/>
      <c r="N1" s="12"/>
    </row>
    <row r="2" spans="1:23" ht="15" customHeight="1" x14ac:dyDescent="0.25">
      <c r="B2" s="118"/>
    </row>
    <row r="3" spans="1:23" ht="15" customHeight="1" x14ac:dyDescent="0.25"/>
    <row r="4" spans="1:23" x14ac:dyDescent="0.25">
      <c r="B4" s="93" t="s">
        <v>6</v>
      </c>
    </row>
    <row r="5" spans="1:23" ht="15" customHeight="1" x14ac:dyDescent="0.25">
      <c r="B5" s="244" t="s">
        <v>134</v>
      </c>
      <c r="C5" s="244"/>
      <c r="D5" s="244"/>
      <c r="E5" s="244"/>
      <c r="F5" s="244"/>
      <c r="G5" s="244"/>
      <c r="H5" s="244"/>
      <c r="I5" s="244"/>
      <c r="J5" s="244"/>
      <c r="K5" s="244"/>
      <c r="L5" s="244"/>
      <c r="M5" s="244"/>
      <c r="N5" s="244"/>
    </row>
    <row r="6" spans="1:23" ht="14.25" customHeight="1" x14ac:dyDescent="0.25">
      <c r="B6" s="244"/>
      <c r="C6" s="244"/>
      <c r="D6" s="244"/>
      <c r="E6" s="244"/>
      <c r="F6" s="244"/>
      <c r="G6" s="244"/>
      <c r="H6" s="244"/>
      <c r="I6" s="244"/>
      <c r="J6" s="244"/>
      <c r="K6" s="244"/>
      <c r="L6" s="244"/>
      <c r="M6" s="244"/>
      <c r="N6" s="244"/>
    </row>
    <row r="7" spans="1:23" x14ac:dyDescent="0.25">
      <c r="B7" s="97"/>
      <c r="C7" s="176"/>
      <c r="F7" s="88"/>
    </row>
    <row r="8" spans="1:23" ht="33.75" customHeight="1" x14ac:dyDescent="0.25">
      <c r="B8" s="253" t="s">
        <v>141</v>
      </c>
      <c r="C8" s="253"/>
      <c r="D8" s="253"/>
      <c r="E8" s="253"/>
      <c r="F8" s="88"/>
    </row>
    <row r="9" spans="1:23" x14ac:dyDescent="0.25">
      <c r="B9" s="132"/>
      <c r="C9" s="176"/>
      <c r="F9" s="88"/>
    </row>
    <row r="10" spans="1:23" x14ac:dyDescent="0.25">
      <c r="B10" s="132" t="s">
        <v>126</v>
      </c>
      <c r="C10" s="176"/>
      <c r="F10" s="88"/>
    </row>
    <row r="11" spans="1:23" x14ac:dyDescent="0.25">
      <c r="B11" s="132"/>
      <c r="C11" s="176"/>
      <c r="F11" s="88"/>
    </row>
    <row r="12" spans="1:23" ht="27" customHeight="1" x14ac:dyDescent="0.25">
      <c r="B12" s="253" t="s">
        <v>151</v>
      </c>
      <c r="C12" s="253"/>
      <c r="D12" s="253"/>
      <c r="E12" s="253"/>
      <c r="F12" s="88"/>
    </row>
    <row r="13" spans="1:23" x14ac:dyDescent="0.25">
      <c r="B13" s="97"/>
      <c r="D13" s="176"/>
      <c r="F13" s="88"/>
    </row>
    <row r="14" spans="1:23" ht="6" customHeight="1" thickBot="1" x14ac:dyDescent="0.3"/>
    <row r="15" spans="1:23" ht="15.75" customHeight="1" thickBot="1" x14ac:dyDescent="0.3">
      <c r="A15" s="57"/>
      <c r="B15" s="237" t="s">
        <v>165</v>
      </c>
      <c r="C15" s="248" t="s">
        <v>8</v>
      </c>
      <c r="D15" s="237" t="s">
        <v>81</v>
      </c>
      <c r="E15" s="237" t="s">
        <v>131</v>
      </c>
      <c r="F15" s="245">
        <f>Personal!F13</f>
        <v>2023</v>
      </c>
      <c r="G15" s="246"/>
      <c r="H15" s="247"/>
      <c r="I15" s="245">
        <f>F15+1</f>
        <v>2024</v>
      </c>
      <c r="J15" s="246"/>
      <c r="K15" s="247"/>
      <c r="L15" s="245">
        <f>I15+1</f>
        <v>2025</v>
      </c>
      <c r="M15" s="246"/>
      <c r="N15" s="247"/>
      <c r="O15" s="245">
        <f>L15+1</f>
        <v>2026</v>
      </c>
      <c r="P15" s="246"/>
      <c r="Q15" s="247"/>
      <c r="R15" s="245">
        <f>O15+1</f>
        <v>2027</v>
      </c>
      <c r="S15" s="246"/>
      <c r="T15" s="247"/>
      <c r="U15" s="245">
        <f>R15+1</f>
        <v>2028</v>
      </c>
      <c r="V15" s="246"/>
      <c r="W15" s="247"/>
    </row>
    <row r="16" spans="1:23" s="57" customFormat="1" ht="78.75" customHeight="1" thickBot="1" x14ac:dyDescent="0.3">
      <c r="A16" s="16"/>
      <c r="B16" s="238" t="s">
        <v>1</v>
      </c>
      <c r="C16" s="249" t="s">
        <v>0</v>
      </c>
      <c r="D16" s="238"/>
      <c r="E16" s="238"/>
      <c r="F16" s="147" t="s">
        <v>9</v>
      </c>
      <c r="G16" s="148" t="s">
        <v>167</v>
      </c>
      <c r="H16" s="149" t="s">
        <v>10</v>
      </c>
      <c r="I16" s="147" t="s">
        <v>9</v>
      </c>
      <c r="J16" s="148" t="s">
        <v>167</v>
      </c>
      <c r="K16" s="149" t="s">
        <v>10</v>
      </c>
      <c r="L16" s="147" t="s">
        <v>9</v>
      </c>
      <c r="M16" s="148" t="s">
        <v>167</v>
      </c>
      <c r="N16" s="149" t="s">
        <v>10</v>
      </c>
      <c r="O16" s="147" t="s">
        <v>9</v>
      </c>
      <c r="P16" s="148" t="s">
        <v>167</v>
      </c>
      <c r="Q16" s="149" t="s">
        <v>10</v>
      </c>
      <c r="R16" s="147" t="s">
        <v>9</v>
      </c>
      <c r="S16" s="148" t="s">
        <v>167</v>
      </c>
      <c r="T16" s="149" t="s">
        <v>10</v>
      </c>
      <c r="U16" s="147" t="s">
        <v>9</v>
      </c>
      <c r="V16" s="148" t="s">
        <v>167</v>
      </c>
      <c r="W16" s="149" t="s">
        <v>10</v>
      </c>
    </row>
    <row r="17" spans="2:23" ht="15.75" customHeight="1" x14ac:dyDescent="0.25">
      <c r="B17" s="138">
        <v>1</v>
      </c>
      <c r="C17" s="67"/>
      <c r="D17" s="67"/>
      <c r="E17" s="68"/>
      <c r="F17" s="59"/>
      <c r="G17" s="65"/>
      <c r="H17" s="186">
        <f>SUM(F17:G17)</f>
        <v>0</v>
      </c>
      <c r="I17" s="59"/>
      <c r="J17" s="65"/>
      <c r="K17" s="186">
        <f>SUM(I17:J17)</f>
        <v>0</v>
      </c>
      <c r="L17" s="59"/>
      <c r="M17" s="65"/>
      <c r="N17" s="186">
        <f>SUM(L17:M17)</f>
        <v>0</v>
      </c>
      <c r="O17" s="59"/>
      <c r="P17" s="65"/>
      <c r="Q17" s="186">
        <f>SUM(O17:P17)</f>
        <v>0</v>
      </c>
      <c r="R17" s="59"/>
      <c r="S17" s="65"/>
      <c r="T17" s="186">
        <f>SUM(R17:S17)</f>
        <v>0</v>
      </c>
      <c r="U17" s="59"/>
      <c r="V17" s="65"/>
      <c r="W17" s="186">
        <f>U17+V17</f>
        <v>0</v>
      </c>
    </row>
    <row r="18" spans="2:23" x14ac:dyDescent="0.25">
      <c r="B18" s="139">
        <f>B17+1</f>
        <v>2</v>
      </c>
      <c r="C18" s="69"/>
      <c r="D18" s="69"/>
      <c r="E18" s="70"/>
      <c r="F18" s="59"/>
      <c r="G18" s="60"/>
      <c r="H18" s="186">
        <f t="shared" ref="H18:H36" si="0">SUM(F18:G18)</f>
        <v>0</v>
      </c>
      <c r="I18" s="71"/>
      <c r="J18" s="72"/>
      <c r="K18" s="186">
        <f t="shared" ref="K18:K36" si="1">SUM(I18:J18)</f>
        <v>0</v>
      </c>
      <c r="L18" s="65"/>
      <c r="M18" s="65"/>
      <c r="N18" s="186">
        <f t="shared" ref="N18:N36" si="2">SUM(L18:M18)</f>
        <v>0</v>
      </c>
      <c r="O18" s="65"/>
      <c r="P18" s="65"/>
      <c r="Q18" s="186">
        <f t="shared" ref="Q18:Q36" si="3">SUM(O18:P18)</f>
        <v>0</v>
      </c>
      <c r="R18" s="65"/>
      <c r="S18" s="65"/>
      <c r="T18" s="186">
        <f t="shared" ref="T18:T36" si="4">SUM(R18:S18)</f>
        <v>0</v>
      </c>
      <c r="U18" s="65"/>
      <c r="V18" s="65"/>
      <c r="W18" s="186">
        <f t="shared" ref="W18:W36" si="5">U18+V18</f>
        <v>0</v>
      </c>
    </row>
    <row r="19" spans="2:23" x14ac:dyDescent="0.25">
      <c r="B19" s="139">
        <f t="shared" ref="B19:B35" si="6">B18+1</f>
        <v>3</v>
      </c>
      <c r="C19" s="69"/>
      <c r="D19" s="69"/>
      <c r="E19" s="70"/>
      <c r="F19" s="59"/>
      <c r="G19" s="60"/>
      <c r="H19" s="186">
        <f t="shared" si="0"/>
        <v>0</v>
      </c>
      <c r="I19" s="71"/>
      <c r="J19" s="72"/>
      <c r="K19" s="186">
        <f t="shared" si="1"/>
        <v>0</v>
      </c>
      <c r="L19" s="65"/>
      <c r="M19" s="65"/>
      <c r="N19" s="186">
        <f t="shared" si="2"/>
        <v>0</v>
      </c>
      <c r="O19" s="65"/>
      <c r="P19" s="65"/>
      <c r="Q19" s="186">
        <f t="shared" si="3"/>
        <v>0</v>
      </c>
      <c r="R19" s="65"/>
      <c r="S19" s="65"/>
      <c r="T19" s="186">
        <f t="shared" si="4"/>
        <v>0</v>
      </c>
      <c r="U19" s="65"/>
      <c r="V19" s="65"/>
      <c r="W19" s="186">
        <f t="shared" si="5"/>
        <v>0</v>
      </c>
    </row>
    <row r="20" spans="2:23" x14ac:dyDescent="0.25">
      <c r="B20" s="139">
        <f t="shared" si="6"/>
        <v>4</v>
      </c>
      <c r="C20" s="69"/>
      <c r="D20" s="69"/>
      <c r="E20" s="70"/>
      <c r="F20" s="59"/>
      <c r="G20" s="60"/>
      <c r="H20" s="186">
        <f t="shared" si="0"/>
        <v>0</v>
      </c>
      <c r="I20" s="71"/>
      <c r="J20" s="72"/>
      <c r="K20" s="186">
        <f t="shared" si="1"/>
        <v>0</v>
      </c>
      <c r="L20" s="65"/>
      <c r="M20" s="65"/>
      <c r="N20" s="186">
        <f t="shared" si="2"/>
        <v>0</v>
      </c>
      <c r="O20" s="65"/>
      <c r="P20" s="65"/>
      <c r="Q20" s="186">
        <f t="shared" si="3"/>
        <v>0</v>
      </c>
      <c r="R20" s="65"/>
      <c r="S20" s="65"/>
      <c r="T20" s="186">
        <f t="shared" si="4"/>
        <v>0</v>
      </c>
      <c r="U20" s="65"/>
      <c r="V20" s="65"/>
      <c r="W20" s="186">
        <f t="shared" si="5"/>
        <v>0</v>
      </c>
    </row>
    <row r="21" spans="2:23" x14ac:dyDescent="0.25">
      <c r="B21" s="139">
        <f t="shared" si="6"/>
        <v>5</v>
      </c>
      <c r="C21" s="69"/>
      <c r="D21" s="69"/>
      <c r="E21" s="70"/>
      <c r="F21" s="59"/>
      <c r="G21" s="60"/>
      <c r="H21" s="186">
        <f t="shared" si="0"/>
        <v>0</v>
      </c>
      <c r="I21" s="71"/>
      <c r="J21" s="72"/>
      <c r="K21" s="186">
        <f t="shared" si="1"/>
        <v>0</v>
      </c>
      <c r="L21" s="65"/>
      <c r="M21" s="65"/>
      <c r="N21" s="186">
        <f t="shared" si="2"/>
        <v>0</v>
      </c>
      <c r="O21" s="65"/>
      <c r="P21" s="65"/>
      <c r="Q21" s="186">
        <f t="shared" si="3"/>
        <v>0</v>
      </c>
      <c r="R21" s="65"/>
      <c r="S21" s="65"/>
      <c r="T21" s="186">
        <f t="shared" si="4"/>
        <v>0</v>
      </c>
      <c r="U21" s="65"/>
      <c r="V21" s="65"/>
      <c r="W21" s="186">
        <f t="shared" si="5"/>
        <v>0</v>
      </c>
    </row>
    <row r="22" spans="2:23" x14ac:dyDescent="0.25">
      <c r="B22" s="139">
        <f t="shared" si="6"/>
        <v>6</v>
      </c>
      <c r="C22" s="69"/>
      <c r="D22" s="69"/>
      <c r="E22" s="70"/>
      <c r="F22" s="59"/>
      <c r="G22" s="60"/>
      <c r="H22" s="186">
        <f t="shared" si="0"/>
        <v>0</v>
      </c>
      <c r="I22" s="71"/>
      <c r="J22" s="72"/>
      <c r="K22" s="186">
        <f t="shared" si="1"/>
        <v>0</v>
      </c>
      <c r="L22" s="65"/>
      <c r="M22" s="65"/>
      <c r="N22" s="186">
        <f t="shared" si="2"/>
        <v>0</v>
      </c>
      <c r="O22" s="65"/>
      <c r="P22" s="65"/>
      <c r="Q22" s="186">
        <f t="shared" si="3"/>
        <v>0</v>
      </c>
      <c r="R22" s="65"/>
      <c r="S22" s="65"/>
      <c r="T22" s="186">
        <f t="shared" si="4"/>
        <v>0</v>
      </c>
      <c r="U22" s="65"/>
      <c r="V22" s="65"/>
      <c r="W22" s="186">
        <f t="shared" si="5"/>
        <v>0</v>
      </c>
    </row>
    <row r="23" spans="2:23" x14ac:dyDescent="0.25">
      <c r="B23" s="139">
        <f t="shared" si="6"/>
        <v>7</v>
      </c>
      <c r="C23" s="69"/>
      <c r="D23" s="69"/>
      <c r="E23" s="70"/>
      <c r="F23" s="59"/>
      <c r="G23" s="60"/>
      <c r="H23" s="186">
        <f t="shared" si="0"/>
        <v>0</v>
      </c>
      <c r="I23" s="71"/>
      <c r="J23" s="72"/>
      <c r="K23" s="186">
        <f t="shared" si="1"/>
        <v>0</v>
      </c>
      <c r="L23" s="65"/>
      <c r="M23" s="65"/>
      <c r="N23" s="186">
        <f t="shared" si="2"/>
        <v>0</v>
      </c>
      <c r="O23" s="65"/>
      <c r="P23" s="65"/>
      <c r="Q23" s="186">
        <f t="shared" si="3"/>
        <v>0</v>
      </c>
      <c r="R23" s="65"/>
      <c r="S23" s="65"/>
      <c r="T23" s="186">
        <f t="shared" si="4"/>
        <v>0</v>
      </c>
      <c r="U23" s="65"/>
      <c r="V23" s="65"/>
      <c r="W23" s="186">
        <f t="shared" si="5"/>
        <v>0</v>
      </c>
    </row>
    <row r="24" spans="2:23" x14ac:dyDescent="0.25">
      <c r="B24" s="139">
        <f t="shared" si="6"/>
        <v>8</v>
      </c>
      <c r="C24" s="69"/>
      <c r="D24" s="69"/>
      <c r="E24" s="70"/>
      <c r="F24" s="59"/>
      <c r="G24" s="60"/>
      <c r="H24" s="186">
        <f t="shared" si="0"/>
        <v>0</v>
      </c>
      <c r="I24" s="71"/>
      <c r="J24" s="72"/>
      <c r="K24" s="186">
        <f t="shared" si="1"/>
        <v>0</v>
      </c>
      <c r="L24" s="65"/>
      <c r="M24" s="65"/>
      <c r="N24" s="186">
        <f t="shared" si="2"/>
        <v>0</v>
      </c>
      <c r="O24" s="65"/>
      <c r="P24" s="65"/>
      <c r="Q24" s="186">
        <f t="shared" si="3"/>
        <v>0</v>
      </c>
      <c r="R24" s="65"/>
      <c r="S24" s="65"/>
      <c r="T24" s="186">
        <f t="shared" si="4"/>
        <v>0</v>
      </c>
      <c r="U24" s="65"/>
      <c r="V24" s="65"/>
      <c r="W24" s="186">
        <f t="shared" si="5"/>
        <v>0</v>
      </c>
    </row>
    <row r="25" spans="2:23" x14ac:dyDescent="0.25">
      <c r="B25" s="139">
        <f t="shared" si="6"/>
        <v>9</v>
      </c>
      <c r="C25" s="69"/>
      <c r="D25" s="69"/>
      <c r="E25" s="70"/>
      <c r="F25" s="59"/>
      <c r="G25" s="60"/>
      <c r="H25" s="186">
        <f t="shared" si="0"/>
        <v>0</v>
      </c>
      <c r="I25" s="71"/>
      <c r="J25" s="72"/>
      <c r="K25" s="186">
        <f t="shared" si="1"/>
        <v>0</v>
      </c>
      <c r="L25" s="65"/>
      <c r="M25" s="65"/>
      <c r="N25" s="186">
        <f t="shared" si="2"/>
        <v>0</v>
      </c>
      <c r="O25" s="65"/>
      <c r="P25" s="65"/>
      <c r="Q25" s="186">
        <f t="shared" si="3"/>
        <v>0</v>
      </c>
      <c r="R25" s="65"/>
      <c r="S25" s="65"/>
      <c r="T25" s="186">
        <f t="shared" si="4"/>
        <v>0</v>
      </c>
      <c r="U25" s="65"/>
      <c r="V25" s="65"/>
      <c r="W25" s="186">
        <f t="shared" si="5"/>
        <v>0</v>
      </c>
    </row>
    <row r="26" spans="2:23" x14ac:dyDescent="0.25">
      <c r="B26" s="139">
        <f t="shared" si="6"/>
        <v>10</v>
      </c>
      <c r="C26" s="69"/>
      <c r="D26" s="69"/>
      <c r="E26" s="70"/>
      <c r="F26" s="59"/>
      <c r="G26" s="60"/>
      <c r="H26" s="186">
        <f t="shared" si="0"/>
        <v>0</v>
      </c>
      <c r="I26" s="71"/>
      <c r="J26" s="72"/>
      <c r="K26" s="186">
        <f t="shared" si="1"/>
        <v>0</v>
      </c>
      <c r="L26" s="65"/>
      <c r="M26" s="65"/>
      <c r="N26" s="186">
        <f t="shared" si="2"/>
        <v>0</v>
      </c>
      <c r="O26" s="65"/>
      <c r="P26" s="65"/>
      <c r="Q26" s="186">
        <f t="shared" si="3"/>
        <v>0</v>
      </c>
      <c r="R26" s="65"/>
      <c r="S26" s="65"/>
      <c r="T26" s="186">
        <f t="shared" si="4"/>
        <v>0</v>
      </c>
      <c r="U26" s="65"/>
      <c r="V26" s="65"/>
      <c r="W26" s="186">
        <f t="shared" si="5"/>
        <v>0</v>
      </c>
    </row>
    <row r="27" spans="2:23" x14ac:dyDescent="0.25">
      <c r="B27" s="139">
        <f t="shared" si="6"/>
        <v>11</v>
      </c>
      <c r="C27" s="69"/>
      <c r="D27" s="69"/>
      <c r="E27" s="70"/>
      <c r="F27" s="59"/>
      <c r="G27" s="60"/>
      <c r="H27" s="186">
        <f t="shared" si="0"/>
        <v>0</v>
      </c>
      <c r="I27" s="71"/>
      <c r="J27" s="72"/>
      <c r="K27" s="186">
        <f t="shared" si="1"/>
        <v>0</v>
      </c>
      <c r="L27" s="65"/>
      <c r="M27" s="65"/>
      <c r="N27" s="186">
        <f t="shared" si="2"/>
        <v>0</v>
      </c>
      <c r="O27" s="65"/>
      <c r="P27" s="65"/>
      <c r="Q27" s="186">
        <f t="shared" si="3"/>
        <v>0</v>
      </c>
      <c r="R27" s="65"/>
      <c r="S27" s="65"/>
      <c r="T27" s="186">
        <f t="shared" si="4"/>
        <v>0</v>
      </c>
      <c r="U27" s="65"/>
      <c r="V27" s="65"/>
      <c r="W27" s="186">
        <f t="shared" si="5"/>
        <v>0</v>
      </c>
    </row>
    <row r="28" spans="2:23" x14ac:dyDescent="0.25">
      <c r="B28" s="139">
        <f t="shared" si="6"/>
        <v>12</v>
      </c>
      <c r="C28" s="69"/>
      <c r="D28" s="69"/>
      <c r="E28" s="70"/>
      <c r="F28" s="59"/>
      <c r="G28" s="60"/>
      <c r="H28" s="186">
        <f t="shared" si="0"/>
        <v>0</v>
      </c>
      <c r="I28" s="71"/>
      <c r="J28" s="72"/>
      <c r="K28" s="186">
        <f t="shared" si="1"/>
        <v>0</v>
      </c>
      <c r="L28" s="65"/>
      <c r="M28" s="65"/>
      <c r="N28" s="186">
        <f t="shared" si="2"/>
        <v>0</v>
      </c>
      <c r="O28" s="65"/>
      <c r="P28" s="65"/>
      <c r="Q28" s="186">
        <f t="shared" si="3"/>
        <v>0</v>
      </c>
      <c r="R28" s="65"/>
      <c r="S28" s="65"/>
      <c r="T28" s="186">
        <f t="shared" si="4"/>
        <v>0</v>
      </c>
      <c r="U28" s="65"/>
      <c r="V28" s="65"/>
      <c r="W28" s="186">
        <f t="shared" si="5"/>
        <v>0</v>
      </c>
    </row>
    <row r="29" spans="2:23" x14ac:dyDescent="0.25">
      <c r="B29" s="139">
        <f t="shared" si="6"/>
        <v>13</v>
      </c>
      <c r="C29" s="69"/>
      <c r="D29" s="69"/>
      <c r="E29" s="70"/>
      <c r="F29" s="59"/>
      <c r="G29" s="60"/>
      <c r="H29" s="186">
        <f t="shared" si="0"/>
        <v>0</v>
      </c>
      <c r="I29" s="71"/>
      <c r="J29" s="72"/>
      <c r="K29" s="186">
        <f t="shared" si="1"/>
        <v>0</v>
      </c>
      <c r="L29" s="65"/>
      <c r="M29" s="65"/>
      <c r="N29" s="186">
        <f t="shared" si="2"/>
        <v>0</v>
      </c>
      <c r="O29" s="65"/>
      <c r="P29" s="65"/>
      <c r="Q29" s="186">
        <f t="shared" si="3"/>
        <v>0</v>
      </c>
      <c r="R29" s="65"/>
      <c r="S29" s="65"/>
      <c r="T29" s="186">
        <f t="shared" si="4"/>
        <v>0</v>
      </c>
      <c r="U29" s="65"/>
      <c r="V29" s="65"/>
      <c r="W29" s="186">
        <f t="shared" si="5"/>
        <v>0</v>
      </c>
    </row>
    <row r="30" spans="2:23" x14ac:dyDescent="0.25">
      <c r="B30" s="139">
        <f t="shared" si="6"/>
        <v>14</v>
      </c>
      <c r="C30" s="69"/>
      <c r="D30" s="69"/>
      <c r="E30" s="70"/>
      <c r="F30" s="59"/>
      <c r="G30" s="60"/>
      <c r="H30" s="186">
        <f t="shared" si="0"/>
        <v>0</v>
      </c>
      <c r="I30" s="71"/>
      <c r="J30" s="72"/>
      <c r="K30" s="186">
        <f t="shared" si="1"/>
        <v>0</v>
      </c>
      <c r="L30" s="65"/>
      <c r="M30" s="65"/>
      <c r="N30" s="186">
        <f t="shared" si="2"/>
        <v>0</v>
      </c>
      <c r="O30" s="65"/>
      <c r="P30" s="65"/>
      <c r="Q30" s="186">
        <f t="shared" si="3"/>
        <v>0</v>
      </c>
      <c r="R30" s="65"/>
      <c r="S30" s="65"/>
      <c r="T30" s="186">
        <f t="shared" si="4"/>
        <v>0</v>
      </c>
      <c r="U30" s="65"/>
      <c r="V30" s="65"/>
      <c r="W30" s="186">
        <f t="shared" si="5"/>
        <v>0</v>
      </c>
    </row>
    <row r="31" spans="2:23" x14ac:dyDescent="0.25">
      <c r="B31" s="139">
        <f t="shared" si="6"/>
        <v>15</v>
      </c>
      <c r="C31" s="69"/>
      <c r="D31" s="69"/>
      <c r="E31" s="70"/>
      <c r="F31" s="59"/>
      <c r="G31" s="60"/>
      <c r="H31" s="186">
        <f t="shared" si="0"/>
        <v>0</v>
      </c>
      <c r="I31" s="71"/>
      <c r="J31" s="72"/>
      <c r="K31" s="186">
        <f t="shared" si="1"/>
        <v>0</v>
      </c>
      <c r="L31" s="65"/>
      <c r="M31" s="65"/>
      <c r="N31" s="186">
        <f t="shared" si="2"/>
        <v>0</v>
      </c>
      <c r="O31" s="65"/>
      <c r="P31" s="65"/>
      <c r="Q31" s="186">
        <f t="shared" si="3"/>
        <v>0</v>
      </c>
      <c r="R31" s="65"/>
      <c r="S31" s="65"/>
      <c r="T31" s="186">
        <f t="shared" si="4"/>
        <v>0</v>
      </c>
      <c r="U31" s="65"/>
      <c r="V31" s="65"/>
      <c r="W31" s="186">
        <f t="shared" si="5"/>
        <v>0</v>
      </c>
    </row>
    <row r="32" spans="2:23" x14ac:dyDescent="0.25">
      <c r="B32" s="139">
        <f t="shared" si="6"/>
        <v>16</v>
      </c>
      <c r="C32" s="69"/>
      <c r="D32" s="69"/>
      <c r="E32" s="70"/>
      <c r="F32" s="59"/>
      <c r="G32" s="60"/>
      <c r="H32" s="186">
        <f t="shared" si="0"/>
        <v>0</v>
      </c>
      <c r="I32" s="71"/>
      <c r="J32" s="72"/>
      <c r="K32" s="186">
        <f t="shared" si="1"/>
        <v>0</v>
      </c>
      <c r="L32" s="65"/>
      <c r="M32" s="65"/>
      <c r="N32" s="186">
        <f t="shared" si="2"/>
        <v>0</v>
      </c>
      <c r="O32" s="65"/>
      <c r="P32" s="65"/>
      <c r="Q32" s="186">
        <f t="shared" si="3"/>
        <v>0</v>
      </c>
      <c r="R32" s="65"/>
      <c r="S32" s="65"/>
      <c r="T32" s="186">
        <f t="shared" si="4"/>
        <v>0</v>
      </c>
      <c r="U32" s="65"/>
      <c r="V32" s="65"/>
      <c r="W32" s="186">
        <f t="shared" si="5"/>
        <v>0</v>
      </c>
    </row>
    <row r="33" spans="2:23" x14ac:dyDescent="0.25">
      <c r="B33" s="139">
        <f t="shared" si="6"/>
        <v>17</v>
      </c>
      <c r="C33" s="69"/>
      <c r="D33" s="69"/>
      <c r="E33" s="70"/>
      <c r="F33" s="59"/>
      <c r="G33" s="60"/>
      <c r="H33" s="186">
        <f t="shared" si="0"/>
        <v>0</v>
      </c>
      <c r="I33" s="71"/>
      <c r="J33" s="72"/>
      <c r="K33" s="186">
        <f t="shared" si="1"/>
        <v>0</v>
      </c>
      <c r="L33" s="65"/>
      <c r="M33" s="65"/>
      <c r="N33" s="186">
        <f t="shared" si="2"/>
        <v>0</v>
      </c>
      <c r="O33" s="65"/>
      <c r="P33" s="65"/>
      <c r="Q33" s="186">
        <f t="shared" si="3"/>
        <v>0</v>
      </c>
      <c r="R33" s="65"/>
      <c r="S33" s="65"/>
      <c r="T33" s="186">
        <f t="shared" si="4"/>
        <v>0</v>
      </c>
      <c r="U33" s="65"/>
      <c r="V33" s="65"/>
      <c r="W33" s="186">
        <f t="shared" si="5"/>
        <v>0</v>
      </c>
    </row>
    <row r="34" spans="2:23" x14ac:dyDescent="0.25">
      <c r="B34" s="145">
        <f t="shared" si="6"/>
        <v>18</v>
      </c>
      <c r="C34" s="69"/>
      <c r="D34" s="69"/>
      <c r="E34" s="70"/>
      <c r="F34" s="59"/>
      <c r="G34" s="60"/>
      <c r="H34" s="186">
        <f t="shared" si="0"/>
        <v>0</v>
      </c>
      <c r="I34" s="71"/>
      <c r="J34" s="72"/>
      <c r="K34" s="186">
        <f t="shared" si="1"/>
        <v>0</v>
      </c>
      <c r="L34" s="65"/>
      <c r="M34" s="65"/>
      <c r="N34" s="186">
        <f t="shared" si="2"/>
        <v>0</v>
      </c>
      <c r="O34" s="65"/>
      <c r="P34" s="65"/>
      <c r="Q34" s="186">
        <f t="shared" si="3"/>
        <v>0</v>
      </c>
      <c r="R34" s="65"/>
      <c r="S34" s="65"/>
      <c r="T34" s="186">
        <f t="shared" si="4"/>
        <v>0</v>
      </c>
      <c r="U34" s="65"/>
      <c r="V34" s="65"/>
      <c r="W34" s="186">
        <f t="shared" si="5"/>
        <v>0</v>
      </c>
    </row>
    <row r="35" spans="2:23" x14ac:dyDescent="0.25">
      <c r="B35" s="145">
        <f t="shared" si="6"/>
        <v>19</v>
      </c>
      <c r="C35" s="69"/>
      <c r="D35" s="69"/>
      <c r="E35" s="70"/>
      <c r="F35" s="59"/>
      <c r="G35" s="60"/>
      <c r="H35" s="186">
        <f t="shared" si="0"/>
        <v>0</v>
      </c>
      <c r="I35" s="71"/>
      <c r="J35" s="72"/>
      <c r="K35" s="186">
        <f t="shared" si="1"/>
        <v>0</v>
      </c>
      <c r="L35" s="65"/>
      <c r="M35" s="65"/>
      <c r="N35" s="186">
        <f t="shared" si="2"/>
        <v>0</v>
      </c>
      <c r="O35" s="65"/>
      <c r="P35" s="65"/>
      <c r="Q35" s="186">
        <f t="shared" si="3"/>
        <v>0</v>
      </c>
      <c r="R35" s="65"/>
      <c r="S35" s="65"/>
      <c r="T35" s="186">
        <f t="shared" si="4"/>
        <v>0</v>
      </c>
      <c r="U35" s="65"/>
      <c r="V35" s="65"/>
      <c r="W35" s="186">
        <f t="shared" si="5"/>
        <v>0</v>
      </c>
    </row>
    <row r="36" spans="2:23" ht="14.5" thickBot="1" x14ac:dyDescent="0.3">
      <c r="B36" s="146">
        <f>B35+1</f>
        <v>20</v>
      </c>
      <c r="C36" s="73"/>
      <c r="D36" s="73"/>
      <c r="E36" s="70"/>
      <c r="F36" s="59"/>
      <c r="G36" s="74"/>
      <c r="H36" s="187">
        <f t="shared" si="0"/>
        <v>0</v>
      </c>
      <c r="I36" s="75"/>
      <c r="J36" s="76"/>
      <c r="K36" s="187">
        <f t="shared" si="1"/>
        <v>0</v>
      </c>
      <c r="L36" s="65"/>
      <c r="M36" s="65"/>
      <c r="N36" s="187">
        <f t="shared" si="2"/>
        <v>0</v>
      </c>
      <c r="O36" s="65"/>
      <c r="P36" s="65"/>
      <c r="Q36" s="187">
        <f t="shared" si="3"/>
        <v>0</v>
      </c>
      <c r="R36" s="65"/>
      <c r="S36" s="65"/>
      <c r="T36" s="187">
        <f t="shared" si="4"/>
        <v>0</v>
      </c>
      <c r="U36" s="65"/>
      <c r="V36" s="65"/>
      <c r="W36" s="186">
        <f t="shared" si="5"/>
        <v>0</v>
      </c>
    </row>
    <row r="37" spans="2:23" ht="21" customHeight="1" thickBot="1" x14ac:dyDescent="0.3">
      <c r="C37" s="250" t="s">
        <v>19</v>
      </c>
      <c r="D37" s="251"/>
      <c r="E37" s="150" t="s">
        <v>16</v>
      </c>
      <c r="F37" s="77">
        <f t="shared" ref="F37:U39" si="7">SUMIF($E$17:$E$36,$E37,F$17:F$36)</f>
        <v>0</v>
      </c>
      <c r="G37" s="78">
        <f t="shared" si="7"/>
        <v>0</v>
      </c>
      <c r="H37" s="56">
        <f>SUM(F37:G37)</f>
        <v>0</v>
      </c>
      <c r="I37" s="77">
        <f t="shared" si="7"/>
        <v>0</v>
      </c>
      <c r="J37" s="78">
        <f t="shared" si="7"/>
        <v>0</v>
      </c>
      <c r="K37" s="56">
        <f>SUM(I37:J37)</f>
        <v>0</v>
      </c>
      <c r="L37" s="77">
        <f t="shared" si="7"/>
        <v>0</v>
      </c>
      <c r="M37" s="78">
        <f t="shared" si="7"/>
        <v>0</v>
      </c>
      <c r="N37" s="56">
        <f>SUM(L37:M37)</f>
        <v>0</v>
      </c>
      <c r="O37" s="77">
        <f t="shared" si="7"/>
        <v>0</v>
      </c>
      <c r="P37" s="78">
        <f t="shared" si="7"/>
        <v>0</v>
      </c>
      <c r="Q37" s="56">
        <f>SUM(O37:P37)</f>
        <v>0</v>
      </c>
      <c r="R37" s="77">
        <f t="shared" si="7"/>
        <v>0</v>
      </c>
      <c r="S37" s="78">
        <f t="shared" si="7"/>
        <v>0</v>
      </c>
      <c r="T37" s="56">
        <f>SUM(R37:S37)</f>
        <v>0</v>
      </c>
      <c r="U37" s="77">
        <f t="shared" si="7"/>
        <v>0</v>
      </c>
      <c r="V37" s="78">
        <f t="shared" ref="U37:V39" si="8">SUMIF($E$17:$E$36,$E37,V$17:V$36)</f>
        <v>0</v>
      </c>
      <c r="W37" s="56">
        <f>SUM(U37:V37)</f>
        <v>0</v>
      </c>
    </row>
    <row r="38" spans="2:23" ht="21" customHeight="1" thickBot="1" x14ac:dyDescent="0.3">
      <c r="C38" s="174" t="s">
        <v>20</v>
      </c>
      <c r="D38" s="174"/>
      <c r="E38" s="150" t="s">
        <v>17</v>
      </c>
      <c r="F38" s="77">
        <f t="shared" si="7"/>
        <v>0</v>
      </c>
      <c r="G38" s="78">
        <f t="shared" si="7"/>
        <v>0</v>
      </c>
      <c r="H38" s="56">
        <f>SUM(F38:G38)</f>
        <v>0</v>
      </c>
      <c r="I38" s="77">
        <f t="shared" si="7"/>
        <v>0</v>
      </c>
      <c r="J38" s="78">
        <f t="shared" si="7"/>
        <v>0</v>
      </c>
      <c r="K38" s="56">
        <f>SUM(I38:J38)</f>
        <v>0</v>
      </c>
      <c r="L38" s="77">
        <f t="shared" si="7"/>
        <v>0</v>
      </c>
      <c r="M38" s="78">
        <f t="shared" si="7"/>
        <v>0</v>
      </c>
      <c r="N38" s="56">
        <f>SUM(L38:M38)</f>
        <v>0</v>
      </c>
      <c r="O38" s="77">
        <f t="shared" si="7"/>
        <v>0</v>
      </c>
      <c r="P38" s="78">
        <f t="shared" si="7"/>
        <v>0</v>
      </c>
      <c r="Q38" s="56">
        <f>SUM(O38:P38)</f>
        <v>0</v>
      </c>
      <c r="R38" s="77">
        <f t="shared" si="7"/>
        <v>0</v>
      </c>
      <c r="S38" s="78">
        <f t="shared" si="7"/>
        <v>0</v>
      </c>
      <c r="T38" s="56">
        <f>SUM(R38:S38)</f>
        <v>0</v>
      </c>
      <c r="U38" s="77">
        <f t="shared" si="8"/>
        <v>0</v>
      </c>
      <c r="V38" s="78">
        <f t="shared" si="8"/>
        <v>0</v>
      </c>
      <c r="W38" s="56">
        <f>SUM(U38:V38)</f>
        <v>0</v>
      </c>
    </row>
    <row r="39" spans="2:23" ht="21" customHeight="1" thickBot="1" x14ac:dyDescent="0.3">
      <c r="C39" s="174" t="s">
        <v>21</v>
      </c>
      <c r="D39" s="174"/>
      <c r="E39" s="150" t="s">
        <v>30</v>
      </c>
      <c r="F39" s="77">
        <f t="shared" si="7"/>
        <v>0</v>
      </c>
      <c r="G39" s="78">
        <f t="shared" si="7"/>
        <v>0</v>
      </c>
      <c r="H39" s="56">
        <f>SUM(F39:G39)</f>
        <v>0</v>
      </c>
      <c r="I39" s="77">
        <f t="shared" si="7"/>
        <v>0</v>
      </c>
      <c r="J39" s="78">
        <f t="shared" si="7"/>
        <v>0</v>
      </c>
      <c r="K39" s="56">
        <f>SUM(I39:J39)</f>
        <v>0</v>
      </c>
      <c r="L39" s="77">
        <f t="shared" si="7"/>
        <v>0</v>
      </c>
      <c r="M39" s="78">
        <f t="shared" si="7"/>
        <v>0</v>
      </c>
      <c r="N39" s="56">
        <f>SUM(L39:M39)</f>
        <v>0</v>
      </c>
      <c r="O39" s="77">
        <f t="shared" si="7"/>
        <v>0</v>
      </c>
      <c r="P39" s="78">
        <f t="shared" si="7"/>
        <v>0</v>
      </c>
      <c r="Q39" s="56">
        <f>SUM(O39:P39)</f>
        <v>0</v>
      </c>
      <c r="R39" s="77">
        <f t="shared" si="7"/>
        <v>0</v>
      </c>
      <c r="S39" s="78">
        <f t="shared" si="7"/>
        <v>0</v>
      </c>
      <c r="T39" s="56">
        <f>SUM(R39:S39)</f>
        <v>0</v>
      </c>
      <c r="U39" s="77">
        <f t="shared" si="8"/>
        <v>0</v>
      </c>
      <c r="V39" s="78">
        <f t="shared" si="8"/>
        <v>0</v>
      </c>
      <c r="W39" s="56">
        <f>SUM(U39:V39)</f>
        <v>0</v>
      </c>
    </row>
    <row r="40" spans="2:23" ht="22.5" customHeight="1" thickBot="1" x14ac:dyDescent="0.3">
      <c r="C40" s="241" t="s">
        <v>132</v>
      </c>
      <c r="D40" s="242"/>
      <c r="E40" s="243"/>
      <c r="F40" s="55">
        <f>F37+F38+F39</f>
        <v>0</v>
      </c>
      <c r="G40" s="55">
        <f>G37+G38+G39</f>
        <v>0</v>
      </c>
      <c r="H40" s="56">
        <f>F40+G40</f>
        <v>0</v>
      </c>
      <c r="I40" s="55">
        <f>I37+I38+I39</f>
        <v>0</v>
      </c>
      <c r="J40" s="55">
        <f>J37+J38+J39</f>
        <v>0</v>
      </c>
      <c r="K40" s="56">
        <f>I40+J40</f>
        <v>0</v>
      </c>
      <c r="L40" s="55">
        <f>L37+L38+L39</f>
        <v>0</v>
      </c>
      <c r="M40" s="55">
        <f>M37+M38+M39</f>
        <v>0</v>
      </c>
      <c r="N40" s="56">
        <f>L40+M40</f>
        <v>0</v>
      </c>
      <c r="O40" s="55">
        <f>O37+O38+O39</f>
        <v>0</v>
      </c>
      <c r="P40" s="55">
        <f>P37+P38+P39</f>
        <v>0</v>
      </c>
      <c r="Q40" s="56">
        <f>O40+P40</f>
        <v>0</v>
      </c>
      <c r="R40" s="55">
        <f>R37+R38+R39</f>
        <v>0</v>
      </c>
      <c r="S40" s="55">
        <f>S37+S38+S39</f>
        <v>0</v>
      </c>
      <c r="T40" s="56">
        <f>R40+S40</f>
        <v>0</v>
      </c>
      <c r="U40" s="55">
        <f>U37+U38+U39</f>
        <v>0</v>
      </c>
      <c r="V40" s="55">
        <f>V37+V38+V39</f>
        <v>0</v>
      </c>
      <c r="W40" s="56">
        <f>U40+V40</f>
        <v>0</v>
      </c>
    </row>
    <row r="41" spans="2:23" ht="6" customHeight="1" x14ac:dyDescent="0.25"/>
  </sheetData>
  <sheetProtection insertRows="0"/>
  <protectedRanges>
    <protectedRange password="CC9E" sqref="E7 D13 A7:C7 G7:IV13 A5:A6 O5:IV6 A1:IV4 E9:E13 C9:C12 A9:B13 A8 A14:IV65539" name="Rango1"/>
    <protectedRange password="CC9E" sqref="F7:F13" name="Rango2"/>
    <protectedRange password="CC9E" sqref="F7:F13" name="Rango1_1"/>
    <protectedRange password="CC9E" sqref="B5:N6" name="Rango1_2"/>
    <protectedRange password="CC9E" sqref="B8:C8 E8" name="Rango1_3"/>
  </protectedRanges>
  <mergeCells count="16">
    <mergeCell ref="O15:Q15"/>
    <mergeCell ref="R15:T15"/>
    <mergeCell ref="U15:W15"/>
    <mergeCell ref="E1:J1"/>
    <mergeCell ref="B8:E8"/>
    <mergeCell ref="B12:E12"/>
    <mergeCell ref="C40:E40"/>
    <mergeCell ref="B5:N6"/>
    <mergeCell ref="I15:K15"/>
    <mergeCell ref="L15:N15"/>
    <mergeCell ref="B15:B16"/>
    <mergeCell ref="C15:C16"/>
    <mergeCell ref="F15:H15"/>
    <mergeCell ref="E15:E16"/>
    <mergeCell ref="D15:D16"/>
    <mergeCell ref="C37:D37"/>
  </mergeCells>
  <phoneticPr fontId="2" type="noConversion"/>
  <dataValidations count="1">
    <dataValidation type="list" allowBlank="1" showInputMessage="1" showErrorMessage="1" sqref="E17:E36">
      <formula1>"UNI, OPI,CIT"</formula1>
    </dataValidation>
  </dataValidations>
  <pageMargins left="0.39370078740157483" right="0.39370078740157483" top="0.78740157480314965" bottom="0.78740157480314965" header="0" footer="0.39370078740157483"/>
  <pageSetup paperSize="9" scale="34" fitToHeight="0" orientation="landscape" r:id="rId1"/>
  <headerFooter alignWithMargins="0">
    <oddFooter xml:space="preserve">&amp;CP. &amp;P / &amp;N
</oddFooter>
  </headerFooter>
  <ignoredErrors>
    <ignoredError sqref="G37:G39 B17:B36 F37:F39 F15:H15 J15:K15" unlockedFormula="1"/>
    <ignoredError sqref="H37:H39" formula="1" unlockedFormula="1"/>
  </ignoredError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38"/>
  <sheetViews>
    <sheetView showGridLines="0" showZeros="0" zoomScale="70" zoomScaleNormal="70" workbookViewId="0">
      <pane xSplit="4" ySplit="14" topLeftCell="E15" activePane="bottomRight" state="frozen"/>
      <selection activeCell="C5" sqref="C5:D5"/>
      <selection pane="topRight" activeCell="C5" sqref="C5:D5"/>
      <selection pane="bottomLeft" activeCell="C5" sqref="C5:D5"/>
      <selection pane="bottomRight" activeCell="C51" sqref="C51"/>
    </sheetView>
  </sheetViews>
  <sheetFormatPr baseColWidth="10" defaultColWidth="11.453125" defaultRowHeight="14" x14ac:dyDescent="0.25"/>
  <cols>
    <col min="1" max="1" width="1.7265625" style="16" customWidth="1"/>
    <col min="2" max="2" width="14.7265625" style="16" customWidth="1"/>
    <col min="3" max="3" width="96.26953125" style="16" customWidth="1"/>
    <col min="4" max="4" width="18.1796875" style="16" customWidth="1"/>
    <col min="5" max="5" width="14.7265625" style="16" customWidth="1"/>
    <col min="6" max="6" width="15.1796875" style="16" bestFit="1" customWidth="1"/>
    <col min="7" max="7" width="16.81640625" style="16" bestFit="1" customWidth="1"/>
    <col min="8" max="8" width="14.7265625" style="16" customWidth="1"/>
    <col min="9" max="10" width="16.1796875" style="16" bestFit="1" customWidth="1"/>
    <col min="11" max="11" width="15.1796875" style="16" customWidth="1"/>
    <col min="12" max="13" width="15.1796875" style="16" bestFit="1" customWidth="1"/>
    <col min="14" max="14" width="15.453125" style="16" hidden="1" customWidth="1"/>
    <col min="15" max="15" width="15.26953125" style="16" hidden="1" customWidth="1"/>
    <col min="16" max="16" width="16" style="16" hidden="1" customWidth="1"/>
    <col min="17" max="19" width="15" style="16" hidden="1" customWidth="1"/>
    <col min="20" max="20" width="15.453125" style="16" hidden="1" customWidth="1"/>
    <col min="21" max="21" width="14.26953125" style="16" hidden="1" customWidth="1"/>
    <col min="22" max="22" width="14.7265625" style="16" hidden="1" customWidth="1"/>
    <col min="23" max="16384" width="11.453125" style="16"/>
  </cols>
  <sheetData>
    <row r="1" spans="1:22" ht="63" customHeight="1" x14ac:dyDescent="0.25">
      <c r="E1" s="252"/>
      <c r="F1" s="252"/>
      <c r="G1" s="252"/>
      <c r="H1" s="252"/>
      <c r="I1" s="252"/>
      <c r="J1" s="12"/>
      <c r="K1" s="12"/>
      <c r="L1" s="12"/>
      <c r="M1" s="12"/>
    </row>
    <row r="4" spans="1:22" x14ac:dyDescent="0.25">
      <c r="B4" s="93" t="s">
        <v>6</v>
      </c>
    </row>
    <row r="5" spans="1:22" x14ac:dyDescent="0.25">
      <c r="B5" s="21" t="s">
        <v>18</v>
      </c>
    </row>
    <row r="8" spans="1:22" ht="28.5" customHeight="1" x14ac:dyDescent="0.25">
      <c r="B8" s="253" t="s">
        <v>141</v>
      </c>
      <c r="C8" s="253"/>
      <c r="D8" s="253"/>
    </row>
    <row r="9" spans="1:22" x14ac:dyDescent="0.25">
      <c r="B9" s="132"/>
      <c r="C9" s="179"/>
      <c r="D9" s="101"/>
      <c r="E9" s="88"/>
    </row>
    <row r="10" spans="1:22" ht="29.25" customHeight="1" x14ac:dyDescent="0.25">
      <c r="B10" s="253" t="s">
        <v>142</v>
      </c>
      <c r="C10" s="253"/>
      <c r="D10" s="253"/>
      <c r="E10" s="88"/>
    </row>
    <row r="11" spans="1:22" x14ac:dyDescent="0.25">
      <c r="B11" s="132"/>
      <c r="C11" s="179"/>
      <c r="D11" s="179"/>
      <c r="E11" s="88"/>
    </row>
    <row r="12" spans="1:22" ht="6" customHeight="1" thickBot="1" x14ac:dyDescent="0.3"/>
    <row r="13" spans="1:22" ht="15.75" customHeight="1" thickBot="1" x14ac:dyDescent="0.3">
      <c r="A13" s="57"/>
      <c r="B13" s="237" t="s">
        <v>165</v>
      </c>
      <c r="C13" s="248" t="s">
        <v>8</v>
      </c>
      <c r="D13" s="237" t="s">
        <v>81</v>
      </c>
      <c r="E13" s="245">
        <f>Personal!F13</f>
        <v>2023</v>
      </c>
      <c r="F13" s="246"/>
      <c r="G13" s="247"/>
      <c r="H13" s="245">
        <f>E13+1</f>
        <v>2024</v>
      </c>
      <c r="I13" s="246"/>
      <c r="J13" s="247"/>
      <c r="K13" s="245">
        <f>H13+1</f>
        <v>2025</v>
      </c>
      <c r="L13" s="246"/>
      <c r="M13" s="247"/>
      <c r="N13" s="245">
        <f>K13+1</f>
        <v>2026</v>
      </c>
      <c r="O13" s="246"/>
      <c r="P13" s="247"/>
      <c r="Q13" s="245">
        <f>N13+1</f>
        <v>2027</v>
      </c>
      <c r="R13" s="246"/>
      <c r="S13" s="247"/>
      <c r="T13" s="245">
        <f>Q13+1</f>
        <v>2028</v>
      </c>
      <c r="U13" s="246"/>
      <c r="V13" s="247"/>
    </row>
    <row r="14" spans="1:22" s="57" customFormat="1" ht="66.75" customHeight="1" thickBot="1" x14ac:dyDescent="0.3">
      <c r="A14" s="16"/>
      <c r="B14" s="238" t="s">
        <v>1</v>
      </c>
      <c r="C14" s="249" t="s">
        <v>0</v>
      </c>
      <c r="D14" s="238"/>
      <c r="E14" s="147" t="s">
        <v>9</v>
      </c>
      <c r="F14" s="148" t="s">
        <v>167</v>
      </c>
      <c r="G14" s="149" t="s">
        <v>10</v>
      </c>
      <c r="H14" s="147" t="s">
        <v>9</v>
      </c>
      <c r="I14" s="148" t="s">
        <v>167</v>
      </c>
      <c r="J14" s="149" t="s">
        <v>10</v>
      </c>
      <c r="K14" s="151" t="s">
        <v>9</v>
      </c>
      <c r="L14" s="148" t="s">
        <v>167</v>
      </c>
      <c r="M14" s="149" t="s">
        <v>10</v>
      </c>
      <c r="N14" s="151" t="s">
        <v>9</v>
      </c>
      <c r="O14" s="148" t="s">
        <v>167</v>
      </c>
      <c r="P14" s="149" t="s">
        <v>10</v>
      </c>
      <c r="Q14" s="151" t="s">
        <v>9</v>
      </c>
      <c r="R14" s="148" t="s">
        <v>167</v>
      </c>
      <c r="S14" s="149" t="s">
        <v>10</v>
      </c>
      <c r="T14" s="151" t="s">
        <v>9</v>
      </c>
      <c r="U14" s="148" t="s">
        <v>167</v>
      </c>
      <c r="V14" s="149" t="s">
        <v>10</v>
      </c>
    </row>
    <row r="15" spans="1:22" ht="15.75" customHeight="1" x14ac:dyDescent="0.25">
      <c r="B15" s="138">
        <v>1</v>
      </c>
      <c r="C15" s="64" t="s">
        <v>177</v>
      </c>
      <c r="D15" s="202" t="s">
        <v>178</v>
      </c>
      <c r="E15" s="59"/>
      <c r="F15" s="65">
        <v>23286.28</v>
      </c>
      <c r="G15" s="186">
        <f>E15+F15</f>
        <v>23286.28</v>
      </c>
      <c r="H15" s="59"/>
      <c r="I15" s="65">
        <v>6457.44</v>
      </c>
      <c r="J15" s="186">
        <f>SUM(H15:I15)</f>
        <v>6457.44</v>
      </c>
      <c r="K15" s="59"/>
      <c r="L15" s="65"/>
      <c r="M15" s="186">
        <f>SUM(K15:L15)</f>
        <v>0</v>
      </c>
      <c r="N15" s="59"/>
      <c r="O15" s="65"/>
      <c r="P15" s="186">
        <f>SUM(N15:O15)</f>
        <v>0</v>
      </c>
      <c r="Q15" s="59"/>
      <c r="R15" s="65"/>
      <c r="S15" s="186">
        <f>SUM(Q15:R15)</f>
        <v>0</v>
      </c>
      <c r="T15" s="59"/>
      <c r="U15" s="65"/>
      <c r="V15" s="186">
        <f>SUM(T15:U15)</f>
        <v>0</v>
      </c>
    </row>
    <row r="16" spans="1:22" x14ac:dyDescent="0.25">
      <c r="B16" s="139">
        <f>B15+1</f>
        <v>2</v>
      </c>
      <c r="C16" s="66" t="s">
        <v>179</v>
      </c>
      <c r="D16" s="203" t="s">
        <v>180</v>
      </c>
      <c r="E16" s="59"/>
      <c r="F16" s="60">
        <v>8452.01</v>
      </c>
      <c r="G16" s="186">
        <f t="shared" ref="G16:G36" si="0">E16+F16</f>
        <v>8452.01</v>
      </c>
      <c r="H16" s="59"/>
      <c r="I16" s="60">
        <v>13873.34</v>
      </c>
      <c r="J16" s="186">
        <f t="shared" ref="J16:J36" si="1">SUM(H16:I16)</f>
        <v>13873.34</v>
      </c>
      <c r="K16" s="59"/>
      <c r="L16" s="60"/>
      <c r="M16" s="186">
        <f t="shared" ref="M16:M36" si="2">SUM(K16:L16)</f>
        <v>0</v>
      </c>
      <c r="N16" s="59"/>
      <c r="O16" s="60"/>
      <c r="P16" s="186">
        <f t="shared" ref="P16:P36" si="3">SUM(N16:O16)</f>
        <v>0</v>
      </c>
      <c r="Q16" s="59"/>
      <c r="R16" s="60"/>
      <c r="S16" s="186">
        <f t="shared" ref="S16:S36" si="4">SUM(Q16:R16)</f>
        <v>0</v>
      </c>
      <c r="T16" s="59"/>
      <c r="U16" s="60"/>
      <c r="V16" s="186">
        <f t="shared" ref="V16:V36" si="5">SUM(T16:U16)</f>
        <v>0</v>
      </c>
    </row>
    <row r="17" spans="2:22" x14ac:dyDescent="0.25">
      <c r="B17" s="139">
        <f t="shared" ref="B17:B36" si="6">B16+1</f>
        <v>3</v>
      </c>
      <c r="C17" s="66"/>
      <c r="D17" s="203"/>
      <c r="E17" s="59"/>
      <c r="F17" s="60"/>
      <c r="G17" s="186">
        <f t="shared" si="0"/>
        <v>0</v>
      </c>
      <c r="H17" s="59"/>
      <c r="I17" s="60"/>
      <c r="J17" s="186">
        <f t="shared" si="1"/>
        <v>0</v>
      </c>
      <c r="K17" s="59"/>
      <c r="L17" s="60"/>
      <c r="M17" s="186">
        <f t="shared" si="2"/>
        <v>0</v>
      </c>
      <c r="N17" s="59"/>
      <c r="O17" s="60"/>
      <c r="P17" s="186">
        <f t="shared" si="3"/>
        <v>0</v>
      </c>
      <c r="Q17" s="59"/>
      <c r="R17" s="60"/>
      <c r="S17" s="186">
        <f t="shared" si="4"/>
        <v>0</v>
      </c>
      <c r="T17" s="59"/>
      <c r="U17" s="60"/>
      <c r="V17" s="186">
        <f t="shared" si="5"/>
        <v>0</v>
      </c>
    </row>
    <row r="18" spans="2:22" x14ac:dyDescent="0.25">
      <c r="B18" s="139">
        <f t="shared" si="6"/>
        <v>4</v>
      </c>
      <c r="C18" s="66"/>
      <c r="D18" s="203"/>
      <c r="E18" s="59"/>
      <c r="F18" s="60"/>
      <c r="G18" s="186">
        <f t="shared" si="0"/>
        <v>0</v>
      </c>
      <c r="H18" s="59"/>
      <c r="I18" s="60"/>
      <c r="J18" s="186">
        <f t="shared" si="1"/>
        <v>0</v>
      </c>
      <c r="K18" s="59"/>
      <c r="L18" s="60"/>
      <c r="M18" s="186">
        <f t="shared" si="2"/>
        <v>0</v>
      </c>
      <c r="N18" s="59"/>
      <c r="O18" s="60"/>
      <c r="P18" s="186">
        <f t="shared" si="3"/>
        <v>0</v>
      </c>
      <c r="Q18" s="59"/>
      <c r="R18" s="60"/>
      <c r="S18" s="186">
        <f t="shared" si="4"/>
        <v>0</v>
      </c>
      <c r="T18" s="59"/>
      <c r="U18" s="60"/>
      <c r="V18" s="186">
        <f t="shared" si="5"/>
        <v>0</v>
      </c>
    </row>
    <row r="19" spans="2:22" x14ac:dyDescent="0.25">
      <c r="B19" s="139">
        <f t="shared" si="6"/>
        <v>5</v>
      </c>
      <c r="C19" s="66" t="s">
        <v>250</v>
      </c>
      <c r="D19" s="203"/>
      <c r="E19" s="59"/>
      <c r="F19" s="60"/>
      <c r="G19" s="186"/>
      <c r="H19" s="59"/>
      <c r="I19" s="60"/>
      <c r="J19" s="186"/>
      <c r="K19" s="59"/>
      <c r="L19" s="60">
        <v>24880.89</v>
      </c>
      <c r="M19" s="186">
        <f t="shared" si="2"/>
        <v>24880.89</v>
      </c>
      <c r="N19" s="59"/>
      <c r="O19" s="60"/>
      <c r="P19" s="186"/>
      <c r="Q19" s="59"/>
      <c r="R19" s="60"/>
      <c r="S19" s="186"/>
      <c r="T19" s="59"/>
      <c r="U19" s="60"/>
      <c r="V19" s="186"/>
    </row>
    <row r="20" spans="2:22" ht="14.5" thickBot="1" x14ac:dyDescent="0.3">
      <c r="B20" s="139">
        <f t="shared" si="6"/>
        <v>6</v>
      </c>
      <c r="C20" s="66"/>
      <c r="D20" s="203"/>
      <c r="E20" s="59"/>
      <c r="F20" s="60"/>
      <c r="G20" s="186">
        <f t="shared" si="0"/>
        <v>0</v>
      </c>
      <c r="H20" s="59"/>
      <c r="I20" s="60"/>
      <c r="J20" s="186">
        <f t="shared" si="1"/>
        <v>0</v>
      </c>
      <c r="K20" s="59"/>
      <c r="L20" s="60"/>
      <c r="M20" s="186">
        <f t="shared" si="2"/>
        <v>0</v>
      </c>
      <c r="N20" s="59"/>
      <c r="O20" s="60"/>
      <c r="P20" s="186">
        <f t="shared" si="3"/>
        <v>0</v>
      </c>
      <c r="Q20" s="59"/>
      <c r="R20" s="60"/>
      <c r="S20" s="186">
        <f t="shared" si="4"/>
        <v>0</v>
      </c>
      <c r="T20" s="59"/>
      <c r="U20" s="60"/>
      <c r="V20" s="186">
        <f t="shared" si="5"/>
        <v>0</v>
      </c>
    </row>
    <row r="21" spans="2:22" ht="14.5" hidden="1" thickBot="1" x14ac:dyDescent="0.3">
      <c r="B21" s="139">
        <f t="shared" si="6"/>
        <v>7</v>
      </c>
      <c r="C21" s="66"/>
      <c r="D21" s="203"/>
      <c r="E21" s="59"/>
      <c r="F21" s="60"/>
      <c r="G21" s="186">
        <f t="shared" si="0"/>
        <v>0</v>
      </c>
      <c r="H21" s="59"/>
      <c r="I21" s="60"/>
      <c r="J21" s="186">
        <f t="shared" si="1"/>
        <v>0</v>
      </c>
      <c r="K21" s="59"/>
      <c r="L21" s="60"/>
      <c r="M21" s="186">
        <f t="shared" si="2"/>
        <v>0</v>
      </c>
      <c r="N21" s="59"/>
      <c r="O21" s="60"/>
      <c r="P21" s="186">
        <f t="shared" si="3"/>
        <v>0</v>
      </c>
      <c r="Q21" s="59"/>
      <c r="R21" s="60"/>
      <c r="S21" s="186">
        <f t="shared" si="4"/>
        <v>0</v>
      </c>
      <c r="T21" s="59"/>
      <c r="U21" s="60"/>
      <c r="V21" s="186">
        <f t="shared" si="5"/>
        <v>0</v>
      </c>
    </row>
    <row r="22" spans="2:22" ht="14.5" hidden="1" thickBot="1" x14ac:dyDescent="0.3">
      <c r="B22" s="139">
        <f t="shared" si="6"/>
        <v>8</v>
      </c>
      <c r="C22" s="66"/>
      <c r="D22" s="171"/>
      <c r="E22" s="59"/>
      <c r="F22" s="60"/>
      <c r="G22" s="186"/>
      <c r="H22" s="59"/>
      <c r="I22" s="60"/>
      <c r="J22" s="186"/>
      <c r="K22" s="59"/>
      <c r="L22" s="60"/>
      <c r="M22" s="186"/>
      <c r="N22" s="59"/>
      <c r="O22" s="60"/>
      <c r="P22" s="186"/>
      <c r="Q22" s="59"/>
      <c r="R22" s="60"/>
      <c r="S22" s="186"/>
      <c r="T22" s="59"/>
      <c r="U22" s="60"/>
      <c r="V22" s="186"/>
    </row>
    <row r="23" spans="2:22" ht="14.5" hidden="1" thickBot="1" x14ac:dyDescent="0.3">
      <c r="B23" s="139">
        <f t="shared" si="6"/>
        <v>9</v>
      </c>
      <c r="C23" s="66"/>
      <c r="D23" s="171"/>
      <c r="E23" s="59"/>
      <c r="F23" s="60"/>
      <c r="G23" s="186"/>
      <c r="H23" s="59"/>
      <c r="I23" s="60"/>
      <c r="J23" s="186">
        <f t="shared" si="1"/>
        <v>0</v>
      </c>
      <c r="K23" s="59"/>
      <c r="L23" s="60"/>
      <c r="M23" s="186">
        <f t="shared" si="2"/>
        <v>0</v>
      </c>
      <c r="N23" s="59"/>
      <c r="O23" s="60"/>
      <c r="P23" s="186">
        <f t="shared" si="3"/>
        <v>0</v>
      </c>
      <c r="Q23" s="59"/>
      <c r="R23" s="60"/>
      <c r="S23" s="186">
        <f t="shared" si="4"/>
        <v>0</v>
      </c>
      <c r="T23" s="59"/>
      <c r="U23" s="60"/>
      <c r="V23" s="186">
        <f t="shared" si="5"/>
        <v>0</v>
      </c>
    </row>
    <row r="24" spans="2:22" ht="14.5" hidden="1" thickBot="1" x14ac:dyDescent="0.3">
      <c r="B24" s="139">
        <f t="shared" si="6"/>
        <v>10</v>
      </c>
      <c r="C24" s="66"/>
      <c r="D24" s="171"/>
      <c r="E24" s="59"/>
      <c r="F24" s="60"/>
      <c r="G24" s="186">
        <f t="shared" si="0"/>
        <v>0</v>
      </c>
      <c r="H24" s="59"/>
      <c r="I24" s="60"/>
      <c r="J24" s="186">
        <f t="shared" si="1"/>
        <v>0</v>
      </c>
      <c r="K24" s="59"/>
      <c r="L24" s="60"/>
      <c r="M24" s="186">
        <f t="shared" si="2"/>
        <v>0</v>
      </c>
      <c r="N24" s="59"/>
      <c r="O24" s="60"/>
      <c r="P24" s="186">
        <f t="shared" si="3"/>
        <v>0</v>
      </c>
      <c r="Q24" s="59"/>
      <c r="R24" s="60"/>
      <c r="S24" s="186">
        <f t="shared" si="4"/>
        <v>0</v>
      </c>
      <c r="T24" s="59"/>
      <c r="U24" s="60"/>
      <c r="V24" s="186">
        <f t="shared" si="5"/>
        <v>0</v>
      </c>
    </row>
    <row r="25" spans="2:22" ht="14.5" hidden="1" thickBot="1" x14ac:dyDescent="0.3">
      <c r="B25" s="139">
        <f t="shared" si="6"/>
        <v>11</v>
      </c>
      <c r="C25" s="66"/>
      <c r="D25" s="171"/>
      <c r="E25" s="59"/>
      <c r="F25" s="60"/>
      <c r="G25" s="186">
        <f t="shared" si="0"/>
        <v>0</v>
      </c>
      <c r="H25" s="59"/>
      <c r="I25" s="60"/>
      <c r="J25" s="186">
        <f t="shared" si="1"/>
        <v>0</v>
      </c>
      <c r="K25" s="59"/>
      <c r="L25" s="60"/>
      <c r="M25" s="186">
        <f t="shared" si="2"/>
        <v>0</v>
      </c>
      <c r="N25" s="59"/>
      <c r="O25" s="60"/>
      <c r="P25" s="186">
        <f t="shared" si="3"/>
        <v>0</v>
      </c>
      <c r="Q25" s="59"/>
      <c r="R25" s="60"/>
      <c r="S25" s="186">
        <f t="shared" si="4"/>
        <v>0</v>
      </c>
      <c r="T25" s="59"/>
      <c r="U25" s="60"/>
      <c r="V25" s="186">
        <f t="shared" si="5"/>
        <v>0</v>
      </c>
    </row>
    <row r="26" spans="2:22" ht="14.5" hidden="1" thickBot="1" x14ac:dyDescent="0.3">
      <c r="B26" s="139">
        <f t="shared" si="6"/>
        <v>12</v>
      </c>
      <c r="C26" s="66"/>
      <c r="D26" s="171"/>
      <c r="E26" s="59"/>
      <c r="F26" s="60"/>
      <c r="G26" s="186">
        <f t="shared" si="0"/>
        <v>0</v>
      </c>
      <c r="H26" s="59"/>
      <c r="I26" s="60"/>
      <c r="J26" s="186">
        <f t="shared" si="1"/>
        <v>0</v>
      </c>
      <c r="K26" s="59"/>
      <c r="L26" s="60"/>
      <c r="M26" s="186">
        <f t="shared" si="2"/>
        <v>0</v>
      </c>
      <c r="N26" s="59"/>
      <c r="O26" s="60"/>
      <c r="P26" s="186">
        <f t="shared" si="3"/>
        <v>0</v>
      </c>
      <c r="Q26" s="59"/>
      <c r="R26" s="60"/>
      <c r="S26" s="186">
        <f t="shared" si="4"/>
        <v>0</v>
      </c>
      <c r="T26" s="59"/>
      <c r="U26" s="60"/>
      <c r="V26" s="186">
        <f t="shared" si="5"/>
        <v>0</v>
      </c>
    </row>
    <row r="27" spans="2:22" ht="14.5" hidden="1" thickBot="1" x14ac:dyDescent="0.3">
      <c r="B27" s="139">
        <f t="shared" si="6"/>
        <v>13</v>
      </c>
      <c r="C27" s="66"/>
      <c r="D27" s="171"/>
      <c r="E27" s="59"/>
      <c r="F27" s="60"/>
      <c r="G27" s="186">
        <f t="shared" si="0"/>
        <v>0</v>
      </c>
      <c r="H27" s="59"/>
      <c r="I27" s="60"/>
      <c r="J27" s="186">
        <f t="shared" si="1"/>
        <v>0</v>
      </c>
      <c r="K27" s="59"/>
      <c r="L27" s="60"/>
      <c r="M27" s="186">
        <f t="shared" si="2"/>
        <v>0</v>
      </c>
      <c r="N27" s="59"/>
      <c r="O27" s="60"/>
      <c r="P27" s="186">
        <f t="shared" si="3"/>
        <v>0</v>
      </c>
      <c r="Q27" s="59"/>
      <c r="R27" s="60"/>
      <c r="S27" s="186">
        <f t="shared" si="4"/>
        <v>0</v>
      </c>
      <c r="T27" s="59"/>
      <c r="U27" s="60"/>
      <c r="V27" s="186">
        <f t="shared" si="5"/>
        <v>0</v>
      </c>
    </row>
    <row r="28" spans="2:22" ht="14.5" hidden="1" thickBot="1" x14ac:dyDescent="0.3">
      <c r="B28" s="139">
        <f t="shared" si="6"/>
        <v>14</v>
      </c>
      <c r="C28" s="66"/>
      <c r="D28" s="171"/>
      <c r="E28" s="59"/>
      <c r="F28" s="60"/>
      <c r="G28" s="186">
        <f t="shared" si="0"/>
        <v>0</v>
      </c>
      <c r="H28" s="59"/>
      <c r="I28" s="60"/>
      <c r="J28" s="186">
        <f t="shared" si="1"/>
        <v>0</v>
      </c>
      <c r="K28" s="59"/>
      <c r="L28" s="60"/>
      <c r="M28" s="186">
        <f t="shared" si="2"/>
        <v>0</v>
      </c>
      <c r="N28" s="59"/>
      <c r="O28" s="60"/>
      <c r="P28" s="186">
        <f t="shared" si="3"/>
        <v>0</v>
      </c>
      <c r="Q28" s="59"/>
      <c r="R28" s="60"/>
      <c r="S28" s="186">
        <f t="shared" si="4"/>
        <v>0</v>
      </c>
      <c r="T28" s="59"/>
      <c r="U28" s="60"/>
      <c r="V28" s="186">
        <f t="shared" si="5"/>
        <v>0</v>
      </c>
    </row>
    <row r="29" spans="2:22" ht="14.5" hidden="1" thickBot="1" x14ac:dyDescent="0.3">
      <c r="B29" s="139">
        <f t="shared" si="6"/>
        <v>15</v>
      </c>
      <c r="C29" s="66"/>
      <c r="D29" s="171"/>
      <c r="E29" s="59"/>
      <c r="F29" s="60"/>
      <c r="G29" s="186">
        <f t="shared" si="0"/>
        <v>0</v>
      </c>
      <c r="H29" s="59"/>
      <c r="I29" s="60"/>
      <c r="J29" s="186">
        <f t="shared" si="1"/>
        <v>0</v>
      </c>
      <c r="K29" s="59"/>
      <c r="L29" s="60"/>
      <c r="M29" s="186">
        <f t="shared" si="2"/>
        <v>0</v>
      </c>
      <c r="N29" s="59"/>
      <c r="O29" s="60"/>
      <c r="P29" s="186">
        <f t="shared" si="3"/>
        <v>0</v>
      </c>
      <c r="Q29" s="59"/>
      <c r="R29" s="60"/>
      <c r="S29" s="186">
        <f t="shared" si="4"/>
        <v>0</v>
      </c>
      <c r="T29" s="59"/>
      <c r="U29" s="60"/>
      <c r="V29" s="186">
        <f t="shared" si="5"/>
        <v>0</v>
      </c>
    </row>
    <row r="30" spans="2:22" ht="14.5" hidden="1" thickBot="1" x14ac:dyDescent="0.3">
      <c r="B30" s="139">
        <f t="shared" si="6"/>
        <v>16</v>
      </c>
      <c r="C30" s="66"/>
      <c r="D30" s="171"/>
      <c r="E30" s="59"/>
      <c r="F30" s="60"/>
      <c r="G30" s="186">
        <f t="shared" si="0"/>
        <v>0</v>
      </c>
      <c r="H30" s="59"/>
      <c r="I30" s="60"/>
      <c r="J30" s="186">
        <f t="shared" si="1"/>
        <v>0</v>
      </c>
      <c r="K30" s="59"/>
      <c r="L30" s="60"/>
      <c r="M30" s="186">
        <f t="shared" si="2"/>
        <v>0</v>
      </c>
      <c r="N30" s="59"/>
      <c r="O30" s="60"/>
      <c r="P30" s="186">
        <f t="shared" si="3"/>
        <v>0</v>
      </c>
      <c r="Q30" s="59"/>
      <c r="R30" s="60"/>
      <c r="S30" s="186">
        <f t="shared" si="4"/>
        <v>0</v>
      </c>
      <c r="T30" s="59"/>
      <c r="U30" s="60"/>
      <c r="V30" s="186">
        <f t="shared" si="5"/>
        <v>0</v>
      </c>
    </row>
    <row r="31" spans="2:22" ht="14.5" hidden="1" thickBot="1" x14ac:dyDescent="0.3">
      <c r="B31" s="139">
        <f t="shared" si="6"/>
        <v>17</v>
      </c>
      <c r="C31" s="66"/>
      <c r="D31" s="171"/>
      <c r="E31" s="59"/>
      <c r="F31" s="60"/>
      <c r="G31" s="186">
        <f t="shared" si="0"/>
        <v>0</v>
      </c>
      <c r="H31" s="59"/>
      <c r="I31" s="60"/>
      <c r="J31" s="186">
        <f t="shared" si="1"/>
        <v>0</v>
      </c>
      <c r="K31" s="59"/>
      <c r="L31" s="60"/>
      <c r="M31" s="186">
        <f t="shared" si="2"/>
        <v>0</v>
      </c>
      <c r="N31" s="59"/>
      <c r="O31" s="60"/>
      <c r="P31" s="186">
        <f t="shared" si="3"/>
        <v>0</v>
      </c>
      <c r="Q31" s="59"/>
      <c r="R31" s="60"/>
      <c r="S31" s="186">
        <f t="shared" si="4"/>
        <v>0</v>
      </c>
      <c r="T31" s="59"/>
      <c r="U31" s="60"/>
      <c r="V31" s="186">
        <f t="shared" si="5"/>
        <v>0</v>
      </c>
    </row>
    <row r="32" spans="2:22" ht="14.5" hidden="1" thickBot="1" x14ac:dyDescent="0.3">
      <c r="B32" s="139">
        <f t="shared" si="6"/>
        <v>18</v>
      </c>
      <c r="C32" s="66"/>
      <c r="D32" s="171"/>
      <c r="E32" s="59"/>
      <c r="F32" s="60"/>
      <c r="G32" s="186">
        <f t="shared" si="0"/>
        <v>0</v>
      </c>
      <c r="H32" s="59"/>
      <c r="I32" s="60"/>
      <c r="J32" s="186">
        <f t="shared" si="1"/>
        <v>0</v>
      </c>
      <c r="K32" s="59"/>
      <c r="L32" s="60"/>
      <c r="M32" s="186">
        <f t="shared" si="2"/>
        <v>0</v>
      </c>
      <c r="N32" s="59"/>
      <c r="O32" s="60"/>
      <c r="P32" s="186">
        <f t="shared" si="3"/>
        <v>0</v>
      </c>
      <c r="Q32" s="59"/>
      <c r="R32" s="60"/>
      <c r="S32" s="186">
        <f t="shared" si="4"/>
        <v>0</v>
      </c>
      <c r="T32" s="59"/>
      <c r="U32" s="60"/>
      <c r="V32" s="186">
        <f t="shared" si="5"/>
        <v>0</v>
      </c>
    </row>
    <row r="33" spans="2:22" ht="14.5" hidden="1" thickBot="1" x14ac:dyDescent="0.3">
      <c r="B33" s="139">
        <f t="shared" si="6"/>
        <v>19</v>
      </c>
      <c r="C33" s="66"/>
      <c r="D33" s="171"/>
      <c r="E33" s="59"/>
      <c r="F33" s="60"/>
      <c r="G33" s="186">
        <f t="shared" si="0"/>
        <v>0</v>
      </c>
      <c r="H33" s="59"/>
      <c r="I33" s="60"/>
      <c r="J33" s="186">
        <f t="shared" si="1"/>
        <v>0</v>
      </c>
      <c r="K33" s="59"/>
      <c r="L33" s="60"/>
      <c r="M33" s="186">
        <f t="shared" si="2"/>
        <v>0</v>
      </c>
      <c r="N33" s="59"/>
      <c r="O33" s="60"/>
      <c r="P33" s="186">
        <f t="shared" si="3"/>
        <v>0</v>
      </c>
      <c r="Q33" s="59"/>
      <c r="R33" s="60"/>
      <c r="S33" s="186">
        <f t="shared" si="4"/>
        <v>0</v>
      </c>
      <c r="T33" s="59"/>
      <c r="U33" s="60"/>
      <c r="V33" s="186">
        <f t="shared" si="5"/>
        <v>0</v>
      </c>
    </row>
    <row r="34" spans="2:22" ht="14.5" hidden="1" thickBot="1" x14ac:dyDescent="0.3">
      <c r="B34" s="139">
        <f t="shared" si="6"/>
        <v>20</v>
      </c>
      <c r="C34" s="66"/>
      <c r="D34" s="171"/>
      <c r="E34" s="59"/>
      <c r="F34" s="60"/>
      <c r="G34" s="186">
        <f t="shared" si="0"/>
        <v>0</v>
      </c>
      <c r="H34" s="59"/>
      <c r="I34" s="60"/>
      <c r="J34" s="186">
        <f t="shared" si="1"/>
        <v>0</v>
      </c>
      <c r="K34" s="59"/>
      <c r="L34" s="60"/>
      <c r="M34" s="186">
        <f t="shared" si="2"/>
        <v>0</v>
      </c>
      <c r="N34" s="59"/>
      <c r="O34" s="60"/>
      <c r="P34" s="186">
        <f t="shared" si="3"/>
        <v>0</v>
      </c>
      <c r="Q34" s="59"/>
      <c r="R34" s="60"/>
      <c r="S34" s="186">
        <f t="shared" si="4"/>
        <v>0</v>
      </c>
      <c r="T34" s="59"/>
      <c r="U34" s="60"/>
      <c r="V34" s="186">
        <f t="shared" si="5"/>
        <v>0</v>
      </c>
    </row>
    <row r="35" spans="2:22" ht="14.5" hidden="1" thickBot="1" x14ac:dyDescent="0.3">
      <c r="B35" s="139">
        <f t="shared" si="6"/>
        <v>21</v>
      </c>
      <c r="C35" s="66"/>
      <c r="D35" s="172"/>
      <c r="E35" s="59"/>
      <c r="F35" s="60"/>
      <c r="G35" s="186">
        <f t="shared" si="0"/>
        <v>0</v>
      </c>
      <c r="H35" s="59"/>
      <c r="I35" s="60"/>
      <c r="J35" s="186">
        <f t="shared" si="1"/>
        <v>0</v>
      </c>
      <c r="K35" s="59"/>
      <c r="L35" s="60"/>
      <c r="M35" s="186">
        <f t="shared" si="2"/>
        <v>0</v>
      </c>
      <c r="N35" s="59"/>
      <c r="O35" s="60"/>
      <c r="P35" s="186">
        <f t="shared" si="3"/>
        <v>0</v>
      </c>
      <c r="Q35" s="59"/>
      <c r="R35" s="60"/>
      <c r="S35" s="186">
        <f t="shared" si="4"/>
        <v>0</v>
      </c>
      <c r="T35" s="59"/>
      <c r="U35" s="60"/>
      <c r="V35" s="186">
        <f t="shared" si="5"/>
        <v>0</v>
      </c>
    </row>
    <row r="36" spans="2:22" ht="14.5" hidden="1" thickBot="1" x14ac:dyDescent="0.3">
      <c r="B36" s="139">
        <f t="shared" si="6"/>
        <v>22</v>
      </c>
      <c r="C36" s="66"/>
      <c r="D36" s="173"/>
      <c r="E36" s="167"/>
      <c r="F36" s="74"/>
      <c r="G36" s="187">
        <f t="shared" si="0"/>
        <v>0</v>
      </c>
      <c r="H36" s="167"/>
      <c r="I36" s="74"/>
      <c r="J36" s="187">
        <f t="shared" si="1"/>
        <v>0</v>
      </c>
      <c r="K36" s="167"/>
      <c r="L36" s="74"/>
      <c r="M36" s="187">
        <f t="shared" si="2"/>
        <v>0</v>
      </c>
      <c r="N36" s="167"/>
      <c r="O36" s="74"/>
      <c r="P36" s="187">
        <f t="shared" si="3"/>
        <v>0</v>
      </c>
      <c r="Q36" s="167"/>
      <c r="R36" s="74"/>
      <c r="S36" s="187">
        <f t="shared" si="4"/>
        <v>0</v>
      </c>
      <c r="T36" s="167"/>
      <c r="U36" s="74"/>
      <c r="V36" s="187">
        <f t="shared" si="5"/>
        <v>0</v>
      </c>
    </row>
    <row r="37" spans="2:22" ht="31.5" customHeight="1" thickBot="1" x14ac:dyDescent="0.3">
      <c r="C37" s="250" t="s">
        <v>143</v>
      </c>
      <c r="D37" s="251"/>
      <c r="E37" s="63">
        <f>SUM(E15:E36)</f>
        <v>0</v>
      </c>
      <c r="F37" s="168">
        <f>SUM(F15:F36)</f>
        <v>31738.29</v>
      </c>
      <c r="G37" s="62">
        <f>E37+F37</f>
        <v>31738.29</v>
      </c>
      <c r="H37" s="170">
        <f>SUM(H15:H36)</f>
        <v>0</v>
      </c>
      <c r="I37" s="168">
        <f t="shared" ref="I37:V37" si="7">SUM(I15:I36)</f>
        <v>20330.78</v>
      </c>
      <c r="J37" s="62">
        <f t="shared" si="7"/>
        <v>20330.78</v>
      </c>
      <c r="K37" s="63">
        <f t="shared" si="7"/>
        <v>0</v>
      </c>
      <c r="L37" s="168">
        <f t="shared" si="7"/>
        <v>24880.89</v>
      </c>
      <c r="M37" s="62">
        <f t="shared" si="7"/>
        <v>24880.89</v>
      </c>
      <c r="N37" s="170">
        <f t="shared" si="7"/>
        <v>0</v>
      </c>
      <c r="O37" s="168">
        <f t="shared" si="7"/>
        <v>0</v>
      </c>
      <c r="P37" s="169">
        <f t="shared" si="7"/>
        <v>0</v>
      </c>
      <c r="Q37" s="63">
        <f t="shared" si="7"/>
        <v>0</v>
      </c>
      <c r="R37" s="168">
        <f t="shared" si="7"/>
        <v>0</v>
      </c>
      <c r="S37" s="62">
        <f t="shared" si="7"/>
        <v>0</v>
      </c>
      <c r="T37" s="170">
        <f t="shared" si="7"/>
        <v>0</v>
      </c>
      <c r="U37" s="168">
        <f t="shared" si="7"/>
        <v>0</v>
      </c>
      <c r="V37" s="62">
        <f t="shared" si="7"/>
        <v>0</v>
      </c>
    </row>
    <row r="38" spans="2:22" ht="6" customHeight="1" x14ac:dyDescent="0.25"/>
  </sheetData>
  <sheetProtection insertRows="0"/>
  <protectedRanges>
    <protectedRange password="CC9E" sqref="A8:A11 E10:IU10 E12:IU13 A12:D12 C11:IU11 C9:IU9 A1:D7 E1:IU8 A13:A14 C13:D14 G14:H14 J14:K14 M14:N14 P14:Q14 S14:T14 V14:IU14 E14:E15 G15:IU15 A15:D65537 E16:IU65537" name="Rango1"/>
    <protectedRange password="CC9E" sqref="B9 B11" name="Rango1_2"/>
    <protectedRange password="CC9E" sqref="B8:C8" name="Rango1_3"/>
    <protectedRange password="CC9E" sqref="B10:C10" name="Rango1_1"/>
    <protectedRange password="CC9E" sqref="B13:B14" name="Rango1_4"/>
    <protectedRange password="CC9E" sqref="F14" name="Rango1_5"/>
    <protectedRange password="CC9E" sqref="I14" name="Rango1_6"/>
    <protectedRange password="CC9E" sqref="L14" name="Rango1_7"/>
    <protectedRange password="CC9E" sqref="O14" name="Rango1_8"/>
    <protectedRange password="CC9E" sqref="R14" name="Rango1_9"/>
    <protectedRange password="CC9E" sqref="U14" name="Rango1_10"/>
    <protectedRange password="CC9E" sqref="F15" name="Rango1_11"/>
  </protectedRanges>
  <mergeCells count="13">
    <mergeCell ref="E1:I1"/>
    <mergeCell ref="C37:D37"/>
    <mergeCell ref="H13:J13"/>
    <mergeCell ref="K13:M13"/>
    <mergeCell ref="D13:D14"/>
    <mergeCell ref="B8:D8"/>
    <mergeCell ref="B10:D10"/>
    <mergeCell ref="T13:V13"/>
    <mergeCell ref="B13:B14"/>
    <mergeCell ref="C13:C14"/>
    <mergeCell ref="E13:G13"/>
    <mergeCell ref="N13:P13"/>
    <mergeCell ref="Q13:S13"/>
  </mergeCells>
  <phoneticPr fontId="2" type="noConversion"/>
  <pageMargins left="0.39370078740157483" right="0.39370078740157483" top="0.78740157480314965" bottom="0.78740157480314965" header="0" footer="0.39370078740157483"/>
  <pageSetup paperSize="9" scale="33" fitToHeight="0" orientation="landscape" r:id="rId1"/>
  <headerFooter alignWithMargins="0">
    <oddFooter xml:space="preserve">&amp;CP. &amp;P / &amp;N
</oddFooter>
  </headerFooter>
  <ignoredErrors>
    <ignoredError sqref="E13:G13 I13:J13 B15:B18 B19:B20" unlockedFormula="1"/>
  </ignoredError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33"/>
  <sheetViews>
    <sheetView showGridLines="0" zoomScale="85" zoomScaleNormal="85" workbookViewId="0">
      <pane xSplit="3" ySplit="11" topLeftCell="D12" activePane="bottomRight" state="frozen"/>
      <selection activeCell="C5" sqref="C5:D5"/>
      <selection pane="topRight" activeCell="C5" sqref="C5:D5"/>
      <selection pane="bottomLeft" activeCell="C5" sqref="C5:D5"/>
      <selection pane="bottomRight" activeCell="C1" sqref="C1"/>
    </sheetView>
  </sheetViews>
  <sheetFormatPr baseColWidth="10" defaultColWidth="11.453125" defaultRowHeight="14" x14ac:dyDescent="0.25"/>
  <cols>
    <col min="1" max="1" width="1.7265625" style="16" customWidth="1"/>
    <col min="2" max="2" width="14.7265625" style="16" customWidth="1"/>
    <col min="3" max="3" width="95.7265625" style="16" customWidth="1"/>
    <col min="4" max="12" width="15.26953125" style="16" customWidth="1"/>
    <col min="13" max="13" width="15.1796875" style="16" customWidth="1"/>
    <col min="14" max="14" width="13.26953125" style="16" customWidth="1"/>
    <col min="15" max="15" width="13.453125" style="16" customWidth="1"/>
    <col min="16" max="16" width="14.81640625" style="16" customWidth="1"/>
    <col min="17" max="17" width="14.453125" style="16" customWidth="1"/>
    <col min="18" max="18" width="13.453125" style="16" customWidth="1"/>
    <col min="19" max="21" width="13.54296875" style="16" customWidth="1"/>
    <col min="22" max="16384" width="11.453125" style="16"/>
  </cols>
  <sheetData>
    <row r="1" spans="2:21" ht="64.5" customHeight="1" x14ac:dyDescent="0.25">
      <c r="D1" s="252"/>
      <c r="E1" s="252"/>
      <c r="F1" s="252"/>
      <c r="G1" s="252"/>
      <c r="H1" s="252"/>
      <c r="I1" s="252"/>
      <c r="J1" s="12"/>
      <c r="K1" s="12"/>
      <c r="L1" s="12"/>
    </row>
    <row r="4" spans="2:21" x14ac:dyDescent="0.25">
      <c r="B4" s="93" t="s">
        <v>86</v>
      </c>
    </row>
    <row r="6" spans="2:21" x14ac:dyDescent="0.25">
      <c r="B6" s="97"/>
      <c r="C6" s="179"/>
      <c r="D6" s="88"/>
    </row>
    <row r="7" spans="2:21" ht="30" customHeight="1" x14ac:dyDescent="0.25">
      <c r="B7" s="253" t="s">
        <v>144</v>
      </c>
      <c r="C7" s="253"/>
      <c r="D7" s="88"/>
    </row>
    <row r="8" spans="2:21" x14ac:dyDescent="0.25">
      <c r="B8" s="97"/>
      <c r="C8" s="179"/>
      <c r="D8" s="88"/>
    </row>
    <row r="9" spans="2:21" ht="6" customHeight="1" thickBot="1" x14ac:dyDescent="0.3"/>
    <row r="10" spans="2:21" ht="15.75" customHeight="1" thickBot="1" x14ac:dyDescent="0.3">
      <c r="B10" s="237" t="s">
        <v>83</v>
      </c>
      <c r="C10" s="254" t="s">
        <v>135</v>
      </c>
      <c r="D10" s="245">
        <f>Personal!F13</f>
        <v>2023</v>
      </c>
      <c r="E10" s="246"/>
      <c r="F10" s="247"/>
      <c r="G10" s="245">
        <f>D10+1</f>
        <v>2024</v>
      </c>
      <c r="H10" s="246"/>
      <c r="I10" s="247"/>
      <c r="J10" s="245">
        <f>G10+1</f>
        <v>2025</v>
      </c>
      <c r="K10" s="246"/>
      <c r="L10" s="247"/>
      <c r="M10" s="245">
        <f>J10+1</f>
        <v>2026</v>
      </c>
      <c r="N10" s="246"/>
      <c r="O10" s="247"/>
      <c r="P10" s="245">
        <f>M10+1</f>
        <v>2027</v>
      </c>
      <c r="Q10" s="246"/>
      <c r="R10" s="247"/>
      <c r="S10" s="245">
        <f>P10+1</f>
        <v>2028</v>
      </c>
      <c r="T10" s="246"/>
      <c r="U10" s="247"/>
    </row>
    <row r="11" spans="2:21" s="57" customFormat="1" ht="57.65" customHeight="1" thickBot="1" x14ac:dyDescent="0.3">
      <c r="B11" s="238" t="s">
        <v>1</v>
      </c>
      <c r="C11" s="255"/>
      <c r="D11" s="147" t="s">
        <v>7</v>
      </c>
      <c r="E11" s="148" t="s">
        <v>167</v>
      </c>
      <c r="F11" s="149" t="s">
        <v>5</v>
      </c>
      <c r="G11" s="147" t="s">
        <v>7</v>
      </c>
      <c r="H11" s="148" t="s">
        <v>167</v>
      </c>
      <c r="I11" s="149" t="s">
        <v>5</v>
      </c>
      <c r="J11" s="147" t="s">
        <v>7</v>
      </c>
      <c r="K11" s="148" t="s">
        <v>167</v>
      </c>
      <c r="L11" s="149" t="s">
        <v>5</v>
      </c>
      <c r="M11" s="147" t="s">
        <v>7</v>
      </c>
      <c r="N11" s="148" t="s">
        <v>167</v>
      </c>
      <c r="O11" s="149" t="s">
        <v>5</v>
      </c>
      <c r="P11" s="147" t="s">
        <v>7</v>
      </c>
      <c r="Q11" s="148" t="s">
        <v>167</v>
      </c>
      <c r="R11" s="149" t="s">
        <v>5</v>
      </c>
      <c r="S11" s="147" t="s">
        <v>7</v>
      </c>
      <c r="T11" s="148" t="s">
        <v>167</v>
      </c>
      <c r="U11" s="149" t="s">
        <v>5</v>
      </c>
    </row>
    <row r="12" spans="2:21" ht="15.75" customHeight="1" x14ac:dyDescent="0.25">
      <c r="B12" s="138">
        <v>1</v>
      </c>
      <c r="C12" s="58"/>
      <c r="D12" s="59"/>
      <c r="E12" s="60"/>
      <c r="F12" s="186">
        <f>SUM(D12:E12)</f>
        <v>0</v>
      </c>
      <c r="G12" s="59"/>
      <c r="H12" s="60"/>
      <c r="I12" s="186">
        <f>SUM(G12:H12)</f>
        <v>0</v>
      </c>
      <c r="J12" s="59"/>
      <c r="K12" s="60"/>
      <c r="L12" s="186">
        <f>SUM(J12:K12)</f>
        <v>0</v>
      </c>
      <c r="M12" s="59"/>
      <c r="N12" s="60"/>
      <c r="O12" s="186">
        <f>SUM(M12:N12)</f>
        <v>0</v>
      </c>
      <c r="P12" s="59"/>
      <c r="Q12" s="60"/>
      <c r="R12" s="186">
        <f>SUM(P12:Q12)</f>
        <v>0</v>
      </c>
      <c r="S12" s="59"/>
      <c r="T12" s="60"/>
      <c r="U12" s="186">
        <f>SUM(S12:T12)</f>
        <v>0</v>
      </c>
    </row>
    <row r="13" spans="2:21" ht="15.75" customHeight="1" x14ac:dyDescent="0.25">
      <c r="B13" s="139">
        <f>B12+1</f>
        <v>2</v>
      </c>
      <c r="C13" s="61"/>
      <c r="D13" s="59"/>
      <c r="E13" s="60"/>
      <c r="F13" s="186">
        <f t="shared" ref="F13:F31" si="0">SUM(D13:E13)</f>
        <v>0</v>
      </c>
      <c r="G13" s="59"/>
      <c r="H13" s="60"/>
      <c r="I13" s="186">
        <f t="shared" ref="I13:I31" si="1">SUM(G13:H13)</f>
        <v>0</v>
      </c>
      <c r="J13" s="59"/>
      <c r="K13" s="60"/>
      <c r="L13" s="186">
        <f t="shared" ref="L13:L31" si="2">SUM(J13:K13)</f>
        <v>0</v>
      </c>
      <c r="M13" s="59"/>
      <c r="N13" s="60"/>
      <c r="O13" s="186">
        <f t="shared" ref="O13:O31" si="3">SUM(M13:N13)</f>
        <v>0</v>
      </c>
      <c r="P13" s="59"/>
      <c r="Q13" s="60"/>
      <c r="R13" s="186">
        <f t="shared" ref="R13:R31" si="4">SUM(P13:Q13)</f>
        <v>0</v>
      </c>
      <c r="S13" s="59"/>
      <c r="T13" s="60"/>
      <c r="U13" s="186">
        <f t="shared" ref="U13:U31" si="5">SUM(S13:T13)</f>
        <v>0</v>
      </c>
    </row>
    <row r="14" spans="2:21" ht="15.75" customHeight="1" x14ac:dyDescent="0.25">
      <c r="B14" s="139">
        <f t="shared" ref="B14:B30" si="6">B13+1</f>
        <v>3</v>
      </c>
      <c r="C14" s="61"/>
      <c r="D14" s="59"/>
      <c r="E14" s="60"/>
      <c r="F14" s="186">
        <f t="shared" si="0"/>
        <v>0</v>
      </c>
      <c r="G14" s="59"/>
      <c r="H14" s="60"/>
      <c r="I14" s="186">
        <f t="shared" si="1"/>
        <v>0</v>
      </c>
      <c r="J14" s="59"/>
      <c r="K14" s="60"/>
      <c r="L14" s="186">
        <f t="shared" si="2"/>
        <v>0</v>
      </c>
      <c r="M14" s="59"/>
      <c r="N14" s="60"/>
      <c r="O14" s="186">
        <f t="shared" si="3"/>
        <v>0</v>
      </c>
      <c r="P14" s="59"/>
      <c r="Q14" s="60"/>
      <c r="R14" s="186">
        <f t="shared" si="4"/>
        <v>0</v>
      </c>
      <c r="S14" s="59"/>
      <c r="T14" s="60"/>
      <c r="U14" s="186">
        <f t="shared" si="5"/>
        <v>0</v>
      </c>
    </row>
    <row r="15" spans="2:21" ht="15.75" customHeight="1" x14ac:dyDescent="0.25">
      <c r="B15" s="139">
        <f t="shared" si="6"/>
        <v>4</v>
      </c>
      <c r="C15" s="61"/>
      <c r="D15" s="59"/>
      <c r="E15" s="60"/>
      <c r="F15" s="186">
        <f t="shared" si="0"/>
        <v>0</v>
      </c>
      <c r="G15" s="59"/>
      <c r="H15" s="60"/>
      <c r="I15" s="186">
        <f t="shared" si="1"/>
        <v>0</v>
      </c>
      <c r="J15" s="59"/>
      <c r="K15" s="60"/>
      <c r="L15" s="186">
        <f t="shared" si="2"/>
        <v>0</v>
      </c>
      <c r="M15" s="59"/>
      <c r="N15" s="60"/>
      <c r="O15" s="186">
        <f t="shared" si="3"/>
        <v>0</v>
      </c>
      <c r="P15" s="59"/>
      <c r="Q15" s="60"/>
      <c r="R15" s="186">
        <f t="shared" si="4"/>
        <v>0</v>
      </c>
      <c r="S15" s="59"/>
      <c r="T15" s="60"/>
      <c r="U15" s="186">
        <f t="shared" si="5"/>
        <v>0</v>
      </c>
    </row>
    <row r="16" spans="2:21" ht="15.75" customHeight="1" x14ac:dyDescent="0.25">
      <c r="B16" s="139">
        <f t="shared" si="6"/>
        <v>5</v>
      </c>
      <c r="C16" s="61"/>
      <c r="D16" s="59"/>
      <c r="E16" s="60"/>
      <c r="F16" s="186">
        <f t="shared" si="0"/>
        <v>0</v>
      </c>
      <c r="G16" s="59"/>
      <c r="H16" s="60"/>
      <c r="I16" s="186">
        <f t="shared" si="1"/>
        <v>0</v>
      </c>
      <c r="J16" s="59"/>
      <c r="K16" s="60"/>
      <c r="L16" s="186">
        <f t="shared" si="2"/>
        <v>0</v>
      </c>
      <c r="M16" s="59"/>
      <c r="N16" s="60"/>
      <c r="O16" s="186">
        <f t="shared" si="3"/>
        <v>0</v>
      </c>
      <c r="P16" s="59"/>
      <c r="Q16" s="60"/>
      <c r="R16" s="186">
        <f t="shared" si="4"/>
        <v>0</v>
      </c>
      <c r="S16" s="59"/>
      <c r="T16" s="60"/>
      <c r="U16" s="186">
        <f t="shared" si="5"/>
        <v>0</v>
      </c>
    </row>
    <row r="17" spans="2:21" ht="15.75" customHeight="1" x14ac:dyDescent="0.25">
      <c r="B17" s="139">
        <f t="shared" si="6"/>
        <v>6</v>
      </c>
      <c r="C17" s="61"/>
      <c r="D17" s="59"/>
      <c r="E17" s="60"/>
      <c r="F17" s="186">
        <f t="shared" si="0"/>
        <v>0</v>
      </c>
      <c r="G17" s="59"/>
      <c r="H17" s="60"/>
      <c r="I17" s="186">
        <f t="shared" si="1"/>
        <v>0</v>
      </c>
      <c r="J17" s="59"/>
      <c r="K17" s="60"/>
      <c r="L17" s="186">
        <f t="shared" si="2"/>
        <v>0</v>
      </c>
      <c r="M17" s="59"/>
      <c r="N17" s="60"/>
      <c r="O17" s="186">
        <f t="shared" si="3"/>
        <v>0</v>
      </c>
      <c r="P17" s="59"/>
      <c r="Q17" s="60"/>
      <c r="R17" s="186">
        <f t="shared" si="4"/>
        <v>0</v>
      </c>
      <c r="S17" s="59"/>
      <c r="T17" s="60"/>
      <c r="U17" s="186">
        <f t="shared" si="5"/>
        <v>0</v>
      </c>
    </row>
    <row r="18" spans="2:21" ht="15.75" customHeight="1" x14ac:dyDescent="0.25">
      <c r="B18" s="139">
        <f t="shared" si="6"/>
        <v>7</v>
      </c>
      <c r="C18" s="61"/>
      <c r="D18" s="59"/>
      <c r="E18" s="60"/>
      <c r="F18" s="186">
        <f t="shared" si="0"/>
        <v>0</v>
      </c>
      <c r="G18" s="59"/>
      <c r="H18" s="60"/>
      <c r="I18" s="186">
        <f t="shared" si="1"/>
        <v>0</v>
      </c>
      <c r="J18" s="59"/>
      <c r="K18" s="60"/>
      <c r="L18" s="186">
        <f t="shared" si="2"/>
        <v>0</v>
      </c>
      <c r="M18" s="59"/>
      <c r="N18" s="60"/>
      <c r="O18" s="186">
        <f t="shared" si="3"/>
        <v>0</v>
      </c>
      <c r="P18" s="59"/>
      <c r="Q18" s="60"/>
      <c r="R18" s="186">
        <f t="shared" si="4"/>
        <v>0</v>
      </c>
      <c r="S18" s="59"/>
      <c r="T18" s="60"/>
      <c r="U18" s="186">
        <f t="shared" si="5"/>
        <v>0</v>
      </c>
    </row>
    <row r="19" spans="2:21" ht="15.75" customHeight="1" x14ac:dyDescent="0.25">
      <c r="B19" s="139">
        <f t="shared" si="6"/>
        <v>8</v>
      </c>
      <c r="C19" s="61"/>
      <c r="D19" s="59"/>
      <c r="E19" s="60"/>
      <c r="F19" s="186">
        <f t="shared" si="0"/>
        <v>0</v>
      </c>
      <c r="G19" s="59"/>
      <c r="H19" s="60"/>
      <c r="I19" s="186">
        <f t="shared" si="1"/>
        <v>0</v>
      </c>
      <c r="J19" s="59"/>
      <c r="K19" s="60"/>
      <c r="L19" s="186">
        <f t="shared" si="2"/>
        <v>0</v>
      </c>
      <c r="M19" s="59"/>
      <c r="N19" s="60"/>
      <c r="O19" s="186">
        <f t="shared" si="3"/>
        <v>0</v>
      </c>
      <c r="P19" s="59"/>
      <c r="Q19" s="60"/>
      <c r="R19" s="186">
        <f t="shared" si="4"/>
        <v>0</v>
      </c>
      <c r="S19" s="59"/>
      <c r="T19" s="60"/>
      <c r="U19" s="186">
        <f t="shared" si="5"/>
        <v>0</v>
      </c>
    </row>
    <row r="20" spans="2:21" ht="15.75" customHeight="1" x14ac:dyDescent="0.25">
      <c r="B20" s="139">
        <f t="shared" si="6"/>
        <v>9</v>
      </c>
      <c r="C20" s="61"/>
      <c r="D20" s="59"/>
      <c r="E20" s="60"/>
      <c r="F20" s="186">
        <f t="shared" si="0"/>
        <v>0</v>
      </c>
      <c r="G20" s="59"/>
      <c r="H20" s="60"/>
      <c r="I20" s="186">
        <f t="shared" si="1"/>
        <v>0</v>
      </c>
      <c r="J20" s="59"/>
      <c r="K20" s="60"/>
      <c r="L20" s="186">
        <f t="shared" si="2"/>
        <v>0</v>
      </c>
      <c r="M20" s="59"/>
      <c r="N20" s="60"/>
      <c r="O20" s="186">
        <f t="shared" si="3"/>
        <v>0</v>
      </c>
      <c r="P20" s="59"/>
      <c r="Q20" s="60"/>
      <c r="R20" s="186">
        <f t="shared" si="4"/>
        <v>0</v>
      </c>
      <c r="S20" s="59"/>
      <c r="T20" s="60"/>
      <c r="U20" s="186">
        <f t="shared" si="5"/>
        <v>0</v>
      </c>
    </row>
    <row r="21" spans="2:21" ht="15.75" customHeight="1" x14ac:dyDescent="0.25">
      <c r="B21" s="139">
        <f t="shared" si="6"/>
        <v>10</v>
      </c>
      <c r="C21" s="61"/>
      <c r="D21" s="59"/>
      <c r="E21" s="60"/>
      <c r="F21" s="186">
        <f t="shared" si="0"/>
        <v>0</v>
      </c>
      <c r="G21" s="59"/>
      <c r="H21" s="60"/>
      <c r="I21" s="186">
        <f t="shared" si="1"/>
        <v>0</v>
      </c>
      <c r="J21" s="59"/>
      <c r="K21" s="60"/>
      <c r="L21" s="186">
        <f t="shared" si="2"/>
        <v>0</v>
      </c>
      <c r="M21" s="59"/>
      <c r="N21" s="60"/>
      <c r="O21" s="186">
        <f t="shared" si="3"/>
        <v>0</v>
      </c>
      <c r="P21" s="59"/>
      <c r="Q21" s="60"/>
      <c r="R21" s="186">
        <f t="shared" si="4"/>
        <v>0</v>
      </c>
      <c r="S21" s="59"/>
      <c r="T21" s="60"/>
      <c r="U21" s="186">
        <f t="shared" si="5"/>
        <v>0</v>
      </c>
    </row>
    <row r="22" spans="2:21" ht="15.75" customHeight="1" x14ac:dyDescent="0.25">
      <c r="B22" s="139">
        <f t="shared" si="6"/>
        <v>11</v>
      </c>
      <c r="C22" s="61"/>
      <c r="D22" s="59"/>
      <c r="E22" s="60"/>
      <c r="F22" s="186">
        <f t="shared" si="0"/>
        <v>0</v>
      </c>
      <c r="G22" s="59"/>
      <c r="H22" s="60"/>
      <c r="I22" s="186">
        <f t="shared" si="1"/>
        <v>0</v>
      </c>
      <c r="J22" s="59"/>
      <c r="K22" s="60"/>
      <c r="L22" s="186">
        <f t="shared" si="2"/>
        <v>0</v>
      </c>
      <c r="M22" s="59"/>
      <c r="N22" s="60"/>
      <c r="O22" s="186">
        <f t="shared" si="3"/>
        <v>0</v>
      </c>
      <c r="P22" s="59"/>
      <c r="Q22" s="60"/>
      <c r="R22" s="186">
        <f t="shared" si="4"/>
        <v>0</v>
      </c>
      <c r="S22" s="59"/>
      <c r="T22" s="60"/>
      <c r="U22" s="186">
        <f t="shared" si="5"/>
        <v>0</v>
      </c>
    </row>
    <row r="23" spans="2:21" ht="15.75" customHeight="1" x14ac:dyDescent="0.25">
      <c r="B23" s="139">
        <f t="shared" si="6"/>
        <v>12</v>
      </c>
      <c r="C23" s="61"/>
      <c r="D23" s="59"/>
      <c r="E23" s="60"/>
      <c r="F23" s="186">
        <f t="shared" si="0"/>
        <v>0</v>
      </c>
      <c r="G23" s="59"/>
      <c r="H23" s="60"/>
      <c r="I23" s="186">
        <f t="shared" si="1"/>
        <v>0</v>
      </c>
      <c r="J23" s="59"/>
      <c r="K23" s="60"/>
      <c r="L23" s="186">
        <f t="shared" si="2"/>
        <v>0</v>
      </c>
      <c r="M23" s="59"/>
      <c r="N23" s="60"/>
      <c r="O23" s="186">
        <f t="shared" si="3"/>
        <v>0</v>
      </c>
      <c r="P23" s="59"/>
      <c r="Q23" s="60"/>
      <c r="R23" s="186">
        <f t="shared" si="4"/>
        <v>0</v>
      </c>
      <c r="S23" s="59"/>
      <c r="T23" s="60"/>
      <c r="U23" s="186">
        <f t="shared" si="5"/>
        <v>0</v>
      </c>
    </row>
    <row r="24" spans="2:21" ht="15.75" customHeight="1" x14ac:dyDescent="0.25">
      <c r="B24" s="139">
        <f t="shared" si="6"/>
        <v>13</v>
      </c>
      <c r="C24" s="61"/>
      <c r="D24" s="59"/>
      <c r="E24" s="60"/>
      <c r="F24" s="186">
        <f t="shared" si="0"/>
        <v>0</v>
      </c>
      <c r="G24" s="59"/>
      <c r="H24" s="60"/>
      <c r="I24" s="186">
        <f t="shared" si="1"/>
        <v>0</v>
      </c>
      <c r="J24" s="59"/>
      <c r="K24" s="60"/>
      <c r="L24" s="186">
        <f t="shared" si="2"/>
        <v>0</v>
      </c>
      <c r="M24" s="59"/>
      <c r="N24" s="60"/>
      <c r="O24" s="186">
        <f t="shared" si="3"/>
        <v>0</v>
      </c>
      <c r="P24" s="59"/>
      <c r="Q24" s="60"/>
      <c r="R24" s="186">
        <f t="shared" si="4"/>
        <v>0</v>
      </c>
      <c r="S24" s="59"/>
      <c r="T24" s="60"/>
      <c r="U24" s="186">
        <f t="shared" si="5"/>
        <v>0</v>
      </c>
    </row>
    <row r="25" spans="2:21" ht="15.75" customHeight="1" x14ac:dyDescent="0.25">
      <c r="B25" s="139">
        <f t="shared" si="6"/>
        <v>14</v>
      </c>
      <c r="C25" s="61"/>
      <c r="D25" s="59"/>
      <c r="E25" s="60"/>
      <c r="F25" s="186">
        <f t="shared" si="0"/>
        <v>0</v>
      </c>
      <c r="G25" s="59"/>
      <c r="H25" s="60"/>
      <c r="I25" s="186">
        <f t="shared" si="1"/>
        <v>0</v>
      </c>
      <c r="J25" s="59"/>
      <c r="K25" s="60"/>
      <c r="L25" s="186">
        <f t="shared" si="2"/>
        <v>0</v>
      </c>
      <c r="M25" s="59"/>
      <c r="N25" s="60"/>
      <c r="O25" s="186">
        <f t="shared" si="3"/>
        <v>0</v>
      </c>
      <c r="P25" s="59"/>
      <c r="Q25" s="60"/>
      <c r="R25" s="186">
        <f t="shared" si="4"/>
        <v>0</v>
      </c>
      <c r="S25" s="59"/>
      <c r="T25" s="60"/>
      <c r="U25" s="186">
        <f t="shared" si="5"/>
        <v>0</v>
      </c>
    </row>
    <row r="26" spans="2:21" ht="15.75" customHeight="1" x14ac:dyDescent="0.25">
      <c r="B26" s="139">
        <f t="shared" si="6"/>
        <v>15</v>
      </c>
      <c r="C26" s="61"/>
      <c r="D26" s="59"/>
      <c r="E26" s="60"/>
      <c r="F26" s="186">
        <f t="shared" si="0"/>
        <v>0</v>
      </c>
      <c r="G26" s="59"/>
      <c r="H26" s="60"/>
      <c r="I26" s="186">
        <f t="shared" si="1"/>
        <v>0</v>
      </c>
      <c r="J26" s="59"/>
      <c r="K26" s="60"/>
      <c r="L26" s="186">
        <f t="shared" si="2"/>
        <v>0</v>
      </c>
      <c r="M26" s="59"/>
      <c r="N26" s="60"/>
      <c r="O26" s="186">
        <f t="shared" si="3"/>
        <v>0</v>
      </c>
      <c r="P26" s="59"/>
      <c r="Q26" s="60"/>
      <c r="R26" s="186">
        <f t="shared" si="4"/>
        <v>0</v>
      </c>
      <c r="S26" s="59"/>
      <c r="T26" s="60"/>
      <c r="U26" s="186">
        <f t="shared" si="5"/>
        <v>0</v>
      </c>
    </row>
    <row r="27" spans="2:21" ht="15.75" customHeight="1" x14ac:dyDescent="0.25">
      <c r="B27" s="139">
        <f t="shared" si="6"/>
        <v>16</v>
      </c>
      <c r="C27" s="61"/>
      <c r="D27" s="59"/>
      <c r="E27" s="60"/>
      <c r="F27" s="186">
        <f t="shared" si="0"/>
        <v>0</v>
      </c>
      <c r="G27" s="59"/>
      <c r="H27" s="60"/>
      <c r="I27" s="186">
        <f t="shared" si="1"/>
        <v>0</v>
      </c>
      <c r="J27" s="59"/>
      <c r="K27" s="60"/>
      <c r="L27" s="186">
        <f t="shared" si="2"/>
        <v>0</v>
      </c>
      <c r="M27" s="59"/>
      <c r="N27" s="60"/>
      <c r="O27" s="186">
        <f t="shared" si="3"/>
        <v>0</v>
      </c>
      <c r="P27" s="59"/>
      <c r="Q27" s="60"/>
      <c r="R27" s="186">
        <f t="shared" si="4"/>
        <v>0</v>
      </c>
      <c r="S27" s="59"/>
      <c r="T27" s="60"/>
      <c r="U27" s="186">
        <f t="shared" si="5"/>
        <v>0</v>
      </c>
    </row>
    <row r="28" spans="2:21" ht="15.75" customHeight="1" x14ac:dyDescent="0.25">
      <c r="B28" s="139">
        <f t="shared" si="6"/>
        <v>17</v>
      </c>
      <c r="C28" s="61"/>
      <c r="D28" s="59"/>
      <c r="E28" s="60"/>
      <c r="F28" s="186">
        <f t="shared" si="0"/>
        <v>0</v>
      </c>
      <c r="G28" s="59"/>
      <c r="H28" s="60"/>
      <c r="I28" s="186">
        <f t="shared" si="1"/>
        <v>0</v>
      </c>
      <c r="J28" s="59"/>
      <c r="K28" s="60"/>
      <c r="L28" s="186">
        <f t="shared" si="2"/>
        <v>0</v>
      </c>
      <c r="M28" s="59"/>
      <c r="N28" s="60"/>
      <c r="O28" s="186">
        <f t="shared" si="3"/>
        <v>0</v>
      </c>
      <c r="P28" s="59"/>
      <c r="Q28" s="60"/>
      <c r="R28" s="186">
        <f t="shared" si="4"/>
        <v>0</v>
      </c>
      <c r="S28" s="59"/>
      <c r="T28" s="60"/>
      <c r="U28" s="186">
        <f t="shared" si="5"/>
        <v>0</v>
      </c>
    </row>
    <row r="29" spans="2:21" ht="15.75" customHeight="1" x14ac:dyDescent="0.25">
      <c r="B29" s="145">
        <f t="shared" si="6"/>
        <v>18</v>
      </c>
      <c r="C29" s="61"/>
      <c r="D29" s="59"/>
      <c r="E29" s="60"/>
      <c r="F29" s="186">
        <f t="shared" si="0"/>
        <v>0</v>
      </c>
      <c r="G29" s="59"/>
      <c r="H29" s="60"/>
      <c r="I29" s="186">
        <f t="shared" si="1"/>
        <v>0</v>
      </c>
      <c r="J29" s="59"/>
      <c r="K29" s="60"/>
      <c r="L29" s="186">
        <f t="shared" si="2"/>
        <v>0</v>
      </c>
      <c r="M29" s="59"/>
      <c r="N29" s="60"/>
      <c r="O29" s="186">
        <f t="shared" si="3"/>
        <v>0</v>
      </c>
      <c r="P29" s="59"/>
      <c r="Q29" s="60"/>
      <c r="R29" s="186">
        <f t="shared" si="4"/>
        <v>0</v>
      </c>
      <c r="S29" s="59"/>
      <c r="T29" s="60"/>
      <c r="U29" s="186">
        <f t="shared" si="5"/>
        <v>0</v>
      </c>
    </row>
    <row r="30" spans="2:21" ht="15" customHeight="1" x14ac:dyDescent="0.25">
      <c r="B30" s="145">
        <f t="shared" si="6"/>
        <v>19</v>
      </c>
      <c r="C30" s="61"/>
      <c r="D30" s="59"/>
      <c r="E30" s="60"/>
      <c r="F30" s="186">
        <f t="shared" si="0"/>
        <v>0</v>
      </c>
      <c r="G30" s="59"/>
      <c r="H30" s="60"/>
      <c r="I30" s="186">
        <f t="shared" si="1"/>
        <v>0</v>
      </c>
      <c r="J30" s="59"/>
      <c r="K30" s="60"/>
      <c r="L30" s="186">
        <f t="shared" si="2"/>
        <v>0</v>
      </c>
      <c r="M30" s="59"/>
      <c r="N30" s="60"/>
      <c r="O30" s="186">
        <f t="shared" si="3"/>
        <v>0</v>
      </c>
      <c r="P30" s="59"/>
      <c r="Q30" s="60"/>
      <c r="R30" s="186">
        <f t="shared" si="4"/>
        <v>0</v>
      </c>
      <c r="S30" s="59"/>
      <c r="T30" s="60"/>
      <c r="U30" s="186">
        <f t="shared" si="5"/>
        <v>0</v>
      </c>
    </row>
    <row r="31" spans="2:21" ht="14.5" thickBot="1" x14ac:dyDescent="0.3">
      <c r="B31" s="146">
        <f>B30+1</f>
        <v>20</v>
      </c>
      <c r="C31" s="61"/>
      <c r="D31" s="59"/>
      <c r="E31" s="60"/>
      <c r="F31" s="186">
        <f t="shared" si="0"/>
        <v>0</v>
      </c>
      <c r="G31" s="59"/>
      <c r="H31" s="60"/>
      <c r="I31" s="186">
        <f t="shared" si="1"/>
        <v>0</v>
      </c>
      <c r="J31" s="59"/>
      <c r="K31" s="60"/>
      <c r="L31" s="186">
        <f t="shared" si="2"/>
        <v>0</v>
      </c>
      <c r="M31" s="59"/>
      <c r="N31" s="60"/>
      <c r="O31" s="186">
        <f t="shared" si="3"/>
        <v>0</v>
      </c>
      <c r="P31" s="59"/>
      <c r="Q31" s="60"/>
      <c r="R31" s="186">
        <f t="shared" si="4"/>
        <v>0</v>
      </c>
      <c r="S31" s="59"/>
      <c r="T31" s="60"/>
      <c r="U31" s="186">
        <f t="shared" si="5"/>
        <v>0</v>
      </c>
    </row>
    <row r="32" spans="2:21" ht="31.5" customHeight="1" thickBot="1" x14ac:dyDescent="0.3">
      <c r="C32" s="178" t="s">
        <v>3</v>
      </c>
      <c r="D32" s="54">
        <f>SUM(D12:D31)</f>
        <v>0</v>
      </c>
      <c r="E32" s="55">
        <f>SUM(E12:E31)</f>
        <v>0</v>
      </c>
      <c r="F32" s="56">
        <f>D32+E32</f>
        <v>0</v>
      </c>
      <c r="G32" s="54">
        <f>SUM(G12:G31)</f>
        <v>0</v>
      </c>
      <c r="H32" s="55">
        <f>SUM(H12:H31)</f>
        <v>0</v>
      </c>
      <c r="I32" s="56">
        <f>G32+H32</f>
        <v>0</v>
      </c>
      <c r="J32" s="54">
        <f>SUM(J12:J31)</f>
        <v>0</v>
      </c>
      <c r="K32" s="55">
        <f>SUM(K12:K31)</f>
        <v>0</v>
      </c>
      <c r="L32" s="56">
        <f>J32+K32</f>
        <v>0</v>
      </c>
      <c r="M32" s="54">
        <f>SUM(M12:M31)</f>
        <v>0</v>
      </c>
      <c r="N32" s="55">
        <f>SUM(N12:N31)</f>
        <v>0</v>
      </c>
      <c r="O32" s="56">
        <f>M32+N32</f>
        <v>0</v>
      </c>
      <c r="P32" s="54">
        <f>SUM(P12:P31)</f>
        <v>0</v>
      </c>
      <c r="Q32" s="55">
        <f>SUM(Q12:Q31)</f>
        <v>0</v>
      </c>
      <c r="R32" s="56">
        <f>P32+Q32</f>
        <v>0</v>
      </c>
      <c r="S32" s="54">
        <f>SUM(S12:S31)</f>
        <v>0</v>
      </c>
      <c r="T32" s="55">
        <f>SUM(T12:T31)</f>
        <v>0</v>
      </c>
      <c r="U32" s="56">
        <f>S32+T32</f>
        <v>0</v>
      </c>
    </row>
    <row r="33" spans="1:14" ht="6" customHeight="1" x14ac:dyDescent="0.25">
      <c r="A33" s="22"/>
      <c r="B33" s="22"/>
      <c r="C33" s="22"/>
      <c r="D33" s="22"/>
      <c r="E33" s="22"/>
      <c r="F33" s="22"/>
      <c r="G33" s="22"/>
      <c r="H33" s="22"/>
      <c r="I33" s="22"/>
      <c r="J33" s="22"/>
      <c r="K33" s="22"/>
      <c r="L33" s="22"/>
      <c r="M33" s="22"/>
      <c r="N33" s="22"/>
    </row>
  </sheetData>
  <sheetProtection insertRows="0"/>
  <protectedRanges>
    <protectedRange password="CC9E" sqref="A1:IV10 A12:IV65535 A11:D11 F11:G11 I11:J11 L11:M11 O11:P11 R11:S11 U11:IV11" name="Rango1"/>
    <protectedRange password="CC9E" sqref="E11" name="Rango1_1"/>
    <protectedRange password="CC9E" sqref="H11" name="Rango1_2"/>
    <protectedRange password="CC9E" sqref="K11" name="Rango1_3"/>
    <protectedRange password="CC9E" sqref="N11" name="Rango1_4"/>
    <protectedRange password="CC9E" sqref="Q11" name="Rango1_5"/>
    <protectedRange password="CC9E" sqref="T11" name="Rango1_6"/>
  </protectedRanges>
  <mergeCells count="10">
    <mergeCell ref="S10:U10"/>
    <mergeCell ref="D1:I1"/>
    <mergeCell ref="C10:C11"/>
    <mergeCell ref="J10:L10"/>
    <mergeCell ref="B7:C7"/>
    <mergeCell ref="B10:B11"/>
    <mergeCell ref="D10:F10"/>
    <mergeCell ref="G10:I10"/>
    <mergeCell ref="M10:O10"/>
    <mergeCell ref="P10:R10"/>
  </mergeCells>
  <phoneticPr fontId="2" type="noConversion"/>
  <pageMargins left="0.39370078740157483" right="0.39370078740157483" top="0.78740157480314965" bottom="0.78740157480314965" header="0" footer="0.39370078740157483"/>
  <pageSetup paperSize="9" scale="37" fitToHeight="0" orientation="landscape" r:id="rId1"/>
  <headerFooter alignWithMargins="0">
    <oddFooter xml:space="preserve">&amp;CP. &amp;P / &amp;N
</oddFooter>
  </headerFooter>
  <ignoredErrors>
    <ignoredError sqref="D10:F10 B12:B31 B32:C32 D32:E32 H10:I10" unlockedFormula="1"/>
  </ignoredError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32"/>
  <sheetViews>
    <sheetView showGridLines="0" zoomScale="85" workbookViewId="0">
      <pane xSplit="3" ySplit="10" topLeftCell="D11" activePane="bottomRight" state="frozen"/>
      <selection activeCell="C5" sqref="C5:D5"/>
      <selection pane="topRight" activeCell="C5" sqref="C5:D5"/>
      <selection pane="bottomLeft" activeCell="C5" sqref="C5:D5"/>
      <selection pane="bottomRight" activeCell="C1" sqref="C1"/>
    </sheetView>
  </sheetViews>
  <sheetFormatPr baseColWidth="10" defaultColWidth="11.453125" defaultRowHeight="14" x14ac:dyDescent="0.25"/>
  <cols>
    <col min="1" max="1" width="1.7265625" style="16" customWidth="1"/>
    <col min="2" max="2" width="14.7265625" style="16" customWidth="1"/>
    <col min="3" max="3" width="90.7265625" style="16" customWidth="1"/>
    <col min="4" max="12" width="15.26953125" style="16" customWidth="1"/>
    <col min="13" max="13" width="15.1796875" style="16" customWidth="1"/>
    <col min="14" max="14" width="13.26953125" style="16" customWidth="1"/>
    <col min="15" max="15" width="13.453125" style="16" customWidth="1"/>
    <col min="16" max="16" width="14.81640625" style="16" customWidth="1"/>
    <col min="17" max="17" width="14.453125" style="16" customWidth="1"/>
    <col min="18" max="18" width="13.453125" style="16" customWidth="1"/>
    <col min="19" max="19" width="13.54296875" style="16" customWidth="1"/>
    <col min="20" max="20" width="14.26953125" style="16" customWidth="1"/>
    <col min="21" max="21" width="13.54296875" style="16" customWidth="1"/>
    <col min="22" max="16384" width="11.453125" style="16"/>
  </cols>
  <sheetData>
    <row r="1" spans="2:21" ht="64.5" customHeight="1" x14ac:dyDescent="0.25">
      <c r="D1" s="252"/>
      <c r="E1" s="252"/>
      <c r="F1" s="252"/>
      <c r="G1" s="252"/>
      <c r="H1" s="252"/>
      <c r="I1" s="252"/>
      <c r="J1" s="12"/>
      <c r="K1" s="12"/>
      <c r="L1" s="12"/>
    </row>
    <row r="2" spans="2:21" ht="14.5" x14ac:dyDescent="0.25">
      <c r="B2" s="118"/>
    </row>
    <row r="4" spans="2:21" x14ac:dyDescent="0.25">
      <c r="B4" s="93" t="s">
        <v>149</v>
      </c>
    </row>
    <row r="6" spans="2:21" ht="26.5" customHeight="1" x14ac:dyDescent="0.25">
      <c r="B6" s="253" t="s">
        <v>144</v>
      </c>
      <c r="C6" s="253"/>
      <c r="D6" s="88"/>
    </row>
    <row r="7" spans="2:21" x14ac:dyDescent="0.25">
      <c r="B7" s="97"/>
      <c r="C7" s="179"/>
      <c r="D7" s="88"/>
    </row>
    <row r="8" spans="2:21" ht="6" customHeight="1" thickBot="1" x14ac:dyDescent="0.3"/>
    <row r="9" spans="2:21" ht="15.75" customHeight="1" thickBot="1" x14ac:dyDescent="0.3">
      <c r="B9" s="237" t="s">
        <v>83</v>
      </c>
      <c r="C9" s="254" t="s">
        <v>87</v>
      </c>
      <c r="D9" s="245">
        <f>Personal!F13</f>
        <v>2023</v>
      </c>
      <c r="E9" s="246"/>
      <c r="F9" s="247"/>
      <c r="G9" s="245">
        <f>D9+1</f>
        <v>2024</v>
      </c>
      <c r="H9" s="246"/>
      <c r="I9" s="247"/>
      <c r="J9" s="245">
        <f>G9+1</f>
        <v>2025</v>
      </c>
      <c r="K9" s="246"/>
      <c r="L9" s="247"/>
      <c r="M9" s="245">
        <f>J9+1</f>
        <v>2026</v>
      </c>
      <c r="N9" s="246"/>
      <c r="O9" s="247"/>
      <c r="P9" s="245">
        <f>M9+1</f>
        <v>2027</v>
      </c>
      <c r="Q9" s="246"/>
      <c r="R9" s="247"/>
      <c r="S9" s="245">
        <f>P9+1</f>
        <v>2028</v>
      </c>
      <c r="T9" s="246"/>
      <c r="U9" s="247"/>
    </row>
    <row r="10" spans="2:21" s="57" customFormat="1" ht="63" customHeight="1" thickBot="1" x14ac:dyDescent="0.3">
      <c r="B10" s="238" t="s">
        <v>1</v>
      </c>
      <c r="C10" s="255"/>
      <c r="D10" s="147" t="s">
        <v>7</v>
      </c>
      <c r="E10" s="148" t="s">
        <v>167</v>
      </c>
      <c r="F10" s="149" t="s">
        <v>5</v>
      </c>
      <c r="G10" s="147" t="s">
        <v>7</v>
      </c>
      <c r="H10" s="148" t="s">
        <v>167</v>
      </c>
      <c r="I10" s="149" t="s">
        <v>5</v>
      </c>
      <c r="J10" s="147" t="s">
        <v>7</v>
      </c>
      <c r="K10" s="148" t="s">
        <v>167</v>
      </c>
      <c r="L10" s="149" t="s">
        <v>5</v>
      </c>
      <c r="M10" s="147" t="s">
        <v>7</v>
      </c>
      <c r="N10" s="148" t="s">
        <v>167</v>
      </c>
      <c r="O10" s="149" t="s">
        <v>5</v>
      </c>
      <c r="P10" s="147" t="s">
        <v>7</v>
      </c>
      <c r="Q10" s="148" t="s">
        <v>167</v>
      </c>
      <c r="R10" s="149" t="s">
        <v>5</v>
      </c>
      <c r="S10" s="147" t="s">
        <v>7</v>
      </c>
      <c r="T10" s="148" t="s">
        <v>167</v>
      </c>
      <c r="U10" s="149" t="s">
        <v>5</v>
      </c>
    </row>
    <row r="11" spans="2:21" ht="15.75" customHeight="1" x14ac:dyDescent="0.25">
      <c r="B11" s="138">
        <v>1</v>
      </c>
      <c r="C11" s="58"/>
      <c r="D11" s="59"/>
      <c r="E11" s="188"/>
      <c r="F11" s="186">
        <f>SUM(D11:E11)</f>
        <v>0</v>
      </c>
      <c r="G11" s="59"/>
      <c r="H11" s="188"/>
      <c r="I11" s="186">
        <f>SUM(G11:H11)</f>
        <v>0</v>
      </c>
      <c r="J11" s="59"/>
      <c r="K11" s="188"/>
      <c r="L11" s="186">
        <f>SUM(J11:K11)</f>
        <v>0</v>
      </c>
      <c r="M11" s="59"/>
      <c r="N11" s="188"/>
      <c r="O11" s="186">
        <f>SUM(M11:N11)</f>
        <v>0</v>
      </c>
      <c r="P11" s="59"/>
      <c r="Q11" s="188"/>
      <c r="R11" s="186">
        <f>SUM(P11:Q11)</f>
        <v>0</v>
      </c>
      <c r="S11" s="59"/>
      <c r="T11" s="188"/>
      <c r="U11" s="186">
        <f>SUM(S11:T11)</f>
        <v>0</v>
      </c>
    </row>
    <row r="12" spans="2:21" ht="15.75" customHeight="1" x14ac:dyDescent="0.25">
      <c r="B12" s="139">
        <f>B11+1</f>
        <v>2</v>
      </c>
      <c r="C12" s="61"/>
      <c r="D12" s="59"/>
      <c r="E12" s="188"/>
      <c r="F12" s="186">
        <f t="shared" ref="F12:F30" si="0">SUM(D12:E12)</f>
        <v>0</v>
      </c>
      <c r="G12" s="59"/>
      <c r="H12" s="188"/>
      <c r="I12" s="186">
        <f t="shared" ref="I12:I30" si="1">SUM(G12:H12)</f>
        <v>0</v>
      </c>
      <c r="J12" s="59"/>
      <c r="K12" s="188"/>
      <c r="L12" s="186">
        <f t="shared" ref="L12:L30" si="2">SUM(J12:K12)</f>
        <v>0</v>
      </c>
      <c r="M12" s="59"/>
      <c r="N12" s="188"/>
      <c r="O12" s="186">
        <f t="shared" ref="O12:O30" si="3">SUM(M12:N12)</f>
        <v>0</v>
      </c>
      <c r="P12" s="59"/>
      <c r="Q12" s="188"/>
      <c r="R12" s="186">
        <f t="shared" ref="R12:R30" si="4">SUM(P12:Q12)</f>
        <v>0</v>
      </c>
      <c r="S12" s="59"/>
      <c r="T12" s="188"/>
      <c r="U12" s="186">
        <f t="shared" ref="U12:U30" si="5">SUM(S12:T12)</f>
        <v>0</v>
      </c>
    </row>
    <row r="13" spans="2:21" ht="15.75" customHeight="1" x14ac:dyDescent="0.25">
      <c r="B13" s="139">
        <f t="shared" ref="B13:B29" si="6">B12+1</f>
        <v>3</v>
      </c>
      <c r="C13" s="61"/>
      <c r="D13" s="59"/>
      <c r="E13" s="188"/>
      <c r="F13" s="186">
        <f t="shared" si="0"/>
        <v>0</v>
      </c>
      <c r="G13" s="59"/>
      <c r="H13" s="188"/>
      <c r="I13" s="186">
        <f t="shared" si="1"/>
        <v>0</v>
      </c>
      <c r="J13" s="59"/>
      <c r="K13" s="188"/>
      <c r="L13" s="186">
        <f t="shared" si="2"/>
        <v>0</v>
      </c>
      <c r="M13" s="59"/>
      <c r="N13" s="188"/>
      <c r="O13" s="186">
        <f t="shared" si="3"/>
        <v>0</v>
      </c>
      <c r="P13" s="59"/>
      <c r="Q13" s="188"/>
      <c r="R13" s="186">
        <f t="shared" si="4"/>
        <v>0</v>
      </c>
      <c r="S13" s="59"/>
      <c r="T13" s="188"/>
      <c r="U13" s="186">
        <f t="shared" si="5"/>
        <v>0</v>
      </c>
    </row>
    <row r="14" spans="2:21" ht="15.75" customHeight="1" x14ac:dyDescent="0.25">
      <c r="B14" s="139">
        <f t="shared" si="6"/>
        <v>4</v>
      </c>
      <c r="C14" s="61"/>
      <c r="D14" s="59"/>
      <c r="E14" s="188"/>
      <c r="F14" s="186">
        <f t="shared" si="0"/>
        <v>0</v>
      </c>
      <c r="G14" s="59"/>
      <c r="H14" s="188"/>
      <c r="I14" s="186">
        <f t="shared" si="1"/>
        <v>0</v>
      </c>
      <c r="J14" s="59"/>
      <c r="K14" s="188"/>
      <c r="L14" s="186">
        <f t="shared" si="2"/>
        <v>0</v>
      </c>
      <c r="M14" s="59"/>
      <c r="N14" s="188"/>
      <c r="O14" s="186">
        <f t="shared" si="3"/>
        <v>0</v>
      </c>
      <c r="P14" s="59"/>
      <c r="Q14" s="188"/>
      <c r="R14" s="186">
        <f t="shared" si="4"/>
        <v>0</v>
      </c>
      <c r="S14" s="59"/>
      <c r="T14" s="188"/>
      <c r="U14" s="186">
        <f t="shared" si="5"/>
        <v>0</v>
      </c>
    </row>
    <row r="15" spans="2:21" ht="15.75" customHeight="1" x14ac:dyDescent="0.25">
      <c r="B15" s="139">
        <f t="shared" si="6"/>
        <v>5</v>
      </c>
      <c r="C15" s="61"/>
      <c r="D15" s="59"/>
      <c r="E15" s="188"/>
      <c r="F15" s="186">
        <f t="shared" si="0"/>
        <v>0</v>
      </c>
      <c r="G15" s="59"/>
      <c r="H15" s="188"/>
      <c r="I15" s="186">
        <f t="shared" si="1"/>
        <v>0</v>
      </c>
      <c r="J15" s="59"/>
      <c r="K15" s="188"/>
      <c r="L15" s="186">
        <f t="shared" si="2"/>
        <v>0</v>
      </c>
      <c r="M15" s="59"/>
      <c r="N15" s="188"/>
      <c r="O15" s="186">
        <f t="shared" si="3"/>
        <v>0</v>
      </c>
      <c r="P15" s="59"/>
      <c r="Q15" s="188"/>
      <c r="R15" s="186">
        <f t="shared" si="4"/>
        <v>0</v>
      </c>
      <c r="S15" s="59"/>
      <c r="T15" s="188"/>
      <c r="U15" s="186">
        <f t="shared" si="5"/>
        <v>0</v>
      </c>
    </row>
    <row r="16" spans="2:21" ht="15.75" customHeight="1" x14ac:dyDescent="0.25">
      <c r="B16" s="139">
        <f t="shared" si="6"/>
        <v>6</v>
      </c>
      <c r="C16" s="61"/>
      <c r="D16" s="59"/>
      <c r="E16" s="188"/>
      <c r="F16" s="186">
        <f t="shared" si="0"/>
        <v>0</v>
      </c>
      <c r="G16" s="59"/>
      <c r="H16" s="188"/>
      <c r="I16" s="186">
        <f t="shared" si="1"/>
        <v>0</v>
      </c>
      <c r="J16" s="59"/>
      <c r="K16" s="188"/>
      <c r="L16" s="186">
        <f t="shared" si="2"/>
        <v>0</v>
      </c>
      <c r="M16" s="59"/>
      <c r="N16" s="188"/>
      <c r="O16" s="186">
        <f t="shared" si="3"/>
        <v>0</v>
      </c>
      <c r="P16" s="59"/>
      <c r="Q16" s="188"/>
      <c r="R16" s="186">
        <f t="shared" si="4"/>
        <v>0</v>
      </c>
      <c r="S16" s="59"/>
      <c r="T16" s="188"/>
      <c r="U16" s="186">
        <f t="shared" si="5"/>
        <v>0</v>
      </c>
    </row>
    <row r="17" spans="1:21" ht="15.75" customHeight="1" x14ac:dyDescent="0.25">
      <c r="B17" s="139">
        <f t="shared" si="6"/>
        <v>7</v>
      </c>
      <c r="C17" s="61"/>
      <c r="D17" s="59"/>
      <c r="E17" s="188"/>
      <c r="F17" s="186">
        <f t="shared" si="0"/>
        <v>0</v>
      </c>
      <c r="G17" s="59"/>
      <c r="H17" s="188"/>
      <c r="I17" s="186">
        <f t="shared" si="1"/>
        <v>0</v>
      </c>
      <c r="J17" s="59"/>
      <c r="K17" s="188"/>
      <c r="L17" s="186">
        <f t="shared" si="2"/>
        <v>0</v>
      </c>
      <c r="M17" s="59"/>
      <c r="N17" s="188"/>
      <c r="O17" s="186">
        <f t="shared" si="3"/>
        <v>0</v>
      </c>
      <c r="P17" s="59"/>
      <c r="Q17" s="188"/>
      <c r="R17" s="186">
        <f t="shared" si="4"/>
        <v>0</v>
      </c>
      <c r="S17" s="59"/>
      <c r="T17" s="188"/>
      <c r="U17" s="186">
        <f t="shared" si="5"/>
        <v>0</v>
      </c>
    </row>
    <row r="18" spans="1:21" ht="15.75" customHeight="1" x14ac:dyDescent="0.25">
      <c r="B18" s="139">
        <f t="shared" si="6"/>
        <v>8</v>
      </c>
      <c r="C18" s="61"/>
      <c r="D18" s="59"/>
      <c r="E18" s="188"/>
      <c r="F18" s="186">
        <f t="shared" si="0"/>
        <v>0</v>
      </c>
      <c r="G18" s="59"/>
      <c r="H18" s="188"/>
      <c r="I18" s="186">
        <f t="shared" si="1"/>
        <v>0</v>
      </c>
      <c r="J18" s="59"/>
      <c r="K18" s="188"/>
      <c r="L18" s="186">
        <f t="shared" si="2"/>
        <v>0</v>
      </c>
      <c r="M18" s="59"/>
      <c r="N18" s="188"/>
      <c r="O18" s="186">
        <f t="shared" si="3"/>
        <v>0</v>
      </c>
      <c r="P18" s="59"/>
      <c r="Q18" s="188"/>
      <c r="R18" s="186">
        <f t="shared" si="4"/>
        <v>0</v>
      </c>
      <c r="S18" s="59"/>
      <c r="T18" s="188"/>
      <c r="U18" s="186">
        <f t="shared" si="5"/>
        <v>0</v>
      </c>
    </row>
    <row r="19" spans="1:21" ht="15.75" customHeight="1" x14ac:dyDescent="0.25">
      <c r="B19" s="139">
        <f t="shared" si="6"/>
        <v>9</v>
      </c>
      <c r="C19" s="61"/>
      <c r="D19" s="59"/>
      <c r="E19" s="188"/>
      <c r="F19" s="186">
        <f t="shared" si="0"/>
        <v>0</v>
      </c>
      <c r="G19" s="59"/>
      <c r="H19" s="188"/>
      <c r="I19" s="186">
        <f t="shared" si="1"/>
        <v>0</v>
      </c>
      <c r="J19" s="59"/>
      <c r="K19" s="188"/>
      <c r="L19" s="186">
        <f t="shared" si="2"/>
        <v>0</v>
      </c>
      <c r="M19" s="59"/>
      <c r="N19" s="188"/>
      <c r="O19" s="186">
        <f t="shared" si="3"/>
        <v>0</v>
      </c>
      <c r="P19" s="59"/>
      <c r="Q19" s="188"/>
      <c r="R19" s="186">
        <f t="shared" si="4"/>
        <v>0</v>
      </c>
      <c r="S19" s="59"/>
      <c r="T19" s="188"/>
      <c r="U19" s="186">
        <f t="shared" si="5"/>
        <v>0</v>
      </c>
    </row>
    <row r="20" spans="1:21" ht="15.75" customHeight="1" x14ac:dyDescent="0.25">
      <c r="B20" s="139">
        <f t="shared" si="6"/>
        <v>10</v>
      </c>
      <c r="C20" s="61"/>
      <c r="D20" s="59"/>
      <c r="E20" s="188"/>
      <c r="F20" s="186">
        <f t="shared" si="0"/>
        <v>0</v>
      </c>
      <c r="G20" s="59"/>
      <c r="H20" s="188"/>
      <c r="I20" s="186">
        <f t="shared" si="1"/>
        <v>0</v>
      </c>
      <c r="J20" s="59"/>
      <c r="K20" s="188"/>
      <c r="L20" s="186">
        <f t="shared" si="2"/>
        <v>0</v>
      </c>
      <c r="M20" s="59"/>
      <c r="N20" s="188"/>
      <c r="O20" s="186">
        <f t="shared" si="3"/>
        <v>0</v>
      </c>
      <c r="P20" s="59"/>
      <c r="Q20" s="188"/>
      <c r="R20" s="186">
        <f t="shared" si="4"/>
        <v>0</v>
      </c>
      <c r="S20" s="59"/>
      <c r="T20" s="188"/>
      <c r="U20" s="186">
        <f t="shared" si="5"/>
        <v>0</v>
      </c>
    </row>
    <row r="21" spans="1:21" ht="15.75" customHeight="1" x14ac:dyDescent="0.25">
      <c r="B21" s="139">
        <f t="shared" si="6"/>
        <v>11</v>
      </c>
      <c r="C21" s="61"/>
      <c r="D21" s="59"/>
      <c r="E21" s="188"/>
      <c r="F21" s="186">
        <f t="shared" si="0"/>
        <v>0</v>
      </c>
      <c r="G21" s="59"/>
      <c r="H21" s="188"/>
      <c r="I21" s="186">
        <f t="shared" si="1"/>
        <v>0</v>
      </c>
      <c r="J21" s="59"/>
      <c r="K21" s="188"/>
      <c r="L21" s="186">
        <f t="shared" si="2"/>
        <v>0</v>
      </c>
      <c r="M21" s="59"/>
      <c r="N21" s="188"/>
      <c r="O21" s="186">
        <f t="shared" si="3"/>
        <v>0</v>
      </c>
      <c r="P21" s="59"/>
      <c r="Q21" s="188"/>
      <c r="R21" s="186">
        <f t="shared" si="4"/>
        <v>0</v>
      </c>
      <c r="S21" s="59"/>
      <c r="T21" s="188"/>
      <c r="U21" s="186">
        <f t="shared" si="5"/>
        <v>0</v>
      </c>
    </row>
    <row r="22" spans="1:21" ht="15.75" customHeight="1" x14ac:dyDescent="0.25">
      <c r="B22" s="139">
        <f t="shared" si="6"/>
        <v>12</v>
      </c>
      <c r="C22" s="61"/>
      <c r="D22" s="59"/>
      <c r="E22" s="188"/>
      <c r="F22" s="186">
        <f t="shared" si="0"/>
        <v>0</v>
      </c>
      <c r="G22" s="59"/>
      <c r="H22" s="188"/>
      <c r="I22" s="186">
        <f t="shared" si="1"/>
        <v>0</v>
      </c>
      <c r="J22" s="59"/>
      <c r="K22" s="188"/>
      <c r="L22" s="186">
        <f t="shared" si="2"/>
        <v>0</v>
      </c>
      <c r="M22" s="59"/>
      <c r="N22" s="188"/>
      <c r="O22" s="186">
        <f t="shared" si="3"/>
        <v>0</v>
      </c>
      <c r="P22" s="59"/>
      <c r="Q22" s="188"/>
      <c r="R22" s="186">
        <f t="shared" si="4"/>
        <v>0</v>
      </c>
      <c r="S22" s="59"/>
      <c r="T22" s="188"/>
      <c r="U22" s="186">
        <f t="shared" si="5"/>
        <v>0</v>
      </c>
    </row>
    <row r="23" spans="1:21" ht="15.75" customHeight="1" x14ac:dyDescent="0.25">
      <c r="B23" s="139">
        <f t="shared" si="6"/>
        <v>13</v>
      </c>
      <c r="C23" s="61"/>
      <c r="D23" s="59"/>
      <c r="E23" s="188"/>
      <c r="F23" s="186">
        <f t="shared" si="0"/>
        <v>0</v>
      </c>
      <c r="G23" s="59"/>
      <c r="H23" s="188"/>
      <c r="I23" s="186">
        <f t="shared" si="1"/>
        <v>0</v>
      </c>
      <c r="J23" s="59"/>
      <c r="K23" s="188"/>
      <c r="L23" s="186">
        <f t="shared" si="2"/>
        <v>0</v>
      </c>
      <c r="M23" s="59"/>
      <c r="N23" s="188"/>
      <c r="O23" s="186">
        <f t="shared" si="3"/>
        <v>0</v>
      </c>
      <c r="P23" s="59"/>
      <c r="Q23" s="188"/>
      <c r="R23" s="186">
        <f t="shared" si="4"/>
        <v>0</v>
      </c>
      <c r="S23" s="59"/>
      <c r="T23" s="188"/>
      <c r="U23" s="186">
        <f t="shared" si="5"/>
        <v>0</v>
      </c>
    </row>
    <row r="24" spans="1:21" ht="15.75" customHeight="1" x14ac:dyDescent="0.25">
      <c r="B24" s="139">
        <f t="shared" si="6"/>
        <v>14</v>
      </c>
      <c r="C24" s="61"/>
      <c r="D24" s="59"/>
      <c r="E24" s="188"/>
      <c r="F24" s="186">
        <f t="shared" si="0"/>
        <v>0</v>
      </c>
      <c r="G24" s="59"/>
      <c r="H24" s="188"/>
      <c r="I24" s="186">
        <f t="shared" si="1"/>
        <v>0</v>
      </c>
      <c r="J24" s="59"/>
      <c r="K24" s="188"/>
      <c r="L24" s="186">
        <f t="shared" si="2"/>
        <v>0</v>
      </c>
      <c r="M24" s="59"/>
      <c r="N24" s="188"/>
      <c r="O24" s="186">
        <f t="shared" si="3"/>
        <v>0</v>
      </c>
      <c r="P24" s="59"/>
      <c r="Q24" s="188"/>
      <c r="R24" s="186">
        <f t="shared" si="4"/>
        <v>0</v>
      </c>
      <c r="S24" s="59"/>
      <c r="T24" s="188"/>
      <c r="U24" s="186">
        <f t="shared" si="5"/>
        <v>0</v>
      </c>
    </row>
    <row r="25" spans="1:21" ht="15.75" customHeight="1" x14ac:dyDescent="0.25">
      <c r="B25" s="139">
        <f t="shared" si="6"/>
        <v>15</v>
      </c>
      <c r="C25" s="61"/>
      <c r="D25" s="59"/>
      <c r="E25" s="188"/>
      <c r="F25" s="186">
        <f t="shared" si="0"/>
        <v>0</v>
      </c>
      <c r="G25" s="59"/>
      <c r="H25" s="188"/>
      <c r="I25" s="186">
        <f t="shared" si="1"/>
        <v>0</v>
      </c>
      <c r="J25" s="59"/>
      <c r="K25" s="188"/>
      <c r="L25" s="186">
        <f t="shared" si="2"/>
        <v>0</v>
      </c>
      <c r="M25" s="59"/>
      <c r="N25" s="188"/>
      <c r="O25" s="186">
        <f t="shared" si="3"/>
        <v>0</v>
      </c>
      <c r="P25" s="59"/>
      <c r="Q25" s="188"/>
      <c r="R25" s="186">
        <f t="shared" si="4"/>
        <v>0</v>
      </c>
      <c r="S25" s="59"/>
      <c r="T25" s="188"/>
      <c r="U25" s="186">
        <f t="shared" si="5"/>
        <v>0</v>
      </c>
    </row>
    <row r="26" spans="1:21" ht="15.75" customHeight="1" x14ac:dyDescent="0.25">
      <c r="B26" s="139">
        <f t="shared" si="6"/>
        <v>16</v>
      </c>
      <c r="C26" s="61"/>
      <c r="D26" s="59"/>
      <c r="E26" s="188"/>
      <c r="F26" s="186">
        <f t="shared" si="0"/>
        <v>0</v>
      </c>
      <c r="G26" s="59"/>
      <c r="H26" s="188"/>
      <c r="I26" s="186">
        <f t="shared" si="1"/>
        <v>0</v>
      </c>
      <c r="J26" s="59"/>
      <c r="K26" s="188"/>
      <c r="L26" s="186">
        <f t="shared" si="2"/>
        <v>0</v>
      </c>
      <c r="M26" s="59"/>
      <c r="N26" s="188"/>
      <c r="O26" s="186">
        <f t="shared" si="3"/>
        <v>0</v>
      </c>
      <c r="P26" s="59"/>
      <c r="Q26" s="188"/>
      <c r="R26" s="186">
        <f t="shared" si="4"/>
        <v>0</v>
      </c>
      <c r="S26" s="59"/>
      <c r="T26" s="188"/>
      <c r="U26" s="186">
        <f t="shared" si="5"/>
        <v>0</v>
      </c>
    </row>
    <row r="27" spans="1:21" ht="15.75" customHeight="1" x14ac:dyDescent="0.25">
      <c r="B27" s="139">
        <f t="shared" si="6"/>
        <v>17</v>
      </c>
      <c r="C27" s="61"/>
      <c r="D27" s="59"/>
      <c r="E27" s="188"/>
      <c r="F27" s="186">
        <f t="shared" si="0"/>
        <v>0</v>
      </c>
      <c r="G27" s="59"/>
      <c r="H27" s="188"/>
      <c r="I27" s="186">
        <f t="shared" si="1"/>
        <v>0</v>
      </c>
      <c r="J27" s="59"/>
      <c r="K27" s="188"/>
      <c r="L27" s="186">
        <f t="shared" si="2"/>
        <v>0</v>
      </c>
      <c r="M27" s="59"/>
      <c r="N27" s="188"/>
      <c r="O27" s="186">
        <f t="shared" si="3"/>
        <v>0</v>
      </c>
      <c r="P27" s="59"/>
      <c r="Q27" s="188"/>
      <c r="R27" s="186">
        <f t="shared" si="4"/>
        <v>0</v>
      </c>
      <c r="S27" s="59"/>
      <c r="T27" s="188"/>
      <c r="U27" s="186">
        <f t="shared" si="5"/>
        <v>0</v>
      </c>
    </row>
    <row r="28" spans="1:21" ht="15.75" customHeight="1" x14ac:dyDescent="0.25">
      <c r="B28" s="145">
        <f t="shared" si="6"/>
        <v>18</v>
      </c>
      <c r="C28" s="61"/>
      <c r="D28" s="59"/>
      <c r="E28" s="188"/>
      <c r="F28" s="186">
        <f t="shared" si="0"/>
        <v>0</v>
      </c>
      <c r="G28" s="59"/>
      <c r="H28" s="188"/>
      <c r="I28" s="186">
        <f t="shared" si="1"/>
        <v>0</v>
      </c>
      <c r="J28" s="59"/>
      <c r="K28" s="188"/>
      <c r="L28" s="186">
        <f t="shared" si="2"/>
        <v>0</v>
      </c>
      <c r="M28" s="59"/>
      <c r="N28" s="188"/>
      <c r="O28" s="186">
        <f t="shared" si="3"/>
        <v>0</v>
      </c>
      <c r="P28" s="59"/>
      <c r="Q28" s="188"/>
      <c r="R28" s="186">
        <f t="shared" si="4"/>
        <v>0</v>
      </c>
      <c r="S28" s="59"/>
      <c r="T28" s="188"/>
      <c r="U28" s="186">
        <f t="shared" si="5"/>
        <v>0</v>
      </c>
    </row>
    <row r="29" spans="1:21" ht="15" customHeight="1" x14ac:dyDescent="0.25">
      <c r="B29" s="145">
        <f t="shared" si="6"/>
        <v>19</v>
      </c>
      <c r="C29" s="61"/>
      <c r="D29" s="59"/>
      <c r="E29" s="188"/>
      <c r="F29" s="186">
        <f t="shared" si="0"/>
        <v>0</v>
      </c>
      <c r="G29" s="59"/>
      <c r="H29" s="188"/>
      <c r="I29" s="186">
        <f t="shared" si="1"/>
        <v>0</v>
      </c>
      <c r="J29" s="59"/>
      <c r="K29" s="188"/>
      <c r="L29" s="186">
        <f t="shared" si="2"/>
        <v>0</v>
      </c>
      <c r="M29" s="59"/>
      <c r="N29" s="188"/>
      <c r="O29" s="186">
        <f t="shared" si="3"/>
        <v>0</v>
      </c>
      <c r="P29" s="59"/>
      <c r="Q29" s="188"/>
      <c r="R29" s="186">
        <f t="shared" si="4"/>
        <v>0</v>
      </c>
      <c r="S29" s="59"/>
      <c r="T29" s="188"/>
      <c r="U29" s="186">
        <f t="shared" si="5"/>
        <v>0</v>
      </c>
    </row>
    <row r="30" spans="1:21" ht="14.5" thickBot="1" x14ac:dyDescent="0.3">
      <c r="B30" s="146">
        <f>B29+1</f>
        <v>20</v>
      </c>
      <c r="C30" s="61"/>
      <c r="D30" s="59"/>
      <c r="E30" s="188"/>
      <c r="F30" s="186">
        <f t="shared" si="0"/>
        <v>0</v>
      </c>
      <c r="G30" s="59"/>
      <c r="H30" s="188"/>
      <c r="I30" s="186">
        <f t="shared" si="1"/>
        <v>0</v>
      </c>
      <c r="J30" s="59"/>
      <c r="K30" s="188"/>
      <c r="L30" s="186">
        <f t="shared" si="2"/>
        <v>0</v>
      </c>
      <c r="M30" s="59"/>
      <c r="N30" s="188"/>
      <c r="O30" s="186">
        <f t="shared" si="3"/>
        <v>0</v>
      </c>
      <c r="P30" s="59"/>
      <c r="Q30" s="188"/>
      <c r="R30" s="186">
        <f t="shared" si="4"/>
        <v>0</v>
      </c>
      <c r="S30" s="59"/>
      <c r="T30" s="188"/>
      <c r="U30" s="186">
        <f t="shared" si="5"/>
        <v>0</v>
      </c>
    </row>
    <row r="31" spans="1:21" ht="31.5" customHeight="1" thickBot="1" x14ac:dyDescent="0.3">
      <c r="C31" s="178" t="s">
        <v>3</v>
      </c>
      <c r="D31" s="54">
        <f>SUM(D11:D30)</f>
        <v>0</v>
      </c>
      <c r="E31" s="98"/>
      <c r="F31" s="56">
        <f>D31+E31</f>
        <v>0</v>
      </c>
      <c r="G31" s="54">
        <f>SUM(G11:G30)</f>
        <v>0</v>
      </c>
      <c r="H31" s="98"/>
      <c r="I31" s="56">
        <f>G31+H31</f>
        <v>0</v>
      </c>
      <c r="J31" s="54">
        <f>SUM(J11:J30)</f>
        <v>0</v>
      </c>
      <c r="K31" s="98"/>
      <c r="L31" s="56">
        <f>J31+K31</f>
        <v>0</v>
      </c>
      <c r="M31" s="54">
        <f>SUM(M11:M30)</f>
        <v>0</v>
      </c>
      <c r="N31" s="98"/>
      <c r="O31" s="56">
        <f>M31+N31</f>
        <v>0</v>
      </c>
      <c r="P31" s="54">
        <f>SUM(P11:P30)</f>
        <v>0</v>
      </c>
      <c r="Q31" s="98"/>
      <c r="R31" s="56">
        <f>P31+Q31</f>
        <v>0</v>
      </c>
      <c r="S31" s="54">
        <f>SUM(S11:S30)</f>
        <v>0</v>
      </c>
      <c r="T31" s="98"/>
      <c r="U31" s="56">
        <f>S31+T31</f>
        <v>0</v>
      </c>
    </row>
    <row r="32" spans="1:21" ht="6" customHeight="1" x14ac:dyDescent="0.25">
      <c r="A32" s="22"/>
      <c r="B32" s="22"/>
      <c r="C32" s="22"/>
      <c r="D32" s="22"/>
      <c r="E32" s="22"/>
      <c r="F32" s="22"/>
      <c r="G32" s="22"/>
      <c r="H32" s="22"/>
      <c r="I32" s="22"/>
      <c r="J32" s="22"/>
      <c r="K32" s="22"/>
      <c r="L32" s="22"/>
      <c r="M32" s="22"/>
      <c r="N32" s="22"/>
    </row>
  </sheetData>
  <sheetProtection insertRows="0"/>
  <protectedRanges>
    <protectedRange password="CC9E" sqref="A1:IV5 A7:IV9 A6 D6:IV6 A11:IV65534 A10:D10 F10:G10 I10:J10 L10:M10 O10:P10 U10:IV10 R10:S10" name="Rango1"/>
    <protectedRange password="CC9E" sqref="B6:C6" name="Rango1_1"/>
    <protectedRange password="CC9E" sqref="E10" name="Rango1_1_1"/>
    <protectedRange password="CC9E" sqref="H10" name="Rango1_1_2"/>
    <protectedRange password="CC9E" sqref="K10" name="Rango1_1_3"/>
    <protectedRange password="CC9E" sqref="N10" name="Rango1_1_4"/>
    <protectedRange password="CC9E" sqref="T10 Q10" name="Rango1_1_5"/>
  </protectedRanges>
  <mergeCells count="10">
    <mergeCell ref="M9:O9"/>
    <mergeCell ref="P9:R9"/>
    <mergeCell ref="S9:U9"/>
    <mergeCell ref="D1:I1"/>
    <mergeCell ref="B9:B10"/>
    <mergeCell ref="C9:C10"/>
    <mergeCell ref="D9:F9"/>
    <mergeCell ref="G9:I9"/>
    <mergeCell ref="J9:L9"/>
    <mergeCell ref="B6:C6"/>
  </mergeCells>
  <pageMargins left="0.39370078740157483" right="0.39370078740157483" top="0.78740157480314965" bottom="0.78740157480314965" header="0" footer="0.39370078740157483"/>
  <pageSetup paperSize="9" scale="37" fitToHeight="0" orientation="landscape" r:id="rId1"/>
  <headerFooter alignWithMargins="0">
    <oddFooter xml:space="preserve">&amp;CP. &amp;P / &amp;N
</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32"/>
  <sheetViews>
    <sheetView showGridLines="0" zoomScale="85" zoomScaleNormal="85" workbookViewId="0">
      <pane xSplit="3" ySplit="10" topLeftCell="D11" activePane="bottomRight" state="frozen"/>
      <selection activeCell="C5" sqref="C5:D5"/>
      <selection pane="topRight" activeCell="C5" sqref="C5:D5"/>
      <selection pane="bottomLeft" activeCell="C5" sqref="C5:D5"/>
      <selection pane="bottomRight" activeCell="C1" sqref="C1"/>
    </sheetView>
  </sheetViews>
  <sheetFormatPr baseColWidth="10" defaultColWidth="11.453125" defaultRowHeight="14" x14ac:dyDescent="0.25"/>
  <cols>
    <col min="1" max="1" width="1.7265625" style="16" customWidth="1"/>
    <col min="2" max="2" width="14.7265625" style="16" customWidth="1"/>
    <col min="3" max="3" width="99" style="16" customWidth="1"/>
    <col min="4" max="4" width="15.26953125" style="16" customWidth="1"/>
    <col min="5" max="5" width="14" style="16" customWidth="1"/>
    <col min="6" max="12" width="15.26953125" style="16" customWidth="1"/>
    <col min="13" max="13" width="14.81640625" style="16" customWidth="1"/>
    <col min="14" max="14" width="14.1796875" style="16" customWidth="1"/>
    <col min="15" max="15" width="14.26953125" style="16" customWidth="1"/>
    <col min="16" max="16" width="14.453125" style="16" customWidth="1"/>
    <col min="17" max="17" width="15.54296875" style="16" customWidth="1"/>
    <col min="18" max="18" width="14.1796875" style="16" customWidth="1"/>
    <col min="19" max="19" width="13.54296875" style="16" customWidth="1"/>
    <col min="20" max="20" width="13.26953125" style="16" customWidth="1"/>
    <col min="21" max="21" width="14" style="16" customWidth="1"/>
    <col min="22" max="16384" width="11.453125" style="16"/>
  </cols>
  <sheetData>
    <row r="1" spans="2:21" ht="70.5" customHeight="1" x14ac:dyDescent="0.25">
      <c r="D1" s="252"/>
      <c r="E1" s="252"/>
      <c r="F1" s="252"/>
      <c r="G1" s="252"/>
      <c r="H1" s="252"/>
      <c r="I1" s="252"/>
      <c r="J1" s="12"/>
      <c r="K1" s="12"/>
      <c r="L1" s="12"/>
    </row>
    <row r="2" spans="2:21" ht="14.5" x14ac:dyDescent="0.25">
      <c r="B2" s="118"/>
    </row>
    <row r="4" spans="2:21" x14ac:dyDescent="0.25">
      <c r="B4" s="93" t="s">
        <v>84</v>
      </c>
    </row>
    <row r="6" spans="2:21" ht="43.5" customHeight="1" x14ac:dyDescent="0.25">
      <c r="B6" s="253" t="s">
        <v>145</v>
      </c>
      <c r="C6" s="253"/>
      <c r="D6" s="88"/>
    </row>
    <row r="7" spans="2:21" x14ac:dyDescent="0.25">
      <c r="B7" s="97"/>
      <c r="C7" s="179"/>
      <c r="D7" s="88"/>
    </row>
    <row r="8" spans="2:21" ht="6" customHeight="1" thickBot="1" x14ac:dyDescent="0.3"/>
    <row r="9" spans="2:21" ht="15.75" customHeight="1" thickBot="1" x14ac:dyDescent="0.3">
      <c r="B9" s="237" t="s">
        <v>13</v>
      </c>
      <c r="C9" s="248" t="s">
        <v>11</v>
      </c>
      <c r="D9" s="245">
        <f>Personal!F13</f>
        <v>2023</v>
      </c>
      <c r="E9" s="246"/>
      <c r="F9" s="247"/>
      <c r="G9" s="245">
        <f>D9+1</f>
        <v>2024</v>
      </c>
      <c r="H9" s="246"/>
      <c r="I9" s="247"/>
      <c r="J9" s="245">
        <f>G9+1</f>
        <v>2025</v>
      </c>
      <c r="K9" s="246"/>
      <c r="L9" s="247"/>
      <c r="M9" s="245">
        <f>J9+1</f>
        <v>2026</v>
      </c>
      <c r="N9" s="246"/>
      <c r="O9" s="247"/>
      <c r="P9" s="245">
        <f>M9+1</f>
        <v>2027</v>
      </c>
      <c r="Q9" s="246"/>
      <c r="R9" s="247"/>
      <c r="S9" s="245">
        <f>P9+1</f>
        <v>2028</v>
      </c>
      <c r="T9" s="246"/>
      <c r="U9" s="247"/>
    </row>
    <row r="10" spans="2:21" s="57" customFormat="1" ht="67.900000000000006" customHeight="1" thickBot="1" x14ac:dyDescent="0.3">
      <c r="B10" s="238"/>
      <c r="C10" s="249"/>
      <c r="D10" s="147" t="s">
        <v>7</v>
      </c>
      <c r="E10" s="148" t="s">
        <v>167</v>
      </c>
      <c r="F10" s="149" t="s">
        <v>5</v>
      </c>
      <c r="G10" s="147" t="s">
        <v>7</v>
      </c>
      <c r="H10" s="148" t="s">
        <v>167</v>
      </c>
      <c r="I10" s="149" t="s">
        <v>5</v>
      </c>
      <c r="J10" s="147" t="s">
        <v>7</v>
      </c>
      <c r="K10" s="148" t="s">
        <v>167</v>
      </c>
      <c r="L10" s="149" t="s">
        <v>5</v>
      </c>
      <c r="M10" s="147" t="s">
        <v>7</v>
      </c>
      <c r="N10" s="148" t="s">
        <v>167</v>
      </c>
      <c r="O10" s="149" t="s">
        <v>5</v>
      </c>
      <c r="P10" s="147" t="s">
        <v>7</v>
      </c>
      <c r="Q10" s="148" t="s">
        <v>167</v>
      </c>
      <c r="R10" s="149" t="s">
        <v>5</v>
      </c>
      <c r="S10" s="147" t="s">
        <v>7</v>
      </c>
      <c r="T10" s="148" t="s">
        <v>167</v>
      </c>
      <c r="U10" s="149" t="s">
        <v>5</v>
      </c>
    </row>
    <row r="11" spans="2:21" ht="15.75" customHeight="1" x14ac:dyDescent="0.25">
      <c r="B11" s="138">
        <v>1</v>
      </c>
      <c r="C11" s="58"/>
      <c r="D11" s="59"/>
      <c r="E11" s="60"/>
      <c r="F11" s="186">
        <f>SUM(D11:E11)</f>
        <v>0</v>
      </c>
      <c r="G11" s="59"/>
      <c r="H11" s="60"/>
      <c r="I11" s="186">
        <f>SUM(G11:H11)</f>
        <v>0</v>
      </c>
      <c r="J11" s="59"/>
      <c r="K11" s="60"/>
      <c r="L11" s="186">
        <f>SUM(J11:K11)</f>
        <v>0</v>
      </c>
      <c r="M11" s="59"/>
      <c r="N11" s="60"/>
      <c r="O11" s="186">
        <f>SUM(M11:N11)</f>
        <v>0</v>
      </c>
      <c r="P11" s="59"/>
      <c r="Q11" s="60"/>
      <c r="R11" s="186">
        <f>SUM(P11:Q11)</f>
        <v>0</v>
      </c>
      <c r="S11" s="59"/>
      <c r="T11" s="60"/>
      <c r="U11" s="186">
        <f>SUM(S11:T11)</f>
        <v>0</v>
      </c>
    </row>
    <row r="12" spans="2:21" ht="15.75" customHeight="1" x14ac:dyDescent="0.25">
      <c r="B12" s="139">
        <f>B11+1</f>
        <v>2</v>
      </c>
      <c r="C12" s="61"/>
      <c r="D12" s="59"/>
      <c r="E12" s="60"/>
      <c r="F12" s="186">
        <f t="shared" ref="F12:F30" si="0">SUM(D12:E12)</f>
        <v>0</v>
      </c>
      <c r="G12" s="59"/>
      <c r="H12" s="60"/>
      <c r="I12" s="186">
        <f t="shared" ref="I12:I30" si="1">SUM(G12:H12)</f>
        <v>0</v>
      </c>
      <c r="J12" s="59"/>
      <c r="K12" s="60"/>
      <c r="L12" s="186">
        <f t="shared" ref="L12:L30" si="2">SUM(J12:K12)</f>
        <v>0</v>
      </c>
      <c r="M12" s="59"/>
      <c r="N12" s="60"/>
      <c r="O12" s="186">
        <f t="shared" ref="O12:O30" si="3">SUM(M12:N12)</f>
        <v>0</v>
      </c>
      <c r="P12" s="59"/>
      <c r="Q12" s="60"/>
      <c r="R12" s="186">
        <f t="shared" ref="R12:R30" si="4">SUM(P12:Q12)</f>
        <v>0</v>
      </c>
      <c r="S12" s="59"/>
      <c r="T12" s="60"/>
      <c r="U12" s="186">
        <f t="shared" ref="U12:U30" si="5">SUM(S12:T12)</f>
        <v>0</v>
      </c>
    </row>
    <row r="13" spans="2:21" ht="15.75" customHeight="1" x14ac:dyDescent="0.25">
      <c r="B13" s="139">
        <f t="shared" ref="B13:B29" si="6">B12+1</f>
        <v>3</v>
      </c>
      <c r="C13" s="61"/>
      <c r="D13" s="59"/>
      <c r="E13" s="60"/>
      <c r="F13" s="186">
        <f t="shared" si="0"/>
        <v>0</v>
      </c>
      <c r="G13" s="59"/>
      <c r="H13" s="60"/>
      <c r="I13" s="186">
        <f t="shared" si="1"/>
        <v>0</v>
      </c>
      <c r="J13" s="59"/>
      <c r="K13" s="60"/>
      <c r="L13" s="186">
        <f t="shared" si="2"/>
        <v>0</v>
      </c>
      <c r="M13" s="59"/>
      <c r="N13" s="60"/>
      <c r="O13" s="186">
        <f t="shared" si="3"/>
        <v>0</v>
      </c>
      <c r="P13" s="59"/>
      <c r="Q13" s="60"/>
      <c r="R13" s="186">
        <f t="shared" si="4"/>
        <v>0</v>
      </c>
      <c r="S13" s="59"/>
      <c r="T13" s="60"/>
      <c r="U13" s="186">
        <f t="shared" si="5"/>
        <v>0</v>
      </c>
    </row>
    <row r="14" spans="2:21" ht="15.75" customHeight="1" x14ac:dyDescent="0.25">
      <c r="B14" s="139">
        <f t="shared" si="6"/>
        <v>4</v>
      </c>
      <c r="C14" s="61"/>
      <c r="D14" s="59"/>
      <c r="E14" s="60"/>
      <c r="F14" s="186">
        <f t="shared" si="0"/>
        <v>0</v>
      </c>
      <c r="G14" s="59"/>
      <c r="H14" s="60"/>
      <c r="I14" s="186">
        <f t="shared" si="1"/>
        <v>0</v>
      </c>
      <c r="J14" s="59"/>
      <c r="K14" s="60"/>
      <c r="L14" s="186">
        <f t="shared" si="2"/>
        <v>0</v>
      </c>
      <c r="M14" s="59"/>
      <c r="N14" s="60"/>
      <c r="O14" s="186">
        <f t="shared" si="3"/>
        <v>0</v>
      </c>
      <c r="P14" s="59"/>
      <c r="Q14" s="60"/>
      <c r="R14" s="186">
        <f t="shared" si="4"/>
        <v>0</v>
      </c>
      <c r="S14" s="59"/>
      <c r="T14" s="60"/>
      <c r="U14" s="186">
        <f t="shared" si="5"/>
        <v>0</v>
      </c>
    </row>
    <row r="15" spans="2:21" ht="15.75" customHeight="1" x14ac:dyDescent="0.25">
      <c r="B15" s="139">
        <f t="shared" si="6"/>
        <v>5</v>
      </c>
      <c r="C15" s="61"/>
      <c r="D15" s="59"/>
      <c r="E15" s="60"/>
      <c r="F15" s="186">
        <f t="shared" si="0"/>
        <v>0</v>
      </c>
      <c r="G15" s="59"/>
      <c r="H15" s="60"/>
      <c r="I15" s="186">
        <f t="shared" si="1"/>
        <v>0</v>
      </c>
      <c r="J15" s="59"/>
      <c r="K15" s="60"/>
      <c r="L15" s="186">
        <f t="shared" si="2"/>
        <v>0</v>
      </c>
      <c r="M15" s="59"/>
      <c r="N15" s="60"/>
      <c r="O15" s="186">
        <f t="shared" si="3"/>
        <v>0</v>
      </c>
      <c r="P15" s="59"/>
      <c r="Q15" s="60"/>
      <c r="R15" s="186">
        <f t="shared" si="4"/>
        <v>0</v>
      </c>
      <c r="S15" s="59"/>
      <c r="T15" s="60"/>
      <c r="U15" s="186">
        <f t="shared" si="5"/>
        <v>0</v>
      </c>
    </row>
    <row r="16" spans="2:21" ht="15.75" customHeight="1" x14ac:dyDescent="0.25">
      <c r="B16" s="139">
        <f t="shared" si="6"/>
        <v>6</v>
      </c>
      <c r="C16" s="61"/>
      <c r="D16" s="59"/>
      <c r="E16" s="60"/>
      <c r="F16" s="186">
        <f t="shared" si="0"/>
        <v>0</v>
      </c>
      <c r="G16" s="59"/>
      <c r="H16" s="60"/>
      <c r="I16" s="186">
        <f t="shared" si="1"/>
        <v>0</v>
      </c>
      <c r="J16" s="59"/>
      <c r="K16" s="60"/>
      <c r="L16" s="186">
        <f t="shared" si="2"/>
        <v>0</v>
      </c>
      <c r="M16" s="59"/>
      <c r="N16" s="60"/>
      <c r="O16" s="186">
        <f t="shared" si="3"/>
        <v>0</v>
      </c>
      <c r="P16" s="59"/>
      <c r="Q16" s="60"/>
      <c r="R16" s="186">
        <f t="shared" si="4"/>
        <v>0</v>
      </c>
      <c r="S16" s="59"/>
      <c r="T16" s="60"/>
      <c r="U16" s="186">
        <f t="shared" si="5"/>
        <v>0</v>
      </c>
    </row>
    <row r="17" spans="1:21" ht="15.75" customHeight="1" x14ac:dyDescent="0.25">
      <c r="B17" s="139">
        <f t="shared" si="6"/>
        <v>7</v>
      </c>
      <c r="C17" s="61"/>
      <c r="D17" s="59"/>
      <c r="E17" s="60"/>
      <c r="F17" s="186">
        <f t="shared" si="0"/>
        <v>0</v>
      </c>
      <c r="G17" s="59"/>
      <c r="H17" s="60"/>
      <c r="I17" s="186">
        <f t="shared" si="1"/>
        <v>0</v>
      </c>
      <c r="J17" s="59"/>
      <c r="K17" s="60"/>
      <c r="L17" s="186">
        <f t="shared" si="2"/>
        <v>0</v>
      </c>
      <c r="M17" s="59"/>
      <c r="N17" s="60"/>
      <c r="O17" s="186">
        <f t="shared" si="3"/>
        <v>0</v>
      </c>
      <c r="P17" s="59"/>
      <c r="Q17" s="60"/>
      <c r="R17" s="186">
        <f t="shared" si="4"/>
        <v>0</v>
      </c>
      <c r="S17" s="59"/>
      <c r="T17" s="60"/>
      <c r="U17" s="186">
        <f t="shared" si="5"/>
        <v>0</v>
      </c>
    </row>
    <row r="18" spans="1:21" ht="15.75" customHeight="1" x14ac:dyDescent="0.25">
      <c r="B18" s="139">
        <f t="shared" si="6"/>
        <v>8</v>
      </c>
      <c r="C18" s="61"/>
      <c r="D18" s="59"/>
      <c r="E18" s="60"/>
      <c r="F18" s="186">
        <f t="shared" si="0"/>
        <v>0</v>
      </c>
      <c r="G18" s="59"/>
      <c r="H18" s="60"/>
      <c r="I18" s="186">
        <f t="shared" si="1"/>
        <v>0</v>
      </c>
      <c r="J18" s="59"/>
      <c r="K18" s="60"/>
      <c r="L18" s="186">
        <f t="shared" si="2"/>
        <v>0</v>
      </c>
      <c r="M18" s="59"/>
      <c r="N18" s="60"/>
      <c r="O18" s="186">
        <f t="shared" si="3"/>
        <v>0</v>
      </c>
      <c r="P18" s="59"/>
      <c r="Q18" s="60"/>
      <c r="R18" s="186">
        <f t="shared" si="4"/>
        <v>0</v>
      </c>
      <c r="S18" s="59"/>
      <c r="T18" s="60"/>
      <c r="U18" s="186">
        <f t="shared" si="5"/>
        <v>0</v>
      </c>
    </row>
    <row r="19" spans="1:21" ht="15.75" customHeight="1" x14ac:dyDescent="0.25">
      <c r="B19" s="139">
        <f t="shared" si="6"/>
        <v>9</v>
      </c>
      <c r="C19" s="61"/>
      <c r="D19" s="59"/>
      <c r="E19" s="60"/>
      <c r="F19" s="186">
        <f t="shared" si="0"/>
        <v>0</v>
      </c>
      <c r="G19" s="59"/>
      <c r="H19" s="60"/>
      <c r="I19" s="186">
        <f t="shared" si="1"/>
        <v>0</v>
      </c>
      <c r="J19" s="59"/>
      <c r="K19" s="60"/>
      <c r="L19" s="186">
        <f t="shared" si="2"/>
        <v>0</v>
      </c>
      <c r="M19" s="59"/>
      <c r="N19" s="60"/>
      <c r="O19" s="186">
        <f t="shared" si="3"/>
        <v>0</v>
      </c>
      <c r="P19" s="59"/>
      <c r="Q19" s="60"/>
      <c r="R19" s="186">
        <f t="shared" si="4"/>
        <v>0</v>
      </c>
      <c r="S19" s="59"/>
      <c r="T19" s="60"/>
      <c r="U19" s="186">
        <f t="shared" si="5"/>
        <v>0</v>
      </c>
    </row>
    <row r="20" spans="1:21" ht="15.75" customHeight="1" x14ac:dyDescent="0.25">
      <c r="B20" s="139">
        <f t="shared" si="6"/>
        <v>10</v>
      </c>
      <c r="C20" s="61"/>
      <c r="D20" s="59"/>
      <c r="E20" s="60"/>
      <c r="F20" s="186">
        <f t="shared" si="0"/>
        <v>0</v>
      </c>
      <c r="G20" s="59"/>
      <c r="H20" s="60"/>
      <c r="I20" s="186">
        <f t="shared" si="1"/>
        <v>0</v>
      </c>
      <c r="J20" s="59"/>
      <c r="K20" s="60"/>
      <c r="L20" s="186">
        <f t="shared" si="2"/>
        <v>0</v>
      </c>
      <c r="M20" s="59"/>
      <c r="N20" s="60"/>
      <c r="O20" s="186">
        <f t="shared" si="3"/>
        <v>0</v>
      </c>
      <c r="P20" s="59"/>
      <c r="Q20" s="60"/>
      <c r="R20" s="186">
        <f t="shared" si="4"/>
        <v>0</v>
      </c>
      <c r="S20" s="59"/>
      <c r="T20" s="60"/>
      <c r="U20" s="186">
        <f t="shared" si="5"/>
        <v>0</v>
      </c>
    </row>
    <row r="21" spans="1:21" ht="15.75" customHeight="1" x14ac:dyDescent="0.25">
      <c r="B21" s="139">
        <f t="shared" si="6"/>
        <v>11</v>
      </c>
      <c r="C21" s="61"/>
      <c r="D21" s="59"/>
      <c r="E21" s="60"/>
      <c r="F21" s="186">
        <f t="shared" si="0"/>
        <v>0</v>
      </c>
      <c r="G21" s="59"/>
      <c r="H21" s="60"/>
      <c r="I21" s="186">
        <f t="shared" si="1"/>
        <v>0</v>
      </c>
      <c r="J21" s="59"/>
      <c r="K21" s="60"/>
      <c r="L21" s="186">
        <f t="shared" si="2"/>
        <v>0</v>
      </c>
      <c r="M21" s="59"/>
      <c r="N21" s="60"/>
      <c r="O21" s="186">
        <f t="shared" si="3"/>
        <v>0</v>
      </c>
      <c r="P21" s="59"/>
      <c r="Q21" s="60"/>
      <c r="R21" s="186">
        <f t="shared" si="4"/>
        <v>0</v>
      </c>
      <c r="S21" s="59"/>
      <c r="T21" s="60"/>
      <c r="U21" s="186">
        <f t="shared" si="5"/>
        <v>0</v>
      </c>
    </row>
    <row r="22" spans="1:21" ht="15.75" customHeight="1" x14ac:dyDescent="0.25">
      <c r="B22" s="139">
        <f t="shared" si="6"/>
        <v>12</v>
      </c>
      <c r="C22" s="61"/>
      <c r="D22" s="59"/>
      <c r="E22" s="60"/>
      <c r="F22" s="186">
        <f t="shared" si="0"/>
        <v>0</v>
      </c>
      <c r="G22" s="59"/>
      <c r="H22" s="60"/>
      <c r="I22" s="186">
        <f t="shared" si="1"/>
        <v>0</v>
      </c>
      <c r="J22" s="59"/>
      <c r="K22" s="60"/>
      <c r="L22" s="186">
        <f t="shared" si="2"/>
        <v>0</v>
      </c>
      <c r="M22" s="59"/>
      <c r="N22" s="60"/>
      <c r="O22" s="186">
        <f t="shared" si="3"/>
        <v>0</v>
      </c>
      <c r="P22" s="59"/>
      <c r="Q22" s="60"/>
      <c r="R22" s="186">
        <f t="shared" si="4"/>
        <v>0</v>
      </c>
      <c r="S22" s="59"/>
      <c r="T22" s="60"/>
      <c r="U22" s="186">
        <f t="shared" si="5"/>
        <v>0</v>
      </c>
    </row>
    <row r="23" spans="1:21" ht="15.75" customHeight="1" x14ac:dyDescent="0.25">
      <c r="B23" s="139">
        <f t="shared" si="6"/>
        <v>13</v>
      </c>
      <c r="C23" s="61"/>
      <c r="D23" s="59"/>
      <c r="E23" s="60"/>
      <c r="F23" s="186">
        <f t="shared" si="0"/>
        <v>0</v>
      </c>
      <c r="G23" s="59"/>
      <c r="H23" s="60"/>
      <c r="I23" s="186">
        <f t="shared" si="1"/>
        <v>0</v>
      </c>
      <c r="J23" s="59"/>
      <c r="K23" s="60"/>
      <c r="L23" s="186">
        <f t="shared" si="2"/>
        <v>0</v>
      </c>
      <c r="M23" s="59"/>
      <c r="N23" s="60"/>
      <c r="O23" s="186">
        <f t="shared" si="3"/>
        <v>0</v>
      </c>
      <c r="P23" s="59"/>
      <c r="Q23" s="60"/>
      <c r="R23" s="186">
        <f t="shared" si="4"/>
        <v>0</v>
      </c>
      <c r="S23" s="59"/>
      <c r="T23" s="60"/>
      <c r="U23" s="186">
        <f t="shared" si="5"/>
        <v>0</v>
      </c>
    </row>
    <row r="24" spans="1:21" ht="15.75" customHeight="1" x14ac:dyDescent="0.25">
      <c r="B24" s="139">
        <f t="shared" si="6"/>
        <v>14</v>
      </c>
      <c r="C24" s="61"/>
      <c r="D24" s="59"/>
      <c r="E24" s="60"/>
      <c r="F24" s="186">
        <f t="shared" si="0"/>
        <v>0</v>
      </c>
      <c r="G24" s="59"/>
      <c r="H24" s="60"/>
      <c r="I24" s="186">
        <f t="shared" si="1"/>
        <v>0</v>
      </c>
      <c r="J24" s="59"/>
      <c r="K24" s="60"/>
      <c r="L24" s="186">
        <f t="shared" si="2"/>
        <v>0</v>
      </c>
      <c r="M24" s="59"/>
      <c r="N24" s="60"/>
      <c r="O24" s="186">
        <f t="shared" si="3"/>
        <v>0</v>
      </c>
      <c r="P24" s="59"/>
      <c r="Q24" s="60"/>
      <c r="R24" s="186">
        <f t="shared" si="4"/>
        <v>0</v>
      </c>
      <c r="S24" s="59"/>
      <c r="T24" s="60"/>
      <c r="U24" s="186">
        <f t="shared" si="5"/>
        <v>0</v>
      </c>
    </row>
    <row r="25" spans="1:21" ht="15.75" customHeight="1" x14ac:dyDescent="0.25">
      <c r="B25" s="139">
        <f t="shared" si="6"/>
        <v>15</v>
      </c>
      <c r="C25" s="61"/>
      <c r="D25" s="59"/>
      <c r="E25" s="60"/>
      <c r="F25" s="186">
        <f t="shared" si="0"/>
        <v>0</v>
      </c>
      <c r="G25" s="59"/>
      <c r="H25" s="60"/>
      <c r="I25" s="186">
        <f t="shared" si="1"/>
        <v>0</v>
      </c>
      <c r="J25" s="59"/>
      <c r="K25" s="60"/>
      <c r="L25" s="186">
        <f t="shared" si="2"/>
        <v>0</v>
      </c>
      <c r="M25" s="59"/>
      <c r="N25" s="60"/>
      <c r="O25" s="186">
        <f t="shared" si="3"/>
        <v>0</v>
      </c>
      <c r="P25" s="59"/>
      <c r="Q25" s="60"/>
      <c r="R25" s="186">
        <f t="shared" si="4"/>
        <v>0</v>
      </c>
      <c r="S25" s="59"/>
      <c r="T25" s="60"/>
      <c r="U25" s="186">
        <f t="shared" si="5"/>
        <v>0</v>
      </c>
    </row>
    <row r="26" spans="1:21" ht="15.75" customHeight="1" x14ac:dyDescent="0.25">
      <c r="B26" s="139">
        <f t="shared" si="6"/>
        <v>16</v>
      </c>
      <c r="C26" s="61"/>
      <c r="D26" s="59"/>
      <c r="E26" s="60"/>
      <c r="F26" s="186">
        <f t="shared" si="0"/>
        <v>0</v>
      </c>
      <c r="G26" s="59"/>
      <c r="H26" s="60"/>
      <c r="I26" s="186">
        <f t="shared" si="1"/>
        <v>0</v>
      </c>
      <c r="J26" s="59"/>
      <c r="K26" s="60"/>
      <c r="L26" s="186">
        <f t="shared" si="2"/>
        <v>0</v>
      </c>
      <c r="M26" s="59"/>
      <c r="N26" s="60"/>
      <c r="O26" s="186">
        <f t="shared" si="3"/>
        <v>0</v>
      </c>
      <c r="P26" s="59"/>
      <c r="Q26" s="60"/>
      <c r="R26" s="186">
        <f t="shared" si="4"/>
        <v>0</v>
      </c>
      <c r="S26" s="59"/>
      <c r="T26" s="60"/>
      <c r="U26" s="186">
        <f t="shared" si="5"/>
        <v>0</v>
      </c>
    </row>
    <row r="27" spans="1:21" ht="15.75" customHeight="1" x14ac:dyDescent="0.25">
      <c r="B27" s="139">
        <f t="shared" si="6"/>
        <v>17</v>
      </c>
      <c r="C27" s="61"/>
      <c r="D27" s="59"/>
      <c r="E27" s="60"/>
      <c r="F27" s="186">
        <f t="shared" si="0"/>
        <v>0</v>
      </c>
      <c r="G27" s="59"/>
      <c r="H27" s="60"/>
      <c r="I27" s="186">
        <f t="shared" si="1"/>
        <v>0</v>
      </c>
      <c r="J27" s="59"/>
      <c r="K27" s="60"/>
      <c r="L27" s="186">
        <f t="shared" si="2"/>
        <v>0</v>
      </c>
      <c r="M27" s="59"/>
      <c r="N27" s="60"/>
      <c r="O27" s="186">
        <f t="shared" si="3"/>
        <v>0</v>
      </c>
      <c r="P27" s="59"/>
      <c r="Q27" s="60"/>
      <c r="R27" s="186">
        <f t="shared" si="4"/>
        <v>0</v>
      </c>
      <c r="S27" s="59"/>
      <c r="T27" s="60"/>
      <c r="U27" s="186">
        <f t="shared" si="5"/>
        <v>0</v>
      </c>
    </row>
    <row r="28" spans="1:21" ht="15.75" customHeight="1" x14ac:dyDescent="0.25">
      <c r="B28" s="145">
        <f t="shared" si="6"/>
        <v>18</v>
      </c>
      <c r="C28" s="61"/>
      <c r="D28" s="59"/>
      <c r="E28" s="60"/>
      <c r="F28" s="186">
        <f t="shared" si="0"/>
        <v>0</v>
      </c>
      <c r="G28" s="59"/>
      <c r="H28" s="60"/>
      <c r="I28" s="186">
        <f t="shared" si="1"/>
        <v>0</v>
      </c>
      <c r="J28" s="59"/>
      <c r="K28" s="60"/>
      <c r="L28" s="186">
        <f t="shared" si="2"/>
        <v>0</v>
      </c>
      <c r="M28" s="59"/>
      <c r="N28" s="60"/>
      <c r="O28" s="186">
        <f t="shared" si="3"/>
        <v>0</v>
      </c>
      <c r="P28" s="59"/>
      <c r="Q28" s="60"/>
      <c r="R28" s="186">
        <f t="shared" si="4"/>
        <v>0</v>
      </c>
      <c r="S28" s="59"/>
      <c r="T28" s="60"/>
      <c r="U28" s="186">
        <f t="shared" si="5"/>
        <v>0</v>
      </c>
    </row>
    <row r="29" spans="1:21" ht="15" customHeight="1" x14ac:dyDescent="0.25">
      <c r="B29" s="145">
        <f t="shared" si="6"/>
        <v>19</v>
      </c>
      <c r="C29" s="61"/>
      <c r="D29" s="59"/>
      <c r="E29" s="60"/>
      <c r="F29" s="186">
        <f t="shared" si="0"/>
        <v>0</v>
      </c>
      <c r="G29" s="59"/>
      <c r="H29" s="60"/>
      <c r="I29" s="186">
        <f t="shared" si="1"/>
        <v>0</v>
      </c>
      <c r="J29" s="59"/>
      <c r="K29" s="60"/>
      <c r="L29" s="186">
        <f t="shared" si="2"/>
        <v>0</v>
      </c>
      <c r="M29" s="59"/>
      <c r="N29" s="60"/>
      <c r="O29" s="186">
        <f t="shared" si="3"/>
        <v>0</v>
      </c>
      <c r="P29" s="59"/>
      <c r="Q29" s="60"/>
      <c r="R29" s="186">
        <f t="shared" si="4"/>
        <v>0</v>
      </c>
      <c r="S29" s="59"/>
      <c r="T29" s="60"/>
      <c r="U29" s="186">
        <f t="shared" si="5"/>
        <v>0</v>
      </c>
    </row>
    <row r="30" spans="1:21" ht="14.5" thickBot="1" x14ac:dyDescent="0.3">
      <c r="B30" s="146">
        <f>B29+1</f>
        <v>20</v>
      </c>
      <c r="C30" s="61"/>
      <c r="D30" s="59"/>
      <c r="E30" s="60"/>
      <c r="F30" s="186">
        <f t="shared" si="0"/>
        <v>0</v>
      </c>
      <c r="G30" s="59"/>
      <c r="H30" s="60"/>
      <c r="I30" s="186">
        <f t="shared" si="1"/>
        <v>0</v>
      </c>
      <c r="J30" s="59"/>
      <c r="K30" s="60"/>
      <c r="L30" s="186">
        <f t="shared" si="2"/>
        <v>0</v>
      </c>
      <c r="M30" s="59"/>
      <c r="N30" s="60"/>
      <c r="O30" s="186">
        <f t="shared" si="3"/>
        <v>0</v>
      </c>
      <c r="P30" s="59"/>
      <c r="Q30" s="60"/>
      <c r="R30" s="186">
        <f t="shared" si="4"/>
        <v>0</v>
      </c>
      <c r="S30" s="59"/>
      <c r="T30" s="60"/>
      <c r="U30" s="186">
        <f t="shared" si="5"/>
        <v>0</v>
      </c>
    </row>
    <row r="31" spans="1:21" ht="31.5" customHeight="1" thickBot="1" x14ac:dyDescent="0.3">
      <c r="C31" s="178" t="s">
        <v>3</v>
      </c>
      <c r="D31" s="54">
        <f>SUM(D11:D30)</f>
        <v>0</v>
      </c>
      <c r="E31" s="55">
        <f>SUM(E11:E30)</f>
        <v>0</v>
      </c>
      <c r="F31" s="56">
        <f>D31+E31</f>
        <v>0</v>
      </c>
      <c r="G31" s="54">
        <f>SUM(G11:G30)</f>
        <v>0</v>
      </c>
      <c r="H31" s="55">
        <f>SUM(H11:H30)</f>
        <v>0</v>
      </c>
      <c r="I31" s="56">
        <f>G31+H31</f>
        <v>0</v>
      </c>
      <c r="J31" s="54">
        <f>SUM(J11:J30)</f>
        <v>0</v>
      </c>
      <c r="K31" s="55">
        <f>SUM(K11:K30)</f>
        <v>0</v>
      </c>
      <c r="L31" s="56">
        <f>J31+K31</f>
        <v>0</v>
      </c>
      <c r="M31" s="54">
        <f>SUM(M11:M30)</f>
        <v>0</v>
      </c>
      <c r="N31" s="55">
        <f>SUM(N11:N30)</f>
        <v>0</v>
      </c>
      <c r="O31" s="56">
        <f>M31+N31</f>
        <v>0</v>
      </c>
      <c r="P31" s="54">
        <f>SUM(P11:P30)</f>
        <v>0</v>
      </c>
      <c r="Q31" s="55">
        <f>SUM(Q11:Q30)</f>
        <v>0</v>
      </c>
      <c r="R31" s="56">
        <f>P31+Q31</f>
        <v>0</v>
      </c>
      <c r="S31" s="54">
        <f>SUM(S11:S30)</f>
        <v>0</v>
      </c>
      <c r="T31" s="55">
        <f>SUM(T11:T30)</f>
        <v>0</v>
      </c>
      <c r="U31" s="56">
        <f>S31+T31</f>
        <v>0</v>
      </c>
    </row>
    <row r="32" spans="1:21" ht="15.75" customHeight="1" x14ac:dyDescent="0.25">
      <c r="A32" s="22"/>
      <c r="B32" s="22"/>
      <c r="C32" s="22"/>
      <c r="D32" s="22"/>
      <c r="E32" s="22"/>
      <c r="F32" s="22"/>
      <c r="G32" s="22"/>
      <c r="H32" s="22"/>
      <c r="I32" s="22"/>
      <c r="J32" s="22"/>
      <c r="K32" s="22"/>
      <c r="L32" s="22"/>
      <c r="M32" s="22"/>
      <c r="N32" s="22"/>
    </row>
  </sheetData>
  <sheetProtection insertRows="0"/>
  <protectedRanges>
    <protectedRange password="CC9E" sqref="A1:IV1 A8:IV9 A6 C6:IV6 A7:IV7 A2:IV5 A11:IV65534 A10:D10 F10:G10 I10:J10 L10:M10 O10:P10 R10:S10 U10:IV10" name="Rango1"/>
    <protectedRange password="CC9E" sqref="B6" name="Rango1_1"/>
    <protectedRange password="CC9E" sqref="E10" name="Rango1_1_4"/>
    <protectedRange password="CC9E" sqref="H10" name="Rango1_1_4_1"/>
    <protectedRange password="CC9E" sqref="K10" name="Rango1_1_4_2"/>
    <protectedRange password="CC9E" sqref="N10" name="Rango1_1_4_3"/>
    <protectedRange password="CC9E" sqref="Q10" name="Rango1_1_4_4"/>
    <protectedRange password="CC9E" sqref="T10" name="Rango1_1_4_5"/>
  </protectedRanges>
  <mergeCells count="10">
    <mergeCell ref="S9:U9"/>
    <mergeCell ref="J9:L9"/>
    <mergeCell ref="C9:C10"/>
    <mergeCell ref="D1:I1"/>
    <mergeCell ref="B6:C6"/>
    <mergeCell ref="B9:B10"/>
    <mergeCell ref="D9:F9"/>
    <mergeCell ref="G9:I9"/>
    <mergeCell ref="M9:O9"/>
    <mergeCell ref="P9:R9"/>
  </mergeCells>
  <phoneticPr fontId="2" type="noConversion"/>
  <pageMargins left="0.39370078740157483" right="0.39370078740157483" top="0.78740157480314965" bottom="0.78740157480314965" header="0" footer="0.39370078740157483"/>
  <pageSetup paperSize="9" scale="37" fitToHeight="0" orientation="landscape" r:id="rId1"/>
  <headerFooter alignWithMargins="0">
    <oddFooter xml:space="preserve">&amp;CP. &amp;P / &amp;N
</oddFooter>
  </headerFooter>
  <ignoredErrors>
    <ignoredError sqref="C8 A11:B30 C31 D10 A31:B31 J10 C9:C10 A9:B10 D31:E31 D9:F9 H9:I9 F10:G10 I10 L10" unlockedFormula="1"/>
  </ignoredError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32"/>
  <sheetViews>
    <sheetView showGridLines="0" zoomScale="85" workbookViewId="0">
      <pane xSplit="3" ySplit="10" topLeftCell="D11" activePane="bottomRight" state="frozen"/>
      <selection activeCell="C5" sqref="C5:D5"/>
      <selection pane="topRight" activeCell="C5" sqref="C5:D5"/>
      <selection pane="bottomLeft" activeCell="C5" sqref="C5:D5"/>
      <selection pane="bottomRight" activeCell="C56" sqref="C56"/>
    </sheetView>
  </sheetViews>
  <sheetFormatPr baseColWidth="10" defaultColWidth="11.453125" defaultRowHeight="14" x14ac:dyDescent="0.25"/>
  <cols>
    <col min="1" max="1" width="1.7265625" style="16" customWidth="1"/>
    <col min="2" max="2" width="14.7265625" style="16" customWidth="1"/>
    <col min="3" max="3" width="90.7265625" style="16" customWidth="1"/>
    <col min="4" max="12" width="15.26953125" style="16" customWidth="1"/>
    <col min="13" max="13" width="13.7265625" style="16" customWidth="1"/>
    <col min="14" max="14" width="13.81640625" style="16" customWidth="1"/>
    <col min="15" max="15" width="13.453125" style="16" customWidth="1"/>
    <col min="16" max="16" width="14.26953125" style="16" customWidth="1"/>
    <col min="17" max="17" width="14.81640625" style="16" customWidth="1"/>
    <col min="18" max="18" width="13.54296875" style="16" customWidth="1"/>
    <col min="19" max="19" width="13.26953125" style="16" customWidth="1"/>
    <col min="20" max="20" width="14.1796875" style="16" customWidth="1"/>
    <col min="21" max="21" width="13.453125" style="16" customWidth="1"/>
    <col min="22" max="16384" width="11.453125" style="16"/>
  </cols>
  <sheetData>
    <row r="1" spans="2:21" ht="64.5" customHeight="1" x14ac:dyDescent="0.25">
      <c r="D1" s="252"/>
      <c r="E1" s="252"/>
      <c r="F1" s="252"/>
      <c r="G1" s="252"/>
      <c r="H1" s="252"/>
      <c r="I1" s="252"/>
      <c r="J1" s="12"/>
      <c r="K1" s="12"/>
      <c r="L1" s="12"/>
    </row>
    <row r="2" spans="2:21" ht="14.5" x14ac:dyDescent="0.25">
      <c r="B2" s="118"/>
    </row>
    <row r="4" spans="2:21" x14ac:dyDescent="0.25">
      <c r="B4" s="93" t="s">
        <v>12</v>
      </c>
    </row>
    <row r="6" spans="2:21" ht="38.5" customHeight="1" x14ac:dyDescent="0.25">
      <c r="B6" s="253" t="s">
        <v>146</v>
      </c>
      <c r="C6" s="253"/>
    </row>
    <row r="7" spans="2:21" hidden="1" x14ac:dyDescent="0.25">
      <c r="B7" s="256"/>
      <c r="C7" s="256"/>
    </row>
    <row r="8" spans="2:21" ht="6" customHeight="1" thickBot="1" x14ac:dyDescent="0.3"/>
    <row r="9" spans="2:21" ht="15.75" customHeight="1" thickBot="1" x14ac:dyDescent="0.3">
      <c r="B9" s="237" t="s">
        <v>121</v>
      </c>
      <c r="C9" s="248" t="s">
        <v>85</v>
      </c>
      <c r="D9" s="245">
        <f>Personal!F13</f>
        <v>2023</v>
      </c>
      <c r="E9" s="246"/>
      <c r="F9" s="247"/>
      <c r="G9" s="245">
        <f>D9+1</f>
        <v>2024</v>
      </c>
      <c r="H9" s="246"/>
      <c r="I9" s="247"/>
      <c r="J9" s="245">
        <f>G9+1</f>
        <v>2025</v>
      </c>
      <c r="K9" s="246"/>
      <c r="L9" s="247"/>
      <c r="M9" s="245">
        <f>J9+1</f>
        <v>2026</v>
      </c>
      <c r="N9" s="246"/>
      <c r="O9" s="247"/>
      <c r="P9" s="245">
        <f>M9+1</f>
        <v>2027</v>
      </c>
      <c r="Q9" s="246"/>
      <c r="R9" s="247"/>
      <c r="S9" s="245">
        <f>P9+1</f>
        <v>2028</v>
      </c>
      <c r="T9" s="246"/>
      <c r="U9" s="247"/>
    </row>
    <row r="10" spans="2:21" s="57" customFormat="1" ht="67.150000000000006" customHeight="1" thickBot="1" x14ac:dyDescent="0.3">
      <c r="B10" s="238" t="s">
        <v>1</v>
      </c>
      <c r="C10" s="249"/>
      <c r="D10" s="147" t="s">
        <v>9</v>
      </c>
      <c r="E10" s="148" t="s">
        <v>167</v>
      </c>
      <c r="F10" s="149" t="s">
        <v>10</v>
      </c>
      <c r="G10" s="147" t="s">
        <v>9</v>
      </c>
      <c r="H10" s="148" t="s">
        <v>167</v>
      </c>
      <c r="I10" s="149" t="s">
        <v>10</v>
      </c>
      <c r="J10" s="147" t="s">
        <v>9</v>
      </c>
      <c r="K10" s="148" t="s">
        <v>167</v>
      </c>
      <c r="L10" s="149" t="s">
        <v>10</v>
      </c>
      <c r="M10" s="147" t="s">
        <v>9</v>
      </c>
      <c r="N10" s="148" t="s">
        <v>167</v>
      </c>
      <c r="O10" s="149" t="s">
        <v>10</v>
      </c>
      <c r="P10" s="147" t="s">
        <v>9</v>
      </c>
      <c r="Q10" s="148" t="s">
        <v>167</v>
      </c>
      <c r="R10" s="149" t="s">
        <v>10</v>
      </c>
      <c r="S10" s="147" t="s">
        <v>9</v>
      </c>
      <c r="T10" s="148" t="s">
        <v>167</v>
      </c>
      <c r="U10" s="149" t="s">
        <v>10</v>
      </c>
    </row>
    <row r="11" spans="2:21" ht="15.75" customHeight="1" x14ac:dyDescent="0.25">
      <c r="B11" s="138">
        <v>1</v>
      </c>
      <c r="C11" s="58"/>
      <c r="D11" s="59"/>
      <c r="E11" s="60"/>
      <c r="F11" s="186">
        <f>SUM(D11:E11)</f>
        <v>0</v>
      </c>
      <c r="G11" s="59"/>
      <c r="H11" s="60"/>
      <c r="I11" s="186">
        <f>SUM(G11:H11)</f>
        <v>0</v>
      </c>
      <c r="J11" s="59"/>
      <c r="K11" s="60"/>
      <c r="L11" s="186">
        <f>SUM(J11:K11)</f>
        <v>0</v>
      </c>
      <c r="M11" s="59"/>
      <c r="N11" s="60"/>
      <c r="O11" s="186">
        <f>SUM(M11:N11)</f>
        <v>0</v>
      </c>
      <c r="P11" s="59"/>
      <c r="Q11" s="60"/>
      <c r="R11" s="186">
        <f>SUM(P11:Q11)</f>
        <v>0</v>
      </c>
      <c r="S11" s="59"/>
      <c r="T11" s="60"/>
      <c r="U11" s="186">
        <f>SUM(S11:T11)</f>
        <v>0</v>
      </c>
    </row>
    <row r="12" spans="2:21" ht="15.75" customHeight="1" x14ac:dyDescent="0.25">
      <c r="B12" s="139">
        <f>B11+1</f>
        <v>2</v>
      </c>
      <c r="C12" s="61"/>
      <c r="D12" s="59"/>
      <c r="E12" s="60"/>
      <c r="F12" s="186">
        <f t="shared" ref="F12:F30" si="0">SUM(D12:E12)</f>
        <v>0</v>
      </c>
      <c r="G12" s="59"/>
      <c r="H12" s="60"/>
      <c r="I12" s="186">
        <f t="shared" ref="I12:I30" si="1">SUM(G12:H12)</f>
        <v>0</v>
      </c>
      <c r="J12" s="59"/>
      <c r="K12" s="60"/>
      <c r="L12" s="186">
        <f t="shared" ref="L12:L30" si="2">SUM(J12:K12)</f>
        <v>0</v>
      </c>
      <c r="M12" s="59"/>
      <c r="N12" s="60"/>
      <c r="O12" s="186">
        <f t="shared" ref="O12:O30" si="3">SUM(M12:N12)</f>
        <v>0</v>
      </c>
      <c r="P12" s="59"/>
      <c r="Q12" s="60"/>
      <c r="R12" s="186">
        <f t="shared" ref="R12:R30" si="4">SUM(P12:Q12)</f>
        <v>0</v>
      </c>
      <c r="S12" s="59"/>
      <c r="T12" s="60"/>
      <c r="U12" s="186">
        <f t="shared" ref="U12:U30" si="5">SUM(S12:T12)</f>
        <v>0</v>
      </c>
    </row>
    <row r="13" spans="2:21" ht="15.75" customHeight="1" x14ac:dyDescent="0.25">
      <c r="B13" s="139">
        <f t="shared" ref="B13:B29" si="6">B12+1</f>
        <v>3</v>
      </c>
      <c r="C13" s="61"/>
      <c r="D13" s="59"/>
      <c r="E13" s="60"/>
      <c r="F13" s="186">
        <f t="shared" si="0"/>
        <v>0</v>
      </c>
      <c r="G13" s="59"/>
      <c r="H13" s="60"/>
      <c r="I13" s="186">
        <f t="shared" si="1"/>
        <v>0</v>
      </c>
      <c r="J13" s="59"/>
      <c r="K13" s="60"/>
      <c r="L13" s="186">
        <f t="shared" si="2"/>
        <v>0</v>
      </c>
      <c r="M13" s="59"/>
      <c r="N13" s="60"/>
      <c r="O13" s="186">
        <f t="shared" si="3"/>
        <v>0</v>
      </c>
      <c r="P13" s="59"/>
      <c r="Q13" s="60"/>
      <c r="R13" s="186">
        <f t="shared" si="4"/>
        <v>0</v>
      </c>
      <c r="S13" s="59"/>
      <c r="T13" s="60"/>
      <c r="U13" s="186">
        <f t="shared" si="5"/>
        <v>0</v>
      </c>
    </row>
    <row r="14" spans="2:21" ht="15.75" customHeight="1" x14ac:dyDescent="0.25">
      <c r="B14" s="139">
        <f t="shared" si="6"/>
        <v>4</v>
      </c>
      <c r="C14" s="61" t="s">
        <v>299</v>
      </c>
      <c r="D14" s="59"/>
      <c r="E14" s="60"/>
      <c r="F14" s="186">
        <f t="shared" si="0"/>
        <v>0</v>
      </c>
      <c r="G14" s="59"/>
      <c r="H14" s="60">
        <v>61683.39</v>
      </c>
      <c r="I14" s="186">
        <f t="shared" si="1"/>
        <v>61683.39</v>
      </c>
      <c r="J14" s="59"/>
      <c r="K14" s="60"/>
      <c r="L14" s="186">
        <f t="shared" si="2"/>
        <v>0</v>
      </c>
      <c r="M14" s="59"/>
      <c r="N14" s="60"/>
      <c r="O14" s="186">
        <f t="shared" si="3"/>
        <v>0</v>
      </c>
      <c r="P14" s="59"/>
      <c r="Q14" s="60"/>
      <c r="R14" s="186">
        <f t="shared" si="4"/>
        <v>0</v>
      </c>
      <c r="S14" s="59"/>
      <c r="T14" s="60"/>
      <c r="U14" s="186">
        <f t="shared" si="5"/>
        <v>0</v>
      </c>
    </row>
    <row r="15" spans="2:21" ht="15.75" customHeight="1" thickBot="1" x14ac:dyDescent="0.3">
      <c r="B15" s="139">
        <f t="shared" si="6"/>
        <v>5</v>
      </c>
      <c r="C15" s="61"/>
      <c r="D15" s="59"/>
      <c r="E15" s="60"/>
      <c r="F15" s="186">
        <f t="shared" si="0"/>
        <v>0</v>
      </c>
      <c r="G15" s="59"/>
      <c r="H15" s="60"/>
      <c r="I15" s="186">
        <f t="shared" si="1"/>
        <v>0</v>
      </c>
      <c r="J15" s="59"/>
      <c r="K15" s="60"/>
      <c r="L15" s="186">
        <f t="shared" si="2"/>
        <v>0</v>
      </c>
      <c r="M15" s="59"/>
      <c r="N15" s="60"/>
      <c r="O15" s="186">
        <f t="shared" si="3"/>
        <v>0</v>
      </c>
      <c r="P15" s="59"/>
      <c r="Q15" s="60"/>
      <c r="R15" s="186">
        <f t="shared" si="4"/>
        <v>0</v>
      </c>
      <c r="S15" s="59"/>
      <c r="T15" s="60"/>
      <c r="U15" s="186">
        <f t="shared" si="5"/>
        <v>0</v>
      </c>
    </row>
    <row r="16" spans="2:21" ht="15.75" hidden="1" customHeight="1" x14ac:dyDescent="0.25">
      <c r="B16" s="139">
        <f t="shared" si="6"/>
        <v>6</v>
      </c>
      <c r="C16" s="61"/>
      <c r="D16" s="59"/>
      <c r="E16" s="60"/>
      <c r="F16" s="186">
        <f t="shared" si="0"/>
        <v>0</v>
      </c>
      <c r="G16" s="59"/>
      <c r="H16" s="60"/>
      <c r="I16" s="186">
        <f t="shared" si="1"/>
        <v>0</v>
      </c>
      <c r="J16" s="59"/>
      <c r="K16" s="60"/>
      <c r="L16" s="186">
        <f t="shared" si="2"/>
        <v>0</v>
      </c>
      <c r="M16" s="59"/>
      <c r="N16" s="60"/>
      <c r="O16" s="186">
        <f t="shared" si="3"/>
        <v>0</v>
      </c>
      <c r="P16" s="59"/>
      <c r="Q16" s="60"/>
      <c r="R16" s="186">
        <f t="shared" si="4"/>
        <v>0</v>
      </c>
      <c r="S16" s="59"/>
      <c r="T16" s="60"/>
      <c r="U16" s="186">
        <f t="shared" si="5"/>
        <v>0</v>
      </c>
    </row>
    <row r="17" spans="1:21" ht="15.75" hidden="1" customHeight="1" x14ac:dyDescent="0.25">
      <c r="B17" s="139">
        <f t="shared" si="6"/>
        <v>7</v>
      </c>
      <c r="C17" s="61"/>
      <c r="D17" s="59"/>
      <c r="E17" s="60"/>
      <c r="F17" s="186">
        <f t="shared" si="0"/>
        <v>0</v>
      </c>
      <c r="G17" s="59"/>
      <c r="H17" s="60"/>
      <c r="I17" s="186">
        <f t="shared" si="1"/>
        <v>0</v>
      </c>
      <c r="J17" s="59"/>
      <c r="K17" s="60"/>
      <c r="L17" s="186">
        <f t="shared" si="2"/>
        <v>0</v>
      </c>
      <c r="M17" s="59"/>
      <c r="N17" s="60"/>
      <c r="O17" s="186">
        <f t="shared" si="3"/>
        <v>0</v>
      </c>
      <c r="P17" s="59"/>
      <c r="Q17" s="60"/>
      <c r="R17" s="186">
        <f t="shared" si="4"/>
        <v>0</v>
      </c>
      <c r="S17" s="59"/>
      <c r="T17" s="60"/>
      <c r="U17" s="186">
        <f t="shared" si="5"/>
        <v>0</v>
      </c>
    </row>
    <row r="18" spans="1:21" ht="15.75" hidden="1" customHeight="1" x14ac:dyDescent="0.25">
      <c r="B18" s="139">
        <f t="shared" si="6"/>
        <v>8</v>
      </c>
      <c r="C18" s="61"/>
      <c r="D18" s="59"/>
      <c r="E18" s="60"/>
      <c r="F18" s="186">
        <f t="shared" si="0"/>
        <v>0</v>
      </c>
      <c r="G18" s="59"/>
      <c r="H18" s="60"/>
      <c r="I18" s="186">
        <f t="shared" si="1"/>
        <v>0</v>
      </c>
      <c r="J18" s="59"/>
      <c r="K18" s="60"/>
      <c r="L18" s="186">
        <f t="shared" si="2"/>
        <v>0</v>
      </c>
      <c r="M18" s="59"/>
      <c r="N18" s="60"/>
      <c r="O18" s="186">
        <f t="shared" si="3"/>
        <v>0</v>
      </c>
      <c r="P18" s="59"/>
      <c r="Q18" s="60"/>
      <c r="R18" s="186">
        <f t="shared" si="4"/>
        <v>0</v>
      </c>
      <c r="S18" s="59"/>
      <c r="T18" s="60"/>
      <c r="U18" s="186">
        <f t="shared" si="5"/>
        <v>0</v>
      </c>
    </row>
    <row r="19" spans="1:21" ht="15.75" hidden="1" customHeight="1" x14ac:dyDescent="0.25">
      <c r="B19" s="139">
        <f t="shared" si="6"/>
        <v>9</v>
      </c>
      <c r="C19" s="61"/>
      <c r="D19" s="59"/>
      <c r="E19" s="60"/>
      <c r="F19" s="186">
        <f t="shared" si="0"/>
        <v>0</v>
      </c>
      <c r="G19" s="59"/>
      <c r="H19" s="60"/>
      <c r="I19" s="186">
        <f t="shared" si="1"/>
        <v>0</v>
      </c>
      <c r="J19" s="59"/>
      <c r="K19" s="60"/>
      <c r="L19" s="186">
        <f t="shared" si="2"/>
        <v>0</v>
      </c>
      <c r="M19" s="59"/>
      <c r="N19" s="60"/>
      <c r="O19" s="186">
        <f t="shared" si="3"/>
        <v>0</v>
      </c>
      <c r="P19" s="59"/>
      <c r="Q19" s="60"/>
      <c r="R19" s="186">
        <f t="shared" si="4"/>
        <v>0</v>
      </c>
      <c r="S19" s="59"/>
      <c r="T19" s="60"/>
      <c r="U19" s="186">
        <f t="shared" si="5"/>
        <v>0</v>
      </c>
    </row>
    <row r="20" spans="1:21" ht="15.75" hidden="1" customHeight="1" x14ac:dyDescent="0.25">
      <c r="B20" s="139">
        <f t="shared" si="6"/>
        <v>10</v>
      </c>
      <c r="C20" s="61"/>
      <c r="D20" s="59"/>
      <c r="E20" s="60"/>
      <c r="F20" s="186">
        <f t="shared" si="0"/>
        <v>0</v>
      </c>
      <c r="G20" s="59"/>
      <c r="H20" s="60"/>
      <c r="I20" s="186">
        <f t="shared" si="1"/>
        <v>0</v>
      </c>
      <c r="J20" s="59"/>
      <c r="K20" s="60"/>
      <c r="L20" s="186">
        <f t="shared" si="2"/>
        <v>0</v>
      </c>
      <c r="M20" s="59"/>
      <c r="N20" s="60"/>
      <c r="O20" s="186">
        <f t="shared" si="3"/>
        <v>0</v>
      </c>
      <c r="P20" s="59"/>
      <c r="Q20" s="60"/>
      <c r="R20" s="186">
        <f t="shared" si="4"/>
        <v>0</v>
      </c>
      <c r="S20" s="59"/>
      <c r="T20" s="60"/>
      <c r="U20" s="186">
        <f t="shared" si="5"/>
        <v>0</v>
      </c>
    </row>
    <row r="21" spans="1:21" ht="15.75" hidden="1" customHeight="1" x14ac:dyDescent="0.25">
      <c r="B21" s="139">
        <f t="shared" si="6"/>
        <v>11</v>
      </c>
      <c r="C21" s="61"/>
      <c r="D21" s="59"/>
      <c r="E21" s="60"/>
      <c r="F21" s="186">
        <f t="shared" si="0"/>
        <v>0</v>
      </c>
      <c r="G21" s="59"/>
      <c r="H21" s="60"/>
      <c r="I21" s="186">
        <f t="shared" si="1"/>
        <v>0</v>
      </c>
      <c r="J21" s="59"/>
      <c r="K21" s="60"/>
      <c r="L21" s="186">
        <f t="shared" si="2"/>
        <v>0</v>
      </c>
      <c r="M21" s="59"/>
      <c r="N21" s="60"/>
      <c r="O21" s="186">
        <f t="shared" si="3"/>
        <v>0</v>
      </c>
      <c r="P21" s="59"/>
      <c r="Q21" s="60"/>
      <c r="R21" s="186">
        <f t="shared" si="4"/>
        <v>0</v>
      </c>
      <c r="S21" s="59"/>
      <c r="T21" s="60"/>
      <c r="U21" s="186">
        <f t="shared" si="5"/>
        <v>0</v>
      </c>
    </row>
    <row r="22" spans="1:21" ht="15.75" hidden="1" customHeight="1" x14ac:dyDescent="0.25">
      <c r="B22" s="139">
        <f t="shared" si="6"/>
        <v>12</v>
      </c>
      <c r="C22" s="61"/>
      <c r="D22" s="59"/>
      <c r="E22" s="60"/>
      <c r="F22" s="186">
        <f t="shared" si="0"/>
        <v>0</v>
      </c>
      <c r="G22" s="59"/>
      <c r="H22" s="60"/>
      <c r="I22" s="186">
        <f t="shared" si="1"/>
        <v>0</v>
      </c>
      <c r="J22" s="59"/>
      <c r="K22" s="60"/>
      <c r="L22" s="186">
        <f t="shared" si="2"/>
        <v>0</v>
      </c>
      <c r="M22" s="59"/>
      <c r="N22" s="60"/>
      <c r="O22" s="186">
        <f t="shared" si="3"/>
        <v>0</v>
      </c>
      <c r="P22" s="59"/>
      <c r="Q22" s="60"/>
      <c r="R22" s="186">
        <f t="shared" si="4"/>
        <v>0</v>
      </c>
      <c r="S22" s="59"/>
      <c r="T22" s="60"/>
      <c r="U22" s="186">
        <f t="shared" si="5"/>
        <v>0</v>
      </c>
    </row>
    <row r="23" spans="1:21" ht="15.75" hidden="1" customHeight="1" x14ac:dyDescent="0.25">
      <c r="B23" s="139">
        <f t="shared" si="6"/>
        <v>13</v>
      </c>
      <c r="C23" s="61"/>
      <c r="D23" s="59"/>
      <c r="E23" s="60"/>
      <c r="F23" s="186">
        <f t="shared" si="0"/>
        <v>0</v>
      </c>
      <c r="G23" s="59"/>
      <c r="H23" s="60"/>
      <c r="I23" s="186">
        <f t="shared" si="1"/>
        <v>0</v>
      </c>
      <c r="J23" s="59"/>
      <c r="K23" s="60"/>
      <c r="L23" s="186">
        <f t="shared" si="2"/>
        <v>0</v>
      </c>
      <c r="M23" s="59"/>
      <c r="N23" s="60"/>
      <c r="O23" s="186">
        <f t="shared" si="3"/>
        <v>0</v>
      </c>
      <c r="P23" s="59"/>
      <c r="Q23" s="60"/>
      <c r="R23" s="186">
        <f t="shared" si="4"/>
        <v>0</v>
      </c>
      <c r="S23" s="59"/>
      <c r="T23" s="60"/>
      <c r="U23" s="186">
        <f t="shared" si="5"/>
        <v>0</v>
      </c>
    </row>
    <row r="24" spans="1:21" ht="15.75" hidden="1" customHeight="1" x14ac:dyDescent="0.25">
      <c r="B24" s="139">
        <f t="shared" si="6"/>
        <v>14</v>
      </c>
      <c r="C24" s="61"/>
      <c r="D24" s="59"/>
      <c r="E24" s="60"/>
      <c r="F24" s="186">
        <f t="shared" si="0"/>
        <v>0</v>
      </c>
      <c r="G24" s="59"/>
      <c r="H24" s="60"/>
      <c r="I24" s="186">
        <f t="shared" si="1"/>
        <v>0</v>
      </c>
      <c r="J24" s="59"/>
      <c r="K24" s="60"/>
      <c r="L24" s="186">
        <f t="shared" si="2"/>
        <v>0</v>
      </c>
      <c r="M24" s="59"/>
      <c r="N24" s="60"/>
      <c r="O24" s="186">
        <f t="shared" si="3"/>
        <v>0</v>
      </c>
      <c r="P24" s="59"/>
      <c r="Q24" s="60"/>
      <c r="R24" s="186">
        <f t="shared" si="4"/>
        <v>0</v>
      </c>
      <c r="S24" s="59"/>
      <c r="T24" s="60"/>
      <c r="U24" s="186">
        <f t="shared" si="5"/>
        <v>0</v>
      </c>
    </row>
    <row r="25" spans="1:21" ht="15.75" hidden="1" customHeight="1" x14ac:dyDescent="0.25">
      <c r="B25" s="139">
        <f t="shared" si="6"/>
        <v>15</v>
      </c>
      <c r="C25" s="61"/>
      <c r="D25" s="59"/>
      <c r="E25" s="60"/>
      <c r="F25" s="186">
        <f t="shared" si="0"/>
        <v>0</v>
      </c>
      <c r="G25" s="59"/>
      <c r="H25" s="60"/>
      <c r="I25" s="186">
        <f t="shared" si="1"/>
        <v>0</v>
      </c>
      <c r="J25" s="59"/>
      <c r="K25" s="60"/>
      <c r="L25" s="186">
        <f t="shared" si="2"/>
        <v>0</v>
      </c>
      <c r="M25" s="59"/>
      <c r="N25" s="60"/>
      <c r="O25" s="186">
        <f t="shared" si="3"/>
        <v>0</v>
      </c>
      <c r="P25" s="59"/>
      <c r="Q25" s="60"/>
      <c r="R25" s="186">
        <f t="shared" si="4"/>
        <v>0</v>
      </c>
      <c r="S25" s="59"/>
      <c r="T25" s="60"/>
      <c r="U25" s="186">
        <f t="shared" si="5"/>
        <v>0</v>
      </c>
    </row>
    <row r="26" spans="1:21" ht="15.75" hidden="1" customHeight="1" x14ac:dyDescent="0.25">
      <c r="B26" s="139">
        <f t="shared" si="6"/>
        <v>16</v>
      </c>
      <c r="C26" s="61"/>
      <c r="D26" s="59"/>
      <c r="E26" s="60"/>
      <c r="F26" s="186">
        <f t="shared" si="0"/>
        <v>0</v>
      </c>
      <c r="G26" s="59"/>
      <c r="H26" s="60"/>
      <c r="I26" s="186">
        <f t="shared" si="1"/>
        <v>0</v>
      </c>
      <c r="J26" s="59"/>
      <c r="K26" s="60"/>
      <c r="L26" s="186">
        <f t="shared" si="2"/>
        <v>0</v>
      </c>
      <c r="M26" s="59"/>
      <c r="N26" s="60"/>
      <c r="O26" s="186">
        <f t="shared" si="3"/>
        <v>0</v>
      </c>
      <c r="P26" s="59"/>
      <c r="Q26" s="60"/>
      <c r="R26" s="186">
        <f t="shared" si="4"/>
        <v>0</v>
      </c>
      <c r="S26" s="59"/>
      <c r="T26" s="60"/>
      <c r="U26" s="186">
        <f t="shared" si="5"/>
        <v>0</v>
      </c>
    </row>
    <row r="27" spans="1:21" ht="15.75" hidden="1" customHeight="1" x14ac:dyDescent="0.25">
      <c r="B27" s="139">
        <f t="shared" si="6"/>
        <v>17</v>
      </c>
      <c r="C27" s="61"/>
      <c r="D27" s="59"/>
      <c r="E27" s="60"/>
      <c r="F27" s="186">
        <f t="shared" si="0"/>
        <v>0</v>
      </c>
      <c r="G27" s="59"/>
      <c r="H27" s="60"/>
      <c r="I27" s="186">
        <f t="shared" si="1"/>
        <v>0</v>
      </c>
      <c r="J27" s="59"/>
      <c r="K27" s="60"/>
      <c r="L27" s="186">
        <f t="shared" si="2"/>
        <v>0</v>
      </c>
      <c r="M27" s="59"/>
      <c r="N27" s="60"/>
      <c r="O27" s="186">
        <f t="shared" si="3"/>
        <v>0</v>
      </c>
      <c r="P27" s="59"/>
      <c r="Q27" s="60"/>
      <c r="R27" s="186">
        <f t="shared" si="4"/>
        <v>0</v>
      </c>
      <c r="S27" s="59"/>
      <c r="T27" s="60"/>
      <c r="U27" s="186">
        <f t="shared" si="5"/>
        <v>0</v>
      </c>
    </row>
    <row r="28" spans="1:21" ht="15.75" hidden="1" customHeight="1" x14ac:dyDescent="0.25">
      <c r="B28" s="145">
        <f t="shared" si="6"/>
        <v>18</v>
      </c>
      <c r="C28" s="61"/>
      <c r="D28" s="59"/>
      <c r="E28" s="60"/>
      <c r="F28" s="186">
        <f t="shared" si="0"/>
        <v>0</v>
      </c>
      <c r="G28" s="59"/>
      <c r="H28" s="60"/>
      <c r="I28" s="186">
        <f t="shared" si="1"/>
        <v>0</v>
      </c>
      <c r="J28" s="59"/>
      <c r="K28" s="60"/>
      <c r="L28" s="186">
        <f t="shared" si="2"/>
        <v>0</v>
      </c>
      <c r="M28" s="59"/>
      <c r="N28" s="60"/>
      <c r="O28" s="186">
        <f t="shared" si="3"/>
        <v>0</v>
      </c>
      <c r="P28" s="59"/>
      <c r="Q28" s="60"/>
      <c r="R28" s="186">
        <f t="shared" si="4"/>
        <v>0</v>
      </c>
      <c r="S28" s="59"/>
      <c r="T28" s="60"/>
      <c r="U28" s="186">
        <f t="shared" si="5"/>
        <v>0</v>
      </c>
    </row>
    <row r="29" spans="1:21" ht="15" hidden="1" customHeight="1" x14ac:dyDescent="0.25">
      <c r="B29" s="145">
        <f t="shared" si="6"/>
        <v>19</v>
      </c>
      <c r="C29" s="61"/>
      <c r="D29" s="59"/>
      <c r="E29" s="60"/>
      <c r="F29" s="186">
        <f t="shared" si="0"/>
        <v>0</v>
      </c>
      <c r="G29" s="59"/>
      <c r="H29" s="60"/>
      <c r="I29" s="186">
        <f t="shared" si="1"/>
        <v>0</v>
      </c>
      <c r="J29" s="59"/>
      <c r="K29" s="60"/>
      <c r="L29" s="186">
        <f t="shared" si="2"/>
        <v>0</v>
      </c>
      <c r="M29" s="59"/>
      <c r="N29" s="60"/>
      <c r="O29" s="186">
        <f t="shared" si="3"/>
        <v>0</v>
      </c>
      <c r="P29" s="59"/>
      <c r="Q29" s="60"/>
      <c r="R29" s="186">
        <f t="shared" si="4"/>
        <v>0</v>
      </c>
      <c r="S29" s="59"/>
      <c r="T29" s="60"/>
      <c r="U29" s="186">
        <f t="shared" si="5"/>
        <v>0</v>
      </c>
    </row>
    <row r="30" spans="1:21" ht="14.5" hidden="1" thickBot="1" x14ac:dyDescent="0.3">
      <c r="B30" s="146">
        <f>B29+1</f>
        <v>20</v>
      </c>
      <c r="C30" s="61"/>
      <c r="D30" s="59"/>
      <c r="E30" s="60"/>
      <c r="F30" s="186">
        <f t="shared" si="0"/>
        <v>0</v>
      </c>
      <c r="G30" s="59"/>
      <c r="H30" s="60"/>
      <c r="I30" s="186">
        <f t="shared" si="1"/>
        <v>0</v>
      </c>
      <c r="J30" s="59"/>
      <c r="K30" s="60"/>
      <c r="L30" s="186">
        <f t="shared" si="2"/>
        <v>0</v>
      </c>
      <c r="M30" s="59"/>
      <c r="N30" s="60"/>
      <c r="O30" s="186">
        <f t="shared" si="3"/>
        <v>0</v>
      </c>
      <c r="P30" s="59"/>
      <c r="Q30" s="60"/>
      <c r="R30" s="186">
        <f t="shared" si="4"/>
        <v>0</v>
      </c>
      <c r="S30" s="59"/>
      <c r="T30" s="60"/>
      <c r="U30" s="186">
        <f t="shared" si="5"/>
        <v>0</v>
      </c>
    </row>
    <row r="31" spans="1:21" ht="31.5" customHeight="1" thickBot="1" x14ac:dyDescent="0.3">
      <c r="C31" s="178" t="s">
        <v>3</v>
      </c>
      <c r="D31" s="54">
        <f>SUM(D11:D30)</f>
        <v>0</v>
      </c>
      <c r="E31" s="55">
        <f>SUM(E11:E30)</f>
        <v>0</v>
      </c>
      <c r="F31" s="56">
        <f>D31+E31</f>
        <v>0</v>
      </c>
      <c r="G31" s="54">
        <f>SUM(G11:G30)</f>
        <v>0</v>
      </c>
      <c r="H31" s="55">
        <f>SUM(H11:H30)</f>
        <v>61683.39</v>
      </c>
      <c r="I31" s="56">
        <f>G31+H31</f>
        <v>61683.39</v>
      </c>
      <c r="J31" s="54">
        <f>SUM(J11:J30)</f>
        <v>0</v>
      </c>
      <c r="K31" s="55">
        <f>SUM(K11:K30)</f>
        <v>0</v>
      </c>
      <c r="L31" s="56">
        <f>J31+K31</f>
        <v>0</v>
      </c>
      <c r="M31" s="54">
        <f>SUM(M11:M30)</f>
        <v>0</v>
      </c>
      <c r="N31" s="55">
        <f>SUM(N11:N30)</f>
        <v>0</v>
      </c>
      <c r="O31" s="56">
        <f>M31+N31</f>
        <v>0</v>
      </c>
      <c r="P31" s="54">
        <f>SUM(P11:P30)</f>
        <v>0</v>
      </c>
      <c r="Q31" s="55">
        <f>SUM(Q11:Q30)</f>
        <v>0</v>
      </c>
      <c r="R31" s="56">
        <f>P31+Q31</f>
        <v>0</v>
      </c>
      <c r="S31" s="54">
        <f>SUM(S11:S30)</f>
        <v>0</v>
      </c>
      <c r="T31" s="55">
        <f>SUM(T11:T30)</f>
        <v>0</v>
      </c>
      <c r="U31" s="56">
        <f>S31+T31</f>
        <v>0</v>
      </c>
    </row>
    <row r="32" spans="1:21" ht="6" customHeight="1" x14ac:dyDescent="0.25">
      <c r="A32" s="22"/>
      <c r="B32" s="22"/>
      <c r="C32" s="22"/>
      <c r="D32" s="22"/>
      <c r="E32" s="22"/>
      <c r="F32" s="22"/>
      <c r="G32" s="22"/>
      <c r="H32" s="22"/>
      <c r="I32" s="22"/>
      <c r="J32" s="22"/>
      <c r="K32" s="22"/>
      <c r="L32" s="22"/>
      <c r="M32" s="22"/>
      <c r="N32" s="22"/>
    </row>
  </sheetData>
  <sheetProtection insertRows="0"/>
  <protectedRanges>
    <protectedRange password="CC9E" sqref="A1:IV1 A8:IV9 A6 C6:IV6 A7:IV7 A2:IV5 A11:IV65534 A10:D10 F10:G10 I10:J10 L10:M10 O10:P10 R10:S10 U10:IV10" name="Rango1"/>
    <protectedRange password="CC9E" sqref="B6" name="Rango1_1_1"/>
    <protectedRange password="CC9E" sqref="E10" name="Rango1_1_4"/>
    <protectedRange password="CC9E" sqref="H10" name="Rango1_1_4_1"/>
    <protectedRange password="CC9E" sqref="K10" name="Rango1_1_4_2"/>
    <protectedRange password="CC9E" sqref="N10" name="Rango1_1_4_4"/>
    <protectedRange password="CC9E" sqref="Q10" name="Rango1_1_4_5"/>
    <protectedRange password="CC9E" sqref="T10" name="Rango1_1_4_6"/>
  </protectedRanges>
  <mergeCells count="11">
    <mergeCell ref="M9:O9"/>
    <mergeCell ref="P9:R9"/>
    <mergeCell ref="B7:C7"/>
    <mergeCell ref="S9:U9"/>
    <mergeCell ref="D1:I1"/>
    <mergeCell ref="J9:L9"/>
    <mergeCell ref="B9:B10"/>
    <mergeCell ref="C9:C10"/>
    <mergeCell ref="D9:F9"/>
    <mergeCell ref="G9:I9"/>
    <mergeCell ref="B6:C6"/>
  </mergeCells>
  <phoneticPr fontId="2" type="noConversion"/>
  <pageMargins left="0.39370078740157483" right="0.39370078740157483" top="0.78740157480314965" bottom="0.78740157480314965" header="0" footer="0.39370078740157483"/>
  <pageSetup paperSize="9" scale="38" fitToHeight="0" orientation="landscape" r:id="rId1"/>
  <headerFooter alignWithMargins="0">
    <oddFooter xml:space="preserve">&amp;CP. &amp;P / &amp;N
</oddFooter>
  </headerFooter>
  <ignoredErrors>
    <ignoredError sqref="B31 J10 C31 B11:B30 D9:F9 B10 C10 D10 D31:E31 H9:I9 F10:G10 I10 L10" unlockedFormula="1"/>
  </ignoredError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8"/>
  <sheetViews>
    <sheetView showGridLines="0" topLeftCell="A7" zoomScale="90" zoomScaleNormal="90" workbookViewId="0">
      <selection activeCell="E15" sqref="E15"/>
    </sheetView>
  </sheetViews>
  <sheetFormatPr baseColWidth="10" defaultColWidth="11.453125" defaultRowHeight="12.5" x14ac:dyDescent="0.25"/>
  <cols>
    <col min="1" max="1" width="1.453125" style="1" customWidth="1"/>
    <col min="2" max="2" width="14.7265625" style="1" customWidth="1"/>
    <col min="3" max="3" width="38.453125" style="1" customWidth="1"/>
    <col min="4" max="4" width="19.81640625" style="1" customWidth="1"/>
    <col min="5" max="5" width="20.1796875" style="1" customWidth="1"/>
    <col min="6" max="6" width="19.7265625" style="1" customWidth="1"/>
    <col min="7" max="7" width="20.7265625" style="1" customWidth="1"/>
    <col min="8" max="8" width="20.453125" style="1" customWidth="1"/>
    <col min="9" max="9" width="22" style="1" customWidth="1"/>
    <col min="10" max="16384" width="11.453125" style="1"/>
  </cols>
  <sheetData>
    <row r="1" spans="1:9" ht="49.5" customHeight="1" x14ac:dyDescent="0.35">
      <c r="A1" s="13"/>
      <c r="D1" s="92"/>
      <c r="E1" s="92"/>
      <c r="F1" s="14"/>
    </row>
    <row r="2" spans="1:9" ht="18" customHeight="1" x14ac:dyDescent="0.35">
      <c r="A2" s="13"/>
      <c r="B2" s="119"/>
      <c r="D2" s="92"/>
      <c r="E2" s="92"/>
      <c r="F2" s="14"/>
    </row>
    <row r="3" spans="1:9" ht="18" customHeight="1" x14ac:dyDescent="0.35">
      <c r="A3" s="13"/>
      <c r="D3" s="92"/>
      <c r="E3" s="92"/>
      <c r="F3" s="14"/>
    </row>
    <row r="4" spans="1:9" ht="18" customHeight="1" x14ac:dyDescent="0.35">
      <c r="A4" s="13"/>
      <c r="B4" s="258" t="s">
        <v>90</v>
      </c>
      <c r="C4" s="258"/>
      <c r="D4" s="258"/>
      <c r="E4" s="258"/>
      <c r="F4" s="258"/>
      <c r="G4" s="258"/>
      <c r="H4" s="258"/>
      <c r="I4" s="258"/>
    </row>
    <row r="5" spans="1:9" ht="15.75" customHeight="1" x14ac:dyDescent="0.25">
      <c r="B5" s="122"/>
      <c r="C5" s="123"/>
      <c r="D5" s="92"/>
      <c r="E5" s="92"/>
    </row>
    <row r="6" spans="1:9" ht="4.5" customHeight="1" x14ac:dyDescent="0.25"/>
    <row r="7" spans="1:9" s="2" customFormat="1" ht="24" customHeight="1" x14ac:dyDescent="0.25">
      <c r="B7" s="260" t="s">
        <v>28</v>
      </c>
      <c r="C7" s="261"/>
      <c r="D7" s="261"/>
      <c r="E7" s="261"/>
      <c r="F7" s="261"/>
      <c r="G7" s="262"/>
      <c r="H7" s="262"/>
      <c r="I7" s="263"/>
    </row>
    <row r="8" spans="1:9" s="2" customFormat="1" ht="27.75" customHeight="1" x14ac:dyDescent="0.25">
      <c r="B8" s="257" t="s">
        <v>23</v>
      </c>
      <c r="C8" s="257"/>
      <c r="D8" s="152">
        <f>Personal!F13</f>
        <v>2023</v>
      </c>
      <c r="E8" s="152">
        <f>D8+1</f>
        <v>2024</v>
      </c>
      <c r="F8" s="152">
        <f>E8+1</f>
        <v>2025</v>
      </c>
      <c r="G8" s="152">
        <f>F8+1</f>
        <v>2026</v>
      </c>
      <c r="H8" s="152">
        <f>G8+1</f>
        <v>2027</v>
      </c>
      <c r="I8" s="152">
        <f>H8+1</f>
        <v>2028</v>
      </c>
    </row>
    <row r="9" spans="1:9" s="2" customFormat="1" ht="28.5" customHeight="1" x14ac:dyDescent="0.25">
      <c r="B9" s="259" t="s">
        <v>93</v>
      </c>
      <c r="C9" s="259"/>
      <c r="D9" s="3">
        <f>Personal!G51</f>
        <v>0</v>
      </c>
      <c r="E9" s="3">
        <f>Personal!L51</f>
        <v>0</v>
      </c>
      <c r="F9" s="3">
        <f>Personal!Q51</f>
        <v>0</v>
      </c>
      <c r="G9" s="3">
        <f>Personal!V51</f>
        <v>0</v>
      </c>
      <c r="H9" s="3">
        <f>Personal!AA51</f>
        <v>0</v>
      </c>
      <c r="I9" s="3">
        <f>Personal!AF51</f>
        <v>0</v>
      </c>
    </row>
    <row r="10" spans="1:9" s="2" customFormat="1" ht="28.5" customHeight="1" x14ac:dyDescent="0.25">
      <c r="B10" s="259" t="s">
        <v>24</v>
      </c>
      <c r="C10" s="259"/>
      <c r="D10" s="3">
        <f>Personal!G52</f>
        <v>0</v>
      </c>
      <c r="E10" s="3">
        <f>Personal!L52</f>
        <v>0</v>
      </c>
      <c r="F10" s="3">
        <f>Personal!Q52</f>
        <v>0</v>
      </c>
      <c r="G10" s="3">
        <f>Personal!V52</f>
        <v>0</v>
      </c>
      <c r="H10" s="3">
        <f>Personal!AA52</f>
        <v>0</v>
      </c>
      <c r="I10" s="3">
        <f>Personal!AF52</f>
        <v>0</v>
      </c>
    </row>
    <row r="11" spans="1:9" s="2" customFormat="1" ht="28.5" customHeight="1" x14ac:dyDescent="0.25">
      <c r="B11" s="259" t="s">
        <v>95</v>
      </c>
      <c r="C11" s="259"/>
      <c r="D11" s="3">
        <f>'El._inmovilizado (AMORTIZACIÓN)'!D32</f>
        <v>0</v>
      </c>
      <c r="E11" s="3">
        <f>'El._inmovilizado (AMORTIZACIÓN)'!G32</f>
        <v>0</v>
      </c>
      <c r="F11" s="3">
        <f>'El._inmovilizado (AMORTIZACIÓN)'!J32</f>
        <v>0</v>
      </c>
      <c r="G11" s="3">
        <f>'El._inmovilizado (AMORTIZACIÓN)'!M32</f>
        <v>0</v>
      </c>
      <c r="H11" s="3">
        <f>'El._inmovilizado (AMORTIZACIÓN)'!P32</f>
        <v>0</v>
      </c>
      <c r="I11" s="3">
        <f>'El._inmovilizado (AMORTIZACIÓN)'!S32</f>
        <v>0</v>
      </c>
    </row>
    <row r="12" spans="1:9" s="2" customFormat="1" ht="28.5" customHeight="1" x14ac:dyDescent="0.25">
      <c r="B12" s="259" t="s">
        <v>25</v>
      </c>
      <c r="C12" s="259"/>
      <c r="D12" s="3">
        <f>Fungibles!D31</f>
        <v>0</v>
      </c>
      <c r="E12" s="3">
        <f>Fungibles!G31</f>
        <v>0</v>
      </c>
      <c r="F12" s="3">
        <f>Fungibles!J31</f>
        <v>0</v>
      </c>
      <c r="G12" s="3">
        <f>Fungibles!M31</f>
        <v>0</v>
      </c>
      <c r="H12" s="3">
        <f>Fungibles!P31</f>
        <v>0</v>
      </c>
      <c r="I12" s="3">
        <f>Fungibles!S31</f>
        <v>0</v>
      </c>
    </row>
    <row r="13" spans="1:9" s="2" customFormat="1" ht="28.5" customHeight="1" x14ac:dyDescent="0.25">
      <c r="B13" s="259" t="s">
        <v>133</v>
      </c>
      <c r="C13" s="259"/>
      <c r="D13" s="3">
        <f>'C.Externas (OPIS)'!F40</f>
        <v>0</v>
      </c>
      <c r="E13" s="3">
        <f>'C.Externas (OPIS)'!I40</f>
        <v>0</v>
      </c>
      <c r="F13" s="3">
        <f>'C.Externas (OPIS)'!L40</f>
        <v>0</v>
      </c>
      <c r="G13" s="3">
        <f>'C.Externas (OPIS)'!O40</f>
        <v>0</v>
      </c>
      <c r="H13" s="3">
        <f>'C.Externas (OPIS)'!R40</f>
        <v>0</v>
      </c>
      <c r="I13" s="3">
        <f>'C.Externas (OPIS)'!U40</f>
        <v>0</v>
      </c>
    </row>
    <row r="14" spans="1:9" s="2" customFormat="1" ht="28.5" customHeight="1" x14ac:dyDescent="0.25">
      <c r="B14" s="259" t="s">
        <v>26</v>
      </c>
      <c r="C14" s="259"/>
      <c r="D14" s="3">
        <f>'C.Externas (Otros)'!E37</f>
        <v>0</v>
      </c>
      <c r="E14" s="3">
        <f>'C.Externas (Otros)'!H37</f>
        <v>0</v>
      </c>
      <c r="F14" s="3">
        <f>'C.Externas (Otros)'!K37</f>
        <v>0</v>
      </c>
      <c r="G14" s="3">
        <f>'C.Externas (Otros)'!N37</f>
        <v>0</v>
      </c>
      <c r="H14" s="3">
        <f>'C.Externas (Otros)'!Q37</f>
        <v>0</v>
      </c>
      <c r="I14" s="3">
        <f>'C.Externas (Otros)'!T37</f>
        <v>0</v>
      </c>
    </row>
    <row r="15" spans="1:9" s="2" customFormat="1" ht="42" customHeight="1" x14ac:dyDescent="0.25">
      <c r="B15" s="259" t="s">
        <v>31</v>
      </c>
      <c r="C15" s="259"/>
      <c r="D15" s="3">
        <f>'Otros Gastos'!D31</f>
        <v>0</v>
      </c>
      <c r="E15" s="3">
        <f>'Otros Gastos'!G31</f>
        <v>0</v>
      </c>
      <c r="F15" s="3">
        <f>'Otros Gastos'!J31</f>
        <v>0</v>
      </c>
      <c r="G15" s="3">
        <f>'Otros Gastos'!M31</f>
        <v>0</v>
      </c>
      <c r="H15" s="3">
        <f>'Otros Gastos'!P31</f>
        <v>0</v>
      </c>
      <c r="I15" s="3">
        <f>'Otros Gastos'!S31</f>
        <v>0</v>
      </c>
    </row>
    <row r="16" spans="1:9" s="2" customFormat="1" ht="30" customHeight="1" x14ac:dyDescent="0.25">
      <c r="B16" s="257" t="s">
        <v>27</v>
      </c>
      <c r="C16" s="257"/>
      <c r="D16" s="153">
        <f t="shared" ref="D16:I16" si="0">SUM(D9:D15)</f>
        <v>0</v>
      </c>
      <c r="E16" s="153">
        <f t="shared" si="0"/>
        <v>0</v>
      </c>
      <c r="F16" s="153">
        <f t="shared" si="0"/>
        <v>0</v>
      </c>
      <c r="G16" s="153">
        <f t="shared" si="0"/>
        <v>0</v>
      </c>
      <c r="H16" s="153">
        <f t="shared" si="0"/>
        <v>0</v>
      </c>
      <c r="I16" s="153">
        <f t="shared" si="0"/>
        <v>0</v>
      </c>
    </row>
    <row r="17" spans="2:9" ht="6" customHeight="1" x14ac:dyDescent="0.25"/>
    <row r="18" spans="2:9" s="2" customFormat="1" ht="30" customHeight="1" x14ac:dyDescent="0.25">
      <c r="B18" s="257" t="s">
        <v>89</v>
      </c>
      <c r="C18" s="257"/>
      <c r="D18" s="153">
        <f>'El._inmovilizado (INVERSIÓN)'!D31</f>
        <v>0</v>
      </c>
      <c r="E18" s="153">
        <f>'El._inmovilizado (INVERSIÓN)'!G31</f>
        <v>0</v>
      </c>
      <c r="F18" s="153">
        <f>'El._inmovilizado (INVERSIÓN)'!J31</f>
        <v>0</v>
      </c>
      <c r="G18" s="153">
        <f>'El._inmovilizado (INVERSIÓN)'!M31</f>
        <v>0</v>
      </c>
      <c r="H18" s="153">
        <f>'El._inmovilizado (INVERSIÓN)'!P31</f>
        <v>0</v>
      </c>
      <c r="I18" s="153">
        <f>'El._inmovilizado (INVERSIÓN)'!S31</f>
        <v>0</v>
      </c>
    </row>
  </sheetData>
  <sheetProtection algorithmName="SHA-512" hashValue="uFWOx0tfmlmnxsmFNH1d585kTjQxcLVVbRks/uke/papplgH2wZxE+ksS2hAyoqvrUDpWS78nX7V7cZOI4h8RQ==" saltValue="/Ltb1HsrqwIlAfmOEuaP5Q==" spinCount="100000" sheet="1" objects="1" scenarios="1"/>
  <mergeCells count="12">
    <mergeCell ref="B18:C18"/>
    <mergeCell ref="B4:I4"/>
    <mergeCell ref="B10:C10"/>
    <mergeCell ref="B7:I7"/>
    <mergeCell ref="B13:C13"/>
    <mergeCell ref="B14:C14"/>
    <mergeCell ref="B15:C15"/>
    <mergeCell ref="B16:C16"/>
    <mergeCell ref="B11:C11"/>
    <mergeCell ref="B12:C12"/>
    <mergeCell ref="B8:C8"/>
    <mergeCell ref="B9:C9"/>
  </mergeCells>
  <phoneticPr fontId="2" type="noConversion"/>
  <pageMargins left="0.70866141732283472" right="0.70866141732283472" top="0.74803149606299213" bottom="0.74803149606299213" header="0.31496062992125984" footer="0.31496062992125984"/>
  <pageSetup paperSize="9" scale="49" orientation="portrait" r:id="rId1"/>
  <ignoredErrors>
    <ignoredError sqref="G13" formula="1"/>
  </ignoredError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7"/>
  <sheetViews>
    <sheetView showGridLines="0" topLeftCell="A4" zoomScale="90" zoomScaleNormal="90" workbookViewId="0">
      <selection activeCell="E15" sqref="E15"/>
    </sheetView>
  </sheetViews>
  <sheetFormatPr baseColWidth="10" defaultColWidth="11.453125" defaultRowHeight="12.5" x14ac:dyDescent="0.25"/>
  <cols>
    <col min="1" max="1" width="3.7265625" style="1" customWidth="1"/>
    <col min="2" max="2" width="14.7265625" style="1" customWidth="1"/>
    <col min="3" max="3" width="37.1796875" style="1" customWidth="1"/>
    <col min="4" max="4" width="21.1796875" style="1" customWidth="1"/>
    <col min="5" max="5" width="23.1796875" style="1" customWidth="1"/>
    <col min="6" max="6" width="22.54296875" style="1" customWidth="1"/>
    <col min="7" max="7" width="21.54296875" style="1" customWidth="1"/>
    <col min="8" max="8" width="21.1796875" style="1" customWidth="1"/>
    <col min="9" max="9" width="23" style="1" customWidth="1"/>
    <col min="10" max="16384" width="11.453125" style="1"/>
  </cols>
  <sheetData>
    <row r="1" spans="1:9" ht="49.5" customHeight="1" x14ac:dyDescent="0.35">
      <c r="A1" s="13"/>
      <c r="D1" s="264"/>
      <c r="E1" s="264"/>
      <c r="F1" s="14"/>
    </row>
    <row r="2" spans="1:9" ht="16.5" customHeight="1" x14ac:dyDescent="0.35">
      <c r="A2" s="13"/>
      <c r="B2" s="119"/>
      <c r="D2" s="89"/>
      <c r="E2" s="89"/>
      <c r="F2" s="14"/>
    </row>
    <row r="3" spans="1:9" ht="16.5" customHeight="1" x14ac:dyDescent="0.35">
      <c r="A3" s="13"/>
      <c r="D3" s="89"/>
      <c r="E3" s="89"/>
      <c r="F3" s="14"/>
    </row>
    <row r="4" spans="1:9" ht="16.5" customHeight="1" x14ac:dyDescent="0.35">
      <c r="A4" s="13"/>
      <c r="B4" s="258" t="s">
        <v>91</v>
      </c>
      <c r="C4" s="258"/>
      <c r="D4" s="258"/>
      <c r="E4" s="258"/>
      <c r="F4" s="258"/>
      <c r="G4" s="258"/>
      <c r="H4" s="258"/>
      <c r="I4" s="258"/>
    </row>
    <row r="5" spans="1:9" ht="15.75" customHeight="1" x14ac:dyDescent="0.25">
      <c r="B5" s="122"/>
      <c r="C5" s="124"/>
    </row>
    <row r="6" spans="1:9" ht="4.5" customHeight="1" x14ac:dyDescent="0.25"/>
    <row r="7" spans="1:9" s="2" customFormat="1" ht="24" customHeight="1" x14ac:dyDescent="0.25">
      <c r="B7" s="265" t="s">
        <v>29</v>
      </c>
      <c r="C7" s="265"/>
      <c r="D7" s="265"/>
      <c r="E7" s="265"/>
      <c r="F7" s="265"/>
      <c r="G7" s="266"/>
      <c r="H7" s="266"/>
      <c r="I7" s="266"/>
    </row>
    <row r="8" spans="1:9" s="2" customFormat="1" ht="27.75" customHeight="1" x14ac:dyDescent="0.25">
      <c r="B8" s="257" t="s">
        <v>23</v>
      </c>
      <c r="C8" s="257"/>
      <c r="D8" s="152">
        <f>Personal!F13</f>
        <v>2023</v>
      </c>
      <c r="E8" s="152">
        <f>D8+1</f>
        <v>2024</v>
      </c>
      <c r="F8" s="152">
        <f>E8+1</f>
        <v>2025</v>
      </c>
      <c r="G8" s="152">
        <f>F8+1</f>
        <v>2026</v>
      </c>
      <c r="H8" s="152">
        <f>G8+1</f>
        <v>2027</v>
      </c>
      <c r="I8" s="152">
        <f>H8+1</f>
        <v>2028</v>
      </c>
    </row>
    <row r="9" spans="1:9" s="2" customFormat="1" ht="28.5" customHeight="1" x14ac:dyDescent="0.25">
      <c r="B9" s="259" t="s">
        <v>93</v>
      </c>
      <c r="C9" s="259"/>
      <c r="D9" s="3">
        <f>Personal!I51</f>
        <v>977621.54999999993</v>
      </c>
      <c r="E9" s="3">
        <f>Personal!N51</f>
        <v>884669.60000000009</v>
      </c>
      <c r="F9" s="3">
        <f>Personal!S51</f>
        <v>1073309.17</v>
      </c>
      <c r="G9" s="3">
        <f>Personal!X51</f>
        <v>0</v>
      </c>
      <c r="H9" s="3">
        <f>Personal!AC51</f>
        <v>0</v>
      </c>
      <c r="I9" s="3">
        <f>Personal!AH51</f>
        <v>0</v>
      </c>
    </row>
    <row r="10" spans="1:9" s="2" customFormat="1" ht="28.5" customHeight="1" x14ac:dyDescent="0.25">
      <c r="B10" s="259" t="s">
        <v>24</v>
      </c>
      <c r="C10" s="259"/>
      <c r="D10" s="4"/>
      <c r="E10" s="4"/>
      <c r="F10" s="4"/>
      <c r="G10" s="4"/>
      <c r="H10" s="4"/>
      <c r="I10" s="4"/>
    </row>
    <row r="11" spans="1:9" s="2" customFormat="1" ht="28.5" customHeight="1" x14ac:dyDescent="0.25">
      <c r="B11" s="259" t="s">
        <v>95</v>
      </c>
      <c r="C11" s="259"/>
      <c r="D11" s="3">
        <f>'El._inmovilizado (AMORTIZACIÓN)'!E32</f>
        <v>0</v>
      </c>
      <c r="E11" s="3">
        <f>'El._inmovilizado (AMORTIZACIÓN)'!H32</f>
        <v>0</v>
      </c>
      <c r="F11" s="3">
        <f>'El._inmovilizado (AMORTIZACIÓN)'!K32</f>
        <v>0</v>
      </c>
      <c r="G11" s="3">
        <f>'El._inmovilizado (AMORTIZACIÓN)'!N32</f>
        <v>0</v>
      </c>
      <c r="H11" s="3">
        <f>'El._inmovilizado (AMORTIZACIÓN)'!Q32</f>
        <v>0</v>
      </c>
      <c r="I11" s="3">
        <f>'El._inmovilizado (AMORTIZACIÓN)'!T32</f>
        <v>0</v>
      </c>
    </row>
    <row r="12" spans="1:9" s="2" customFormat="1" ht="28.5" customHeight="1" x14ac:dyDescent="0.25">
      <c r="B12" s="259" t="s">
        <v>25</v>
      </c>
      <c r="C12" s="259"/>
      <c r="D12" s="3">
        <f>Fungibles!E31</f>
        <v>0</v>
      </c>
      <c r="E12" s="3">
        <f>Fungibles!H31</f>
        <v>0</v>
      </c>
      <c r="F12" s="3">
        <f>Fungibles!K31</f>
        <v>0</v>
      </c>
      <c r="G12" s="3">
        <f>Fungibles!N31</f>
        <v>0</v>
      </c>
      <c r="H12" s="3">
        <f>Fungibles!Q31</f>
        <v>0</v>
      </c>
      <c r="I12" s="3">
        <f>Fungibles!T31</f>
        <v>0</v>
      </c>
    </row>
    <row r="13" spans="1:9" s="2" customFormat="1" ht="28.5" customHeight="1" x14ac:dyDescent="0.25">
      <c r="B13" s="259" t="s">
        <v>133</v>
      </c>
      <c r="C13" s="259"/>
      <c r="D13" s="3">
        <f>'C.Externas (OPIS)'!G40</f>
        <v>0</v>
      </c>
      <c r="E13" s="3">
        <f>'C.Externas (OPIS)'!J40</f>
        <v>0</v>
      </c>
      <c r="F13" s="3">
        <f>'C.Externas (OPIS)'!M40</f>
        <v>0</v>
      </c>
      <c r="G13" s="3">
        <f>'C.Externas (OPIS)'!P40</f>
        <v>0</v>
      </c>
      <c r="H13" s="3">
        <f>'C.Externas (OPIS)'!S40</f>
        <v>0</v>
      </c>
      <c r="I13" s="3">
        <f>'C.Externas (OPIS)'!V40</f>
        <v>0</v>
      </c>
    </row>
    <row r="14" spans="1:9" s="2" customFormat="1" ht="28.5" customHeight="1" x14ac:dyDescent="0.25">
      <c r="B14" s="259" t="s">
        <v>26</v>
      </c>
      <c r="C14" s="259"/>
      <c r="D14" s="3">
        <f>'C.Externas (Otros)'!F37</f>
        <v>31738.29</v>
      </c>
      <c r="E14" s="3">
        <f>'C.Externas (Otros)'!I37</f>
        <v>20330.78</v>
      </c>
      <c r="F14" s="3">
        <f>'C.Externas (Otros)'!L37</f>
        <v>24880.89</v>
      </c>
      <c r="G14" s="3">
        <f>'C.Externas (Otros)'!O37</f>
        <v>0</v>
      </c>
      <c r="H14" s="3">
        <f>'C.Externas (Otros)'!R37</f>
        <v>0</v>
      </c>
      <c r="I14" s="3">
        <f>'C.Externas (Otros)'!U37</f>
        <v>0</v>
      </c>
    </row>
    <row r="15" spans="1:9" s="2" customFormat="1" ht="42" customHeight="1" x14ac:dyDescent="0.25">
      <c r="B15" s="259" t="s">
        <v>31</v>
      </c>
      <c r="C15" s="259"/>
      <c r="D15" s="3">
        <f>'Otros Gastos'!E31</f>
        <v>0</v>
      </c>
      <c r="E15" s="3">
        <f>'Otros Gastos'!H31</f>
        <v>61683.39</v>
      </c>
      <c r="F15" s="3">
        <f>'Otros Gastos'!K31</f>
        <v>0</v>
      </c>
      <c r="G15" s="3">
        <f>'Otros Gastos'!N31</f>
        <v>0</v>
      </c>
      <c r="H15" s="3">
        <f>'Otros Gastos'!Q31</f>
        <v>0</v>
      </c>
      <c r="I15" s="3">
        <f>'Otros Gastos'!T31</f>
        <v>0</v>
      </c>
    </row>
    <row r="16" spans="1:9" s="2" customFormat="1" ht="30" customHeight="1" x14ac:dyDescent="0.25">
      <c r="B16" s="257" t="s">
        <v>27</v>
      </c>
      <c r="C16" s="257"/>
      <c r="D16" s="153">
        <f t="shared" ref="D16:I16" si="0">SUM(D9:D15)</f>
        <v>1009359.84</v>
      </c>
      <c r="E16" s="153">
        <f t="shared" si="0"/>
        <v>966683.77000000014</v>
      </c>
      <c r="F16" s="153">
        <f t="shared" si="0"/>
        <v>1098190.0599999998</v>
      </c>
      <c r="G16" s="153">
        <f t="shared" si="0"/>
        <v>0</v>
      </c>
      <c r="H16" s="153">
        <f t="shared" si="0"/>
        <v>0</v>
      </c>
      <c r="I16" s="153">
        <f t="shared" si="0"/>
        <v>0</v>
      </c>
    </row>
    <row r="17" ht="6" customHeight="1" x14ac:dyDescent="0.25"/>
  </sheetData>
  <sheetProtection algorithmName="SHA-512" hashValue="/XaDnES6K7BbJCKARkvQYhy50BYaJgjCG7o1yjmgfS3l78A8SAWJWp8iRuMvEJcq2alxrv7WBC3fXwopIMMLeA==" saltValue="VJQU9mSY3FMQsYCDa6CqAw==" spinCount="100000" sheet="1" objects="1" scenarios="1"/>
  <mergeCells count="12">
    <mergeCell ref="B15:C15"/>
    <mergeCell ref="B16:C16"/>
    <mergeCell ref="B11:C11"/>
    <mergeCell ref="D1:E1"/>
    <mergeCell ref="B12:C12"/>
    <mergeCell ref="B8:C8"/>
    <mergeCell ref="B9:C9"/>
    <mergeCell ref="B4:I4"/>
    <mergeCell ref="B10:C10"/>
    <mergeCell ref="B7:I7"/>
    <mergeCell ref="B13:C13"/>
    <mergeCell ref="B14:C14"/>
  </mergeCells>
  <phoneticPr fontId="2" type="noConversion"/>
  <dataValidations count="1">
    <dataValidation type="decimal" allowBlank="1" showInputMessage="1" showErrorMessage="1" sqref="D10:I10">
      <formula1>0</formula1>
      <formula2>0</formula2>
    </dataValidation>
  </dataValidations>
  <pageMargins left="0.70866141732283472" right="0.70866141732283472" top="0.74803149606299213" bottom="0.74803149606299213" header="0.31496062992125984" footer="0.31496062992125984"/>
  <pageSetup paperSize="9" scale="46"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9"/>
  <sheetViews>
    <sheetView showGridLines="0" topLeftCell="A7" zoomScale="90" zoomScaleNormal="90" workbookViewId="0">
      <selection activeCell="E10" sqref="E10"/>
    </sheetView>
  </sheetViews>
  <sheetFormatPr baseColWidth="10" defaultColWidth="11.453125" defaultRowHeight="12.5" x14ac:dyDescent="0.25"/>
  <cols>
    <col min="1" max="1" width="3.7265625" style="1" customWidth="1"/>
    <col min="2" max="2" width="14.7265625" style="1" customWidth="1"/>
    <col min="3" max="3" width="36" style="1" customWidth="1"/>
    <col min="4" max="4" width="21.54296875" style="1" customWidth="1"/>
    <col min="5" max="5" width="22.26953125" style="1" customWidth="1"/>
    <col min="6" max="6" width="21.54296875" style="1" customWidth="1"/>
    <col min="7" max="7" width="20.7265625" style="1" customWidth="1"/>
    <col min="8" max="8" width="21.26953125" style="1" customWidth="1"/>
    <col min="9" max="9" width="21.1796875" style="1" customWidth="1"/>
    <col min="10" max="16384" width="11.453125" style="1"/>
  </cols>
  <sheetData>
    <row r="1" spans="1:9" ht="49.5" customHeight="1" x14ac:dyDescent="0.35">
      <c r="A1" s="13"/>
      <c r="D1" s="92"/>
      <c r="E1" s="92"/>
      <c r="F1" s="14"/>
    </row>
    <row r="2" spans="1:9" ht="17.25" customHeight="1" x14ac:dyDescent="0.35">
      <c r="A2" s="13"/>
      <c r="B2" s="119"/>
      <c r="D2" s="92"/>
      <c r="E2" s="92"/>
      <c r="F2" s="14"/>
    </row>
    <row r="3" spans="1:9" ht="17.25" customHeight="1" x14ac:dyDescent="0.35">
      <c r="A3" s="13"/>
      <c r="D3" s="92"/>
      <c r="E3" s="92"/>
      <c r="F3" s="14"/>
    </row>
    <row r="4" spans="1:9" ht="17.25" customHeight="1" x14ac:dyDescent="0.35">
      <c r="A4" s="13"/>
      <c r="B4" s="94" t="s">
        <v>88</v>
      </c>
      <c r="D4" s="92"/>
      <c r="E4" s="92"/>
      <c r="F4" s="14"/>
    </row>
    <row r="5" spans="1:9" ht="15.75" customHeight="1" x14ac:dyDescent="0.25">
      <c r="B5" s="122"/>
      <c r="C5" s="123"/>
      <c r="D5" s="92"/>
      <c r="E5" s="92"/>
    </row>
    <row r="6" spans="1:9" ht="4.5" customHeight="1" x14ac:dyDescent="0.25"/>
    <row r="7" spans="1:9" s="2" customFormat="1" ht="24" customHeight="1" x14ac:dyDescent="0.25">
      <c r="B7" s="265" t="s">
        <v>22</v>
      </c>
      <c r="C7" s="265"/>
      <c r="D7" s="265"/>
      <c r="E7" s="265"/>
      <c r="F7" s="265"/>
      <c r="G7" s="266"/>
      <c r="H7" s="266"/>
      <c r="I7" s="266"/>
    </row>
    <row r="8" spans="1:9" s="2" customFormat="1" ht="11.25" customHeight="1" x14ac:dyDescent="0.25">
      <c r="B8" s="90"/>
      <c r="C8" s="90"/>
      <c r="D8" s="90"/>
      <c r="E8" s="90"/>
      <c r="F8" s="90"/>
      <c r="G8" s="91"/>
      <c r="H8" s="91"/>
      <c r="I8" s="91"/>
    </row>
    <row r="9" spans="1:9" s="2" customFormat="1" ht="27.75" customHeight="1" x14ac:dyDescent="0.25">
      <c r="B9" s="257" t="s">
        <v>23</v>
      </c>
      <c r="C9" s="257"/>
      <c r="D9" s="152">
        <f>Personal!F13</f>
        <v>2023</v>
      </c>
      <c r="E9" s="152">
        <f>D9+1</f>
        <v>2024</v>
      </c>
      <c r="F9" s="152">
        <f>E9+1</f>
        <v>2025</v>
      </c>
      <c r="G9" s="152">
        <f>F9+1</f>
        <v>2026</v>
      </c>
      <c r="H9" s="152">
        <f>G9+1</f>
        <v>2027</v>
      </c>
      <c r="I9" s="152">
        <f>H9+1</f>
        <v>2028</v>
      </c>
    </row>
    <row r="10" spans="1:9" s="2" customFormat="1" ht="28.5" customHeight="1" x14ac:dyDescent="0.25">
      <c r="B10" s="259" t="s">
        <v>93</v>
      </c>
      <c r="C10" s="259"/>
      <c r="D10" s="3">
        <f>'I+D'!D9+iT!D9</f>
        <v>977621.54999999993</v>
      </c>
      <c r="E10" s="3">
        <f>'I+D'!E9+iT!E9</f>
        <v>884669.60000000009</v>
      </c>
      <c r="F10" s="3">
        <f>'I+D'!F9+iT!F9</f>
        <v>1073309.17</v>
      </c>
      <c r="G10" s="3">
        <f>'I+D'!G9+iT!G9</f>
        <v>0</v>
      </c>
      <c r="H10" s="3">
        <f>'I+D'!H9+iT!H9</f>
        <v>0</v>
      </c>
      <c r="I10" s="3">
        <f>'I+D'!I9+iT!I9</f>
        <v>0</v>
      </c>
    </row>
    <row r="11" spans="1:9" s="2" customFormat="1" ht="28.5" customHeight="1" x14ac:dyDescent="0.25">
      <c r="B11" s="259" t="s">
        <v>24</v>
      </c>
      <c r="C11" s="259"/>
      <c r="D11" s="3">
        <f>'I+D'!D10+iT!D10</f>
        <v>0</v>
      </c>
      <c r="E11" s="3">
        <f>'I+D'!E10+iT!E10</f>
        <v>0</v>
      </c>
      <c r="F11" s="3">
        <f>'I+D'!F10+iT!F10</f>
        <v>0</v>
      </c>
      <c r="G11" s="3">
        <f>'I+D'!G10+iT!G10</f>
        <v>0</v>
      </c>
      <c r="H11" s="3">
        <f>'I+D'!H10+iT!H10</f>
        <v>0</v>
      </c>
      <c r="I11" s="3">
        <f>'I+D'!I10+iT!I10</f>
        <v>0</v>
      </c>
    </row>
    <row r="12" spans="1:9" s="2" customFormat="1" ht="28.5" customHeight="1" x14ac:dyDescent="0.25">
      <c r="B12" s="259" t="s">
        <v>95</v>
      </c>
      <c r="C12" s="259"/>
      <c r="D12" s="3">
        <f>'I+D'!D11+iT!D11</f>
        <v>0</v>
      </c>
      <c r="E12" s="3">
        <f>'I+D'!E11+iT!E11</f>
        <v>0</v>
      </c>
      <c r="F12" s="3">
        <f>'I+D'!F11+iT!F11</f>
        <v>0</v>
      </c>
      <c r="G12" s="3">
        <f>'I+D'!G11+iT!G11</f>
        <v>0</v>
      </c>
      <c r="H12" s="3">
        <f>'I+D'!H11+iT!H11</f>
        <v>0</v>
      </c>
      <c r="I12" s="3">
        <f>'I+D'!I11+iT!I11</f>
        <v>0</v>
      </c>
    </row>
    <row r="13" spans="1:9" s="2" customFormat="1" ht="28.5" customHeight="1" x14ac:dyDescent="0.25">
      <c r="B13" s="259" t="s">
        <v>25</v>
      </c>
      <c r="C13" s="259"/>
      <c r="D13" s="3">
        <f>'I+D'!D12+iT!D12</f>
        <v>0</v>
      </c>
      <c r="E13" s="3">
        <f>'I+D'!E12+iT!E12</f>
        <v>0</v>
      </c>
      <c r="F13" s="3">
        <f>'I+D'!F12+iT!F12</f>
        <v>0</v>
      </c>
      <c r="G13" s="3">
        <f>'I+D'!G12+iT!G12</f>
        <v>0</v>
      </c>
      <c r="H13" s="3">
        <f>'I+D'!H12+iT!H12</f>
        <v>0</v>
      </c>
      <c r="I13" s="3">
        <f>'I+D'!I12+iT!I12</f>
        <v>0</v>
      </c>
    </row>
    <row r="14" spans="1:9" s="2" customFormat="1" ht="28.5" customHeight="1" x14ac:dyDescent="0.25">
      <c r="B14" s="259" t="s">
        <v>133</v>
      </c>
      <c r="C14" s="259"/>
      <c r="D14" s="3">
        <f>'I+D'!D13+iT!D13</f>
        <v>0</v>
      </c>
      <c r="E14" s="3">
        <f>'I+D'!E13+iT!E13</f>
        <v>0</v>
      </c>
      <c r="F14" s="3">
        <f>'I+D'!F13+iT!F13</f>
        <v>0</v>
      </c>
      <c r="G14" s="3">
        <f>'I+D'!G13+iT!G13</f>
        <v>0</v>
      </c>
      <c r="H14" s="3">
        <f>'I+D'!H13+iT!H13</f>
        <v>0</v>
      </c>
      <c r="I14" s="3">
        <f>'I+D'!I13+iT!I13</f>
        <v>0</v>
      </c>
    </row>
    <row r="15" spans="1:9" s="2" customFormat="1" ht="28.5" customHeight="1" x14ac:dyDescent="0.25">
      <c r="B15" s="259" t="s">
        <v>26</v>
      </c>
      <c r="C15" s="259"/>
      <c r="D15" s="3">
        <f>'I+D'!D14+iT!D14</f>
        <v>31738.29</v>
      </c>
      <c r="E15" s="3">
        <f>'I+D'!E14+iT!E14</f>
        <v>20330.78</v>
      </c>
      <c r="F15" s="3">
        <f>'I+D'!F14+iT!F14</f>
        <v>24880.89</v>
      </c>
      <c r="G15" s="3">
        <f>'I+D'!G14+iT!G14</f>
        <v>0</v>
      </c>
      <c r="H15" s="3">
        <f>'I+D'!H14+iT!H14</f>
        <v>0</v>
      </c>
      <c r="I15" s="3">
        <f>'I+D'!I14+iT!I14</f>
        <v>0</v>
      </c>
    </row>
    <row r="16" spans="1:9" s="2" customFormat="1" ht="42" customHeight="1" x14ac:dyDescent="0.25">
      <c r="B16" s="259" t="s">
        <v>31</v>
      </c>
      <c r="C16" s="259"/>
      <c r="D16" s="3">
        <f>'I+D'!D15+iT!D15</f>
        <v>0</v>
      </c>
      <c r="E16" s="3">
        <f>'I+D'!E15+iT!E15</f>
        <v>61683.39</v>
      </c>
      <c r="F16" s="3">
        <f>'I+D'!F15+iT!F15</f>
        <v>0</v>
      </c>
      <c r="G16" s="3">
        <f>'I+D'!G15+iT!G15</f>
        <v>0</v>
      </c>
      <c r="H16" s="3">
        <f>'I+D'!H15+iT!H15</f>
        <v>0</v>
      </c>
      <c r="I16" s="3">
        <f>'I+D'!I15+iT!I15</f>
        <v>0</v>
      </c>
    </row>
    <row r="17" spans="2:9" s="2" customFormat="1" ht="30" customHeight="1" x14ac:dyDescent="0.25">
      <c r="B17" s="257" t="s">
        <v>27</v>
      </c>
      <c r="C17" s="257"/>
      <c r="D17" s="153">
        <f t="shared" ref="D17:I17" si="0">SUM(D10:D16)</f>
        <v>1009359.84</v>
      </c>
      <c r="E17" s="153">
        <f t="shared" si="0"/>
        <v>966683.77000000014</v>
      </c>
      <c r="F17" s="153">
        <f t="shared" si="0"/>
        <v>1098190.0599999998</v>
      </c>
      <c r="G17" s="153">
        <f t="shared" si="0"/>
        <v>0</v>
      </c>
      <c r="H17" s="153">
        <f t="shared" si="0"/>
        <v>0</v>
      </c>
      <c r="I17" s="153">
        <f t="shared" si="0"/>
        <v>0</v>
      </c>
    </row>
    <row r="18" spans="2:9" ht="6" customHeight="1" x14ac:dyDescent="0.25"/>
    <row r="19" spans="2:9" s="2" customFormat="1" ht="30" customHeight="1" x14ac:dyDescent="0.25">
      <c r="B19" s="257" t="s">
        <v>89</v>
      </c>
      <c r="C19" s="257"/>
      <c r="D19" s="153">
        <f>'El._inmovilizado (INVERSIÓN)'!D31</f>
        <v>0</v>
      </c>
      <c r="E19" s="153">
        <f>'El._inmovilizado (INVERSIÓN)'!G31</f>
        <v>0</v>
      </c>
      <c r="F19" s="153">
        <f>'El._inmovilizado (INVERSIÓN)'!J31</f>
        <v>0</v>
      </c>
      <c r="G19" s="153">
        <f>'El._inmovilizado (INVERSIÓN)'!M31</f>
        <v>0</v>
      </c>
      <c r="H19" s="153">
        <f>'El._inmovilizado (INVERSIÓN)'!P31</f>
        <v>0</v>
      </c>
      <c r="I19" s="153">
        <f>'El._inmovilizado (INVERSIÓN)'!S31</f>
        <v>0</v>
      </c>
    </row>
  </sheetData>
  <sheetProtection algorithmName="SHA-512" hashValue="8ExVJ6DrGMqXFZWdfN+LyNjXLQk6VyCSzPdssDrQ3yaJlPXoxovhnWXlkqWZTgljksHs59zYLEInYQEO9x8L3g==" saltValue="fx11cuS1fgKNPWEQEOl/QQ==" spinCount="100000" sheet="1" objects="1" scenarios="1"/>
  <mergeCells count="11">
    <mergeCell ref="B16:C16"/>
    <mergeCell ref="B17:C17"/>
    <mergeCell ref="B12:C12"/>
    <mergeCell ref="B19:C19"/>
    <mergeCell ref="B14:C14"/>
    <mergeCell ref="B13:C13"/>
    <mergeCell ref="B9:C9"/>
    <mergeCell ref="B10:C10"/>
    <mergeCell ref="B11:C11"/>
    <mergeCell ref="B7:I7"/>
    <mergeCell ref="B15:C15"/>
  </mergeCells>
  <phoneticPr fontId="2" type="noConversion"/>
  <pageMargins left="0.70866141732283472" right="0.70866141732283472" top="0.74803149606299213" bottom="0.74803149606299213" header="0.31496062992125984" footer="0.31496062992125984"/>
  <pageSetup paperSize="9" scale="48"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18"/>
  <sheetViews>
    <sheetView showGridLines="0" zoomScaleNormal="100" workbookViewId="0">
      <selection activeCell="F24" sqref="F24"/>
    </sheetView>
  </sheetViews>
  <sheetFormatPr baseColWidth="10" defaultColWidth="11.453125" defaultRowHeight="15.5" x14ac:dyDescent="0.25"/>
  <cols>
    <col min="1" max="1" width="14.7265625" style="48" customWidth="1"/>
    <col min="2" max="2" width="43.54296875" style="48" customWidth="1"/>
    <col min="3" max="3" width="21.1796875" style="48" hidden="1" customWidth="1"/>
    <col min="4" max="4" width="11.54296875" style="48" bestFit="1" customWidth="1"/>
    <col min="5" max="6" width="13" style="48" bestFit="1" customWidth="1"/>
    <col min="7" max="7" width="12.26953125" style="48" customWidth="1"/>
    <col min="8" max="9" width="13" style="48" bestFit="1" customWidth="1"/>
    <col min="10" max="10" width="10" style="48" bestFit="1" customWidth="1"/>
    <col min="11" max="11" width="4.7265625" style="48" customWidth="1"/>
    <col min="12" max="16384" width="11.453125" style="48"/>
  </cols>
  <sheetData>
    <row r="1" spans="1:10" ht="72" customHeight="1" x14ac:dyDescent="0.25">
      <c r="C1" s="267"/>
      <c r="D1" s="267"/>
      <c r="E1" s="267"/>
      <c r="F1" s="267"/>
      <c r="G1" s="267"/>
      <c r="H1" s="267"/>
      <c r="I1" s="12"/>
      <c r="J1" s="12"/>
    </row>
    <row r="2" spans="1:10" ht="15.75" customHeight="1" x14ac:dyDescent="0.25">
      <c r="C2" s="177"/>
      <c r="D2" s="177"/>
      <c r="E2" s="177"/>
      <c r="F2" s="177"/>
      <c r="G2" s="177"/>
      <c r="H2" s="177"/>
      <c r="I2" s="12"/>
      <c r="J2" s="12"/>
    </row>
    <row r="3" spans="1:10" ht="15.75" customHeight="1" x14ac:dyDescent="0.25">
      <c r="A3" s="93" t="s">
        <v>80</v>
      </c>
      <c r="C3" s="49"/>
      <c r="D3" s="49"/>
      <c r="E3" s="49"/>
      <c r="F3" s="49"/>
      <c r="G3" s="49"/>
      <c r="H3" s="49"/>
      <c r="I3" s="49"/>
      <c r="J3" s="49"/>
    </row>
    <row r="4" spans="1:10" s="95" customFormat="1" ht="15.75" customHeight="1" x14ac:dyDescent="0.25">
      <c r="C4" s="49"/>
      <c r="D4" s="49"/>
      <c r="E4" s="49"/>
      <c r="F4" s="49"/>
      <c r="G4" s="49"/>
      <c r="H4" s="49"/>
      <c r="I4" s="49"/>
      <c r="J4" s="49"/>
    </row>
    <row r="5" spans="1:10" x14ac:dyDescent="0.25">
      <c r="A5" s="50" t="s">
        <v>36</v>
      </c>
    </row>
    <row r="6" spans="1:10" s="51" customFormat="1" ht="6" customHeight="1" thickBot="1" x14ac:dyDescent="0.3">
      <c r="B6" s="50"/>
      <c r="C6" s="52"/>
      <c r="D6" s="52"/>
      <c r="E6" s="52"/>
      <c r="F6" s="52"/>
      <c r="G6" s="52"/>
      <c r="H6" s="52"/>
    </row>
    <row r="7" spans="1:10" ht="15.75" customHeight="1" thickBot="1" x14ac:dyDescent="0.3">
      <c r="A7" s="268" t="s">
        <v>112</v>
      </c>
      <c r="B7" s="154" t="s">
        <v>33</v>
      </c>
      <c r="C7" s="155" t="s">
        <v>34</v>
      </c>
      <c r="D7" s="272" t="s">
        <v>37</v>
      </c>
      <c r="E7" s="273"/>
      <c r="F7" s="274"/>
      <c r="G7" s="275" t="s">
        <v>38</v>
      </c>
      <c r="H7" s="275"/>
      <c r="I7" s="275"/>
      <c r="J7" s="154" t="s">
        <v>124</v>
      </c>
    </row>
    <row r="8" spans="1:10" ht="39.75" customHeight="1" thickBot="1" x14ac:dyDescent="0.3">
      <c r="A8" s="269"/>
      <c r="B8" s="156" t="s">
        <v>122</v>
      </c>
      <c r="C8" s="180" t="s">
        <v>123</v>
      </c>
      <c r="D8" s="157" t="s">
        <v>9</v>
      </c>
      <c r="E8" s="158" t="s">
        <v>167</v>
      </c>
      <c r="F8" s="154" t="s">
        <v>35</v>
      </c>
      <c r="G8" s="157" t="s">
        <v>9</v>
      </c>
      <c r="H8" s="158" t="s">
        <v>167</v>
      </c>
      <c r="I8" s="159" t="s">
        <v>35</v>
      </c>
      <c r="J8" s="160" t="s">
        <v>125</v>
      </c>
    </row>
    <row r="9" spans="1:10" x14ac:dyDescent="0.25">
      <c r="A9" s="189">
        <v>1</v>
      </c>
      <c r="B9" s="190" t="s">
        <v>93</v>
      </c>
      <c r="C9" s="43"/>
      <c r="D9" s="45"/>
      <c r="E9" s="46">
        <v>1063639.72</v>
      </c>
      <c r="F9" s="191">
        <f>SUM(D9:E9)</f>
        <v>1063639.72</v>
      </c>
      <c r="G9" s="45"/>
      <c r="H9" s="46">
        <f>TOTAL!E10</f>
        <v>884669.60000000009</v>
      </c>
      <c r="I9" s="192">
        <f t="shared" ref="I9:I15" si="0">SUM(G9:H9)</f>
        <v>884669.60000000009</v>
      </c>
      <c r="J9" s="195">
        <f t="shared" ref="J9:J16" si="1">IF(F9=0,"",(I9-F9)/F9*100)</f>
        <v>-16.826197502289581</v>
      </c>
    </row>
    <row r="10" spans="1:10" ht="26" hidden="1" x14ac:dyDescent="0.25">
      <c r="A10" s="193">
        <v>2</v>
      </c>
      <c r="B10" s="194" t="s">
        <v>107</v>
      </c>
      <c r="C10" s="43"/>
      <c r="D10" s="45"/>
      <c r="E10" s="46"/>
      <c r="F10" s="191">
        <f t="shared" ref="F10:F15" si="2">SUM(D10:E10)</f>
        <v>0</v>
      </c>
      <c r="G10" s="130"/>
      <c r="H10" s="46">
        <f>TOTAL!E11</f>
        <v>0</v>
      </c>
      <c r="I10" s="192">
        <f t="shared" si="0"/>
        <v>0</v>
      </c>
      <c r="J10" s="195" t="str">
        <f t="shared" si="1"/>
        <v/>
      </c>
    </row>
    <row r="11" spans="1:10" ht="26" hidden="1" x14ac:dyDescent="0.25">
      <c r="A11" s="196">
        <v>3</v>
      </c>
      <c r="B11" s="197" t="s">
        <v>92</v>
      </c>
      <c r="C11" s="44"/>
      <c r="D11" s="47"/>
      <c r="E11" s="46"/>
      <c r="F11" s="198">
        <f t="shared" si="2"/>
        <v>0</v>
      </c>
      <c r="G11" s="47"/>
      <c r="H11" s="46">
        <f>TOTAL!E12</f>
        <v>0</v>
      </c>
      <c r="I11" s="199">
        <f t="shared" si="0"/>
        <v>0</v>
      </c>
      <c r="J11" s="195" t="str">
        <f t="shared" si="1"/>
        <v/>
      </c>
    </row>
    <row r="12" spans="1:10" hidden="1" x14ac:dyDescent="0.25">
      <c r="A12" s="196">
        <v>4</v>
      </c>
      <c r="B12" s="197" t="s">
        <v>25</v>
      </c>
      <c r="C12" s="44"/>
      <c r="D12" s="47"/>
      <c r="E12" s="46"/>
      <c r="F12" s="198">
        <f t="shared" si="2"/>
        <v>0</v>
      </c>
      <c r="G12" s="47"/>
      <c r="H12" s="46">
        <f>TOTAL!E13</f>
        <v>0</v>
      </c>
      <c r="I12" s="199">
        <f t="shared" si="0"/>
        <v>0</v>
      </c>
      <c r="J12" s="195" t="str">
        <f t="shared" si="1"/>
        <v/>
      </c>
    </row>
    <row r="13" spans="1:10" ht="26" hidden="1" x14ac:dyDescent="0.25">
      <c r="A13" s="196">
        <v>5</v>
      </c>
      <c r="B13" s="197" t="s">
        <v>133</v>
      </c>
      <c r="C13" s="44"/>
      <c r="D13" s="47"/>
      <c r="E13" s="46"/>
      <c r="F13" s="198">
        <f t="shared" si="2"/>
        <v>0</v>
      </c>
      <c r="G13" s="47"/>
      <c r="H13" s="46">
        <f>TOTAL!E14</f>
        <v>0</v>
      </c>
      <c r="I13" s="199">
        <f t="shared" si="0"/>
        <v>0</v>
      </c>
      <c r="J13" s="195" t="str">
        <f t="shared" si="1"/>
        <v/>
      </c>
    </row>
    <row r="14" spans="1:10" x14ac:dyDescent="0.25">
      <c r="A14" s="196">
        <v>6</v>
      </c>
      <c r="B14" s="197" t="s">
        <v>69</v>
      </c>
      <c r="C14" s="44"/>
      <c r="D14" s="47"/>
      <c r="E14" s="46">
        <v>34912.120000000003</v>
      </c>
      <c r="F14" s="198">
        <f t="shared" si="2"/>
        <v>34912.120000000003</v>
      </c>
      <c r="G14" s="47"/>
      <c r="H14" s="46">
        <f>TOTAL!E15</f>
        <v>20330.78</v>
      </c>
      <c r="I14" s="199">
        <f t="shared" si="0"/>
        <v>20330.78</v>
      </c>
      <c r="J14" s="195">
        <f t="shared" si="1"/>
        <v>-41.765839484969696</v>
      </c>
    </row>
    <row r="15" spans="1:10" ht="16" thickBot="1" x14ac:dyDescent="0.3">
      <c r="A15" s="196">
        <v>7</v>
      </c>
      <c r="B15" s="197" t="s">
        <v>31</v>
      </c>
      <c r="C15" s="44"/>
      <c r="D15" s="47"/>
      <c r="E15" s="46">
        <v>0</v>
      </c>
      <c r="F15" s="198">
        <f t="shared" si="2"/>
        <v>0</v>
      </c>
      <c r="G15" s="47"/>
      <c r="H15" s="46">
        <f>TOTAL!E16</f>
        <v>61683.39</v>
      </c>
      <c r="I15" s="199">
        <f t="shared" si="0"/>
        <v>61683.39</v>
      </c>
      <c r="J15" s="200" t="str">
        <f>IF(F15=0,"",(I15-F15)/F15*100)</f>
        <v/>
      </c>
    </row>
    <row r="16" spans="1:10" ht="16" thickBot="1" x14ac:dyDescent="0.3">
      <c r="A16" s="270" t="s">
        <v>3</v>
      </c>
      <c r="B16" s="271"/>
      <c r="C16" s="271"/>
      <c r="D16" s="161">
        <f t="shared" ref="D16:I16" si="3">SUM(D9:D15)</f>
        <v>0</v>
      </c>
      <c r="E16" s="162">
        <f t="shared" si="3"/>
        <v>1098551.8400000001</v>
      </c>
      <c r="F16" s="163">
        <f t="shared" si="3"/>
        <v>1098551.8400000001</v>
      </c>
      <c r="G16" s="161">
        <f t="shared" si="3"/>
        <v>0</v>
      </c>
      <c r="H16" s="162">
        <f t="shared" si="3"/>
        <v>966683.77000000014</v>
      </c>
      <c r="I16" s="164">
        <f t="shared" si="3"/>
        <v>966683.77000000014</v>
      </c>
      <c r="J16" s="201">
        <f t="shared" si="1"/>
        <v>-12.00380948795279</v>
      </c>
    </row>
    <row r="17" spans="1:8" x14ac:dyDescent="0.25">
      <c r="A17" s="53"/>
      <c r="C17" s="52"/>
      <c r="D17" s="52"/>
      <c r="E17" s="52"/>
      <c r="F17" s="52"/>
      <c r="G17" s="52"/>
      <c r="H17" s="52"/>
    </row>
    <row r="18" spans="1:8" x14ac:dyDescent="0.25">
      <c r="B18" s="50"/>
      <c r="C18" s="52"/>
      <c r="D18" s="52"/>
      <c r="E18" s="52"/>
      <c r="F18" s="52"/>
      <c r="G18" s="52"/>
      <c r="H18" s="52"/>
    </row>
  </sheetData>
  <sheetProtection insertRows="0"/>
  <protectedRanges>
    <protectedRange password="CC9E" sqref="A17 A18:B65533 A1:B16 C1:IT65533" name="Rango2"/>
  </protectedRanges>
  <mergeCells count="5">
    <mergeCell ref="C1:H1"/>
    <mergeCell ref="A7:A8"/>
    <mergeCell ref="A16:C16"/>
    <mergeCell ref="D7:F7"/>
    <mergeCell ref="G7:I7"/>
  </mergeCells>
  <phoneticPr fontId="2" type="noConversion"/>
  <pageMargins left="0.78" right="0.39370078740157483" top="0.38" bottom="0.62" header="0" footer="0.3"/>
  <pageSetup paperSize="9" scale="55" orientation="portrait" r:id="rId1"/>
  <headerFooter alignWithMargins="0">
    <oddFooter xml:space="preserve">&amp;CP. &amp;P / &amp;N
</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J221"/>
  <sheetViews>
    <sheetView showGridLines="0" zoomScale="80" zoomScaleNormal="80" workbookViewId="0">
      <pane ySplit="6" topLeftCell="A13" activePane="bottomLeft" state="frozen"/>
      <selection pane="bottomLeft" activeCell="E14" sqref="E14"/>
    </sheetView>
  </sheetViews>
  <sheetFormatPr baseColWidth="10" defaultColWidth="11.453125" defaultRowHeight="14" x14ac:dyDescent="0.25"/>
  <cols>
    <col min="1" max="1" width="0.81640625" style="16" customWidth="1"/>
    <col min="2" max="2" width="1.1796875" style="16" customWidth="1"/>
    <col min="3" max="4" width="7.7265625" style="6" customWidth="1"/>
    <col min="5" max="5" width="53.6328125" style="6" customWidth="1"/>
    <col min="6" max="6" width="26.26953125" style="7" bestFit="1" customWidth="1"/>
    <col min="7" max="7" width="14.81640625" style="7" customWidth="1"/>
    <col min="8" max="8" width="75.1796875" style="6" bestFit="1" customWidth="1"/>
    <col min="9" max="11" width="18.81640625" style="6" customWidth="1"/>
    <col min="12" max="12" width="16.7265625" style="16" bestFit="1" customWidth="1"/>
    <col min="13" max="13" width="66.54296875" style="16" customWidth="1"/>
    <col min="14" max="36" width="11.453125" style="16"/>
    <col min="37" max="16384" width="11.453125" style="6"/>
  </cols>
  <sheetData>
    <row r="1" spans="3:15" s="15" customFormat="1" ht="64.5" customHeight="1" x14ac:dyDescent="0.25">
      <c r="F1" s="267"/>
      <c r="G1" s="267"/>
      <c r="H1" s="267"/>
      <c r="I1" s="28"/>
      <c r="J1" s="28"/>
      <c r="K1" s="28"/>
      <c r="L1" s="11"/>
      <c r="M1" s="11"/>
      <c r="N1" s="11"/>
      <c r="O1" s="11"/>
    </row>
    <row r="2" spans="3:15" s="15" customFormat="1" ht="20.25" customHeight="1" x14ac:dyDescent="0.25">
      <c r="F2" s="209"/>
      <c r="G2" s="28"/>
      <c r="H2" s="28"/>
      <c r="I2" s="28"/>
      <c r="J2" s="28"/>
      <c r="K2" s="28"/>
      <c r="L2" s="11"/>
      <c r="M2" s="11"/>
      <c r="N2" s="11"/>
      <c r="O2" s="11"/>
    </row>
    <row r="3" spans="3:15" s="15" customFormat="1" ht="20.25" customHeight="1" x14ac:dyDescent="0.25">
      <c r="C3" s="96" t="s">
        <v>148</v>
      </c>
      <c r="F3" s="209"/>
      <c r="G3" s="28"/>
      <c r="H3" s="28"/>
      <c r="I3" s="28"/>
      <c r="J3" s="28"/>
      <c r="K3" s="28"/>
      <c r="L3" s="11"/>
      <c r="M3" s="11"/>
      <c r="N3" s="11"/>
      <c r="O3" s="11"/>
    </row>
    <row r="4" spans="3:15" ht="14.5" thickBot="1" x14ac:dyDescent="0.3">
      <c r="C4" s="17"/>
      <c r="D4" s="17"/>
      <c r="E4" s="17"/>
      <c r="F4" s="17"/>
      <c r="G4" s="17"/>
      <c r="H4" s="17"/>
      <c r="I4" s="18"/>
      <c r="J4" s="18"/>
      <c r="K4" s="18"/>
    </row>
    <row r="5" spans="3:15" s="20" customFormat="1" ht="30" customHeight="1" thickBot="1" x14ac:dyDescent="0.3">
      <c r="C5" s="289" t="s">
        <v>112</v>
      </c>
      <c r="D5" s="289"/>
      <c r="E5" s="289" t="s">
        <v>40</v>
      </c>
      <c r="F5" s="289" t="s">
        <v>41</v>
      </c>
      <c r="G5" s="289" t="s">
        <v>42</v>
      </c>
      <c r="H5" s="289" t="s">
        <v>43</v>
      </c>
      <c r="I5" s="289" t="s">
        <v>44</v>
      </c>
      <c r="J5" s="290"/>
      <c r="K5" s="290"/>
    </row>
    <row r="6" spans="3:15" s="20" customFormat="1" ht="30" customHeight="1" thickBot="1" x14ac:dyDescent="0.3">
      <c r="C6" s="290"/>
      <c r="D6" s="290"/>
      <c r="E6" s="290"/>
      <c r="F6" s="290"/>
      <c r="G6" s="290"/>
      <c r="H6" s="290"/>
      <c r="I6" s="165" t="s">
        <v>15</v>
      </c>
      <c r="J6" s="165" t="s">
        <v>45</v>
      </c>
      <c r="K6" s="165" t="s">
        <v>3</v>
      </c>
    </row>
    <row r="7" spans="3:15" s="20" customFormat="1" ht="17.25" customHeight="1" thickBot="1" x14ac:dyDescent="0.3">
      <c r="C7" s="324"/>
      <c r="D7" s="325"/>
      <c r="E7" s="325"/>
      <c r="F7" s="325"/>
      <c r="G7" s="325"/>
      <c r="H7" s="325"/>
      <c r="I7" s="325"/>
      <c r="J7" s="325"/>
      <c r="K7" s="326"/>
    </row>
    <row r="8" spans="3:15" s="20" customFormat="1" ht="17.25" customHeight="1" thickBot="1" x14ac:dyDescent="0.3">
      <c r="C8" s="284" t="s">
        <v>93</v>
      </c>
      <c r="D8" s="285"/>
      <c r="E8" s="285"/>
      <c r="F8" s="285"/>
      <c r="G8" s="285"/>
      <c r="H8" s="285"/>
      <c r="I8" s="285"/>
      <c r="J8" s="285"/>
      <c r="K8" s="286"/>
    </row>
    <row r="9" spans="3:15" ht="19.5" customHeight="1" thickBot="1" x14ac:dyDescent="0.3">
      <c r="C9" s="327">
        <v>1</v>
      </c>
      <c r="D9" s="328"/>
      <c r="E9" s="80" t="str">
        <f>Personal!C15</f>
        <v>ALEJANDRO NAVALON FERNANDEZ</v>
      </c>
      <c r="F9" s="29" t="s">
        <v>253</v>
      </c>
      <c r="G9" s="215">
        <v>2024</v>
      </c>
      <c r="H9" s="213" t="str">
        <f>Personal!D15</f>
        <v>Licenciado en Ingenería Informática</v>
      </c>
      <c r="I9" s="31"/>
      <c r="J9" s="206">
        <v>42747.6</v>
      </c>
      <c r="K9" s="32">
        <f>I9+J9</f>
        <v>42747.6</v>
      </c>
    </row>
    <row r="10" spans="3:15" ht="19.5" customHeight="1" thickBot="1" x14ac:dyDescent="0.3">
      <c r="C10" s="320">
        <f>C9+1</f>
        <v>2</v>
      </c>
      <c r="D10" s="321"/>
      <c r="E10" s="80" t="str">
        <f>Personal!C16</f>
        <v>ANDRES QUESADA MOLINERO</v>
      </c>
      <c r="F10" s="29" t="s">
        <v>253</v>
      </c>
      <c r="G10" s="215">
        <v>2024</v>
      </c>
      <c r="H10" s="213" t="str">
        <f>Personal!D16</f>
        <v>Diplomado en Ingenería Informática</v>
      </c>
      <c r="I10" s="31"/>
      <c r="J10" s="206">
        <v>45528.5</v>
      </c>
      <c r="K10" s="32">
        <f t="shared" ref="K10:K37" si="0">I10+J10</f>
        <v>45528.5</v>
      </c>
    </row>
    <row r="11" spans="3:15" ht="19.5" customHeight="1" thickBot="1" x14ac:dyDescent="0.3">
      <c r="C11" s="320">
        <f t="shared" ref="C11:C37" si="1">C10+1</f>
        <v>3</v>
      </c>
      <c r="D11" s="321"/>
      <c r="E11" s="80" t="str">
        <f>Personal!C17</f>
        <v>CRISTIAN PALAU TARRAGO</v>
      </c>
      <c r="F11" s="29" t="s">
        <v>253</v>
      </c>
      <c r="G11" s="215">
        <v>2024</v>
      </c>
      <c r="H11" s="213" t="str">
        <f>Personal!D17</f>
        <v>Graduado en Ingenería Informática</v>
      </c>
      <c r="I11" s="31"/>
      <c r="J11" s="206">
        <v>40678.199999999997</v>
      </c>
      <c r="K11" s="32">
        <f t="shared" si="0"/>
        <v>40678.199999999997</v>
      </c>
    </row>
    <row r="12" spans="3:15" ht="19.5" customHeight="1" thickBot="1" x14ac:dyDescent="0.3">
      <c r="C12" s="320">
        <f t="shared" si="1"/>
        <v>4</v>
      </c>
      <c r="D12" s="321"/>
      <c r="E12" s="80" t="str">
        <f>Personal!C18</f>
        <v>DANIEL CLARES MARTIN</v>
      </c>
      <c r="F12" s="29" t="s">
        <v>253</v>
      </c>
      <c r="G12" s="215">
        <v>2024</v>
      </c>
      <c r="H12" s="213" t="str">
        <f>Personal!D18</f>
        <v>Grado superior en aplicaciones web</v>
      </c>
      <c r="I12" s="31"/>
      <c r="J12" s="206">
        <v>20312.5</v>
      </c>
      <c r="K12" s="32">
        <f t="shared" si="0"/>
        <v>20312.5</v>
      </c>
    </row>
    <row r="13" spans="3:15" ht="19.5" customHeight="1" thickBot="1" x14ac:dyDescent="0.3">
      <c r="C13" s="320">
        <f t="shared" si="1"/>
        <v>5</v>
      </c>
      <c r="D13" s="321"/>
      <c r="E13" s="80" t="str">
        <f>Personal!C19</f>
        <v>DANIEL GUASCH PARRA</v>
      </c>
      <c r="F13" s="29" t="s">
        <v>253</v>
      </c>
      <c r="G13" s="215">
        <v>2024</v>
      </c>
      <c r="H13" s="213" t="str">
        <f>Personal!D19</f>
        <v>Grado superior en aplicaciones web</v>
      </c>
      <c r="I13" s="31"/>
      <c r="J13" s="206">
        <v>25110</v>
      </c>
      <c r="K13" s="32">
        <f t="shared" si="0"/>
        <v>25110</v>
      </c>
    </row>
    <row r="14" spans="3:15" ht="19.5" customHeight="1" thickBot="1" x14ac:dyDescent="0.3">
      <c r="C14" s="320">
        <f t="shared" si="1"/>
        <v>6</v>
      </c>
      <c r="D14" s="321"/>
      <c r="E14" s="80" t="str">
        <f>Personal!C20</f>
        <v>DAVID MARTINEZ PLANELLAS</v>
      </c>
      <c r="F14" s="29" t="s">
        <v>253</v>
      </c>
      <c r="G14" s="215">
        <v>2024</v>
      </c>
      <c r="H14" s="213" t="str">
        <f>Personal!D20</f>
        <v>Ingeniero técnico informático</v>
      </c>
      <c r="I14" s="31"/>
      <c r="J14" s="206">
        <v>11679.3</v>
      </c>
      <c r="K14" s="32">
        <f t="shared" si="0"/>
        <v>11679.3</v>
      </c>
    </row>
    <row r="15" spans="3:15" ht="19.5" customHeight="1" thickBot="1" x14ac:dyDescent="0.3">
      <c r="C15" s="320">
        <f t="shared" si="1"/>
        <v>7</v>
      </c>
      <c r="D15" s="321"/>
      <c r="E15" s="80" t="str">
        <f>Personal!C21</f>
        <v>DIDAC FERRER MARDONES</v>
      </c>
      <c r="F15" s="29" t="s">
        <v>253</v>
      </c>
      <c r="G15" s="215">
        <v>2024</v>
      </c>
      <c r="H15" s="213" t="str">
        <f>Personal!D21</f>
        <v>Grado superior en administración de sistemas</v>
      </c>
      <c r="I15" s="31"/>
      <c r="J15" s="206">
        <v>32520.5</v>
      </c>
      <c r="K15" s="32">
        <f t="shared" si="0"/>
        <v>32520.5</v>
      </c>
    </row>
    <row r="16" spans="3:15" ht="19.5" customHeight="1" thickBot="1" x14ac:dyDescent="0.3">
      <c r="C16" s="320">
        <f t="shared" si="1"/>
        <v>8</v>
      </c>
      <c r="D16" s="321"/>
      <c r="E16" s="80" t="str">
        <f>Personal!C22</f>
        <v>DIEGO JAVIER KORMES</v>
      </c>
      <c r="F16" s="29" t="s">
        <v>253</v>
      </c>
      <c r="G16" s="215">
        <v>2024</v>
      </c>
      <c r="H16" s="213" t="str">
        <f>Personal!D22</f>
        <v>Licenciado en Biología</v>
      </c>
      <c r="I16" s="31"/>
      <c r="J16" s="206">
        <v>47610.2</v>
      </c>
      <c r="K16" s="32">
        <f t="shared" si="0"/>
        <v>47610.2</v>
      </c>
    </row>
    <row r="17" spans="3:11" ht="19.5" customHeight="1" thickBot="1" x14ac:dyDescent="0.3">
      <c r="C17" s="320">
        <f t="shared" si="1"/>
        <v>9</v>
      </c>
      <c r="D17" s="321"/>
      <c r="E17" s="80" t="str">
        <f>Personal!C23</f>
        <v>ELOI VIVAS MARTINEZ</v>
      </c>
      <c r="F17" s="29" t="s">
        <v>253</v>
      </c>
      <c r="G17" s="215">
        <v>2024</v>
      </c>
      <c r="H17" s="213" t="str">
        <f>Personal!D23</f>
        <v>CFGS Desarrollo de Aplicaciones Multiplataforma</v>
      </c>
      <c r="I17" s="31"/>
      <c r="J17" s="206">
        <v>35568</v>
      </c>
      <c r="K17" s="32">
        <f t="shared" si="0"/>
        <v>35568</v>
      </c>
    </row>
    <row r="18" spans="3:11" ht="19.5" customHeight="1" thickBot="1" x14ac:dyDescent="0.3">
      <c r="C18" s="320">
        <f t="shared" si="1"/>
        <v>10</v>
      </c>
      <c r="D18" s="321"/>
      <c r="E18" s="80" t="str">
        <f>Personal!C24</f>
        <v>ERIK MOMPEAN RUIZ</v>
      </c>
      <c r="F18" s="29" t="s">
        <v>253</v>
      </c>
      <c r="G18" s="215">
        <v>2024</v>
      </c>
      <c r="H18" s="213" t="str">
        <f>Personal!D24</f>
        <v>Grado superior en aplicaciones multiplataforma</v>
      </c>
      <c r="I18" s="31"/>
      <c r="J18" s="206">
        <v>38443.35</v>
      </c>
      <c r="K18" s="32">
        <f t="shared" si="0"/>
        <v>38443.35</v>
      </c>
    </row>
    <row r="19" spans="3:11" ht="19.5" customHeight="1" thickBot="1" x14ac:dyDescent="0.3">
      <c r="C19" s="320">
        <f t="shared" si="1"/>
        <v>11</v>
      </c>
      <c r="D19" s="321"/>
      <c r="E19" s="80" t="str">
        <f>Personal!C25</f>
        <v>EYNAR ARNEZ ANDRADE</v>
      </c>
      <c r="F19" s="29" t="s">
        <v>253</v>
      </c>
      <c r="G19" s="215">
        <v>2024</v>
      </c>
      <c r="H19" s="213" t="str">
        <f>Personal!D25</f>
        <v>Grado superior Ingeniería Informatica</v>
      </c>
      <c r="I19" s="31"/>
      <c r="J19" s="206">
        <v>23101.200000000001</v>
      </c>
      <c r="K19" s="32">
        <f t="shared" si="0"/>
        <v>23101.200000000001</v>
      </c>
    </row>
    <row r="20" spans="3:11" ht="19.5" customHeight="1" thickBot="1" x14ac:dyDescent="0.3">
      <c r="C20" s="320">
        <f t="shared" si="1"/>
        <v>12</v>
      </c>
      <c r="D20" s="321"/>
      <c r="E20" s="80" t="str">
        <f>Personal!C26</f>
        <v>FRANCISCO JAVIE GINE VENTURA</v>
      </c>
      <c r="F20" s="29" t="s">
        <v>253</v>
      </c>
      <c r="G20" s="215">
        <v>2024</v>
      </c>
      <c r="H20" s="213" t="str">
        <f>Personal!D26</f>
        <v>Grado superior Ingeniería Informatica</v>
      </c>
      <c r="I20" s="31"/>
      <c r="J20" s="206">
        <v>12860</v>
      </c>
      <c r="K20" s="32">
        <f t="shared" si="0"/>
        <v>12860</v>
      </c>
    </row>
    <row r="21" spans="3:11" ht="19.5" customHeight="1" thickBot="1" x14ac:dyDescent="0.3">
      <c r="C21" s="320">
        <f t="shared" si="1"/>
        <v>13</v>
      </c>
      <c r="D21" s="321"/>
      <c r="E21" s="80" t="str">
        <f>Personal!C27</f>
        <v>JAVIER ALEJANDRO FUENTES</v>
      </c>
      <c r="F21" s="29" t="s">
        <v>253</v>
      </c>
      <c r="G21" s="215">
        <v>2024</v>
      </c>
      <c r="H21" s="213" t="str">
        <f>Personal!D27</f>
        <v>Diplomado en Analista de Sistemas</v>
      </c>
      <c r="I21" s="31"/>
      <c r="J21" s="206">
        <v>37002</v>
      </c>
      <c r="K21" s="32">
        <f t="shared" si="0"/>
        <v>37002</v>
      </c>
    </row>
    <row r="22" spans="3:11" ht="19.5" customHeight="1" thickBot="1" x14ac:dyDescent="0.3">
      <c r="C22" s="320">
        <f t="shared" si="1"/>
        <v>14</v>
      </c>
      <c r="D22" s="321"/>
      <c r="E22" s="80" t="str">
        <f>Personal!C28</f>
        <v>JAVIER ENRIQUE PINTO GONÇALVES</v>
      </c>
      <c r="F22" s="29" t="s">
        <v>253</v>
      </c>
      <c r="G22" s="215">
        <v>2024</v>
      </c>
      <c r="H22" s="213" t="str">
        <f>Personal!D28</f>
        <v>Graduado en Ingenería Informática</v>
      </c>
      <c r="I22" s="31"/>
      <c r="J22" s="206">
        <v>45667.199999999997</v>
      </c>
      <c r="K22" s="32">
        <f t="shared" si="0"/>
        <v>45667.199999999997</v>
      </c>
    </row>
    <row r="23" spans="3:11" ht="19.5" customHeight="1" thickBot="1" x14ac:dyDescent="0.3">
      <c r="C23" s="320">
        <f t="shared" si="1"/>
        <v>15</v>
      </c>
      <c r="D23" s="321"/>
      <c r="E23" s="80" t="str">
        <f>Personal!C29</f>
        <v>JAVIER PILLADO DOPICO</v>
      </c>
      <c r="F23" s="29" t="s">
        <v>253</v>
      </c>
      <c r="G23" s="215">
        <v>2024</v>
      </c>
      <c r="H23" s="213" t="s">
        <v>300</v>
      </c>
      <c r="I23" s="31"/>
      <c r="J23" s="206">
        <v>28893.200000000001</v>
      </c>
      <c r="K23" s="32">
        <f t="shared" si="0"/>
        <v>28893.200000000001</v>
      </c>
    </row>
    <row r="24" spans="3:11" ht="19.5" customHeight="1" thickBot="1" x14ac:dyDescent="0.3">
      <c r="C24" s="320">
        <f t="shared" si="1"/>
        <v>16</v>
      </c>
      <c r="D24" s="321"/>
      <c r="E24" s="80" t="str">
        <f>Personal!C30</f>
        <v>JEFFREY JOSE SOARES AFONSO</v>
      </c>
      <c r="F24" s="29" t="s">
        <v>253</v>
      </c>
      <c r="G24" s="215">
        <v>2024</v>
      </c>
      <c r="H24" s="213" t="str">
        <f>Personal!D30</f>
        <v>Graduado en Ingenería Informática</v>
      </c>
      <c r="I24" s="31"/>
      <c r="J24" s="206">
        <v>25556.25</v>
      </c>
      <c r="K24" s="32">
        <f t="shared" si="0"/>
        <v>25556.25</v>
      </c>
    </row>
    <row r="25" spans="3:11" ht="19.5" customHeight="1" thickBot="1" x14ac:dyDescent="0.3">
      <c r="C25" s="320">
        <f t="shared" si="1"/>
        <v>17</v>
      </c>
      <c r="D25" s="321"/>
      <c r="E25" s="80" t="str">
        <f>Personal!C31</f>
        <v>JESSICA PLA GARCIA</v>
      </c>
      <c r="F25" s="29" t="s">
        <v>253</v>
      </c>
      <c r="G25" s="215">
        <v>2024</v>
      </c>
      <c r="H25" s="213" t="str">
        <f>Personal!D31</f>
        <v>Graduado en Ingenería Informática</v>
      </c>
      <c r="I25" s="31"/>
      <c r="J25" s="206">
        <v>15730</v>
      </c>
      <c r="K25" s="32">
        <f t="shared" si="0"/>
        <v>15730</v>
      </c>
    </row>
    <row r="26" spans="3:11" ht="19.5" customHeight="1" thickBot="1" x14ac:dyDescent="0.3">
      <c r="C26" s="320">
        <f t="shared" si="1"/>
        <v>18</v>
      </c>
      <c r="D26" s="321"/>
      <c r="E26" s="80" t="str">
        <f>Personal!C32</f>
        <v>JORDI AVILES MARTOS</v>
      </c>
      <c r="F26" s="29" t="s">
        <v>253</v>
      </c>
      <c r="G26" s="215">
        <v>2024</v>
      </c>
      <c r="H26" s="213" t="str">
        <f>Personal!D32</f>
        <v>CFGS Desarrollo de Aplicaciones Multiplataforma</v>
      </c>
      <c r="I26" s="31"/>
      <c r="J26" s="206">
        <v>5507.5</v>
      </c>
      <c r="K26" s="32">
        <f t="shared" si="0"/>
        <v>5507.5</v>
      </c>
    </row>
    <row r="27" spans="3:11" ht="19.5" customHeight="1" thickBot="1" x14ac:dyDescent="0.3">
      <c r="C27" s="320">
        <f t="shared" si="1"/>
        <v>19</v>
      </c>
      <c r="D27" s="321"/>
      <c r="E27" s="80" t="str">
        <f>Personal!C33</f>
        <v>JUAN ANTONIO LAMA SAENZ</v>
      </c>
      <c r="F27" s="29" t="s">
        <v>253</v>
      </c>
      <c r="G27" s="215">
        <v>2024</v>
      </c>
      <c r="H27" s="213" t="str">
        <f>Personal!D33</f>
        <v>Diplomado en Ingenería Informática</v>
      </c>
      <c r="I27" s="31"/>
      <c r="J27" s="206">
        <v>83102.149999999994</v>
      </c>
      <c r="K27" s="32">
        <f t="shared" si="0"/>
        <v>83102.149999999994</v>
      </c>
    </row>
    <row r="28" spans="3:11" ht="19.5" customHeight="1" thickBot="1" x14ac:dyDescent="0.3">
      <c r="C28" s="320">
        <f t="shared" si="1"/>
        <v>20</v>
      </c>
      <c r="D28" s="321"/>
      <c r="E28" s="80" t="str">
        <f>Personal!C34</f>
        <v>JUAN GARCIA MURILLO</v>
      </c>
      <c r="F28" s="29" t="s">
        <v>253</v>
      </c>
      <c r="G28" s="215">
        <v>2024</v>
      </c>
      <c r="H28" s="213" t="str">
        <f>Personal!D34</f>
        <v>Diplomado en Ingenería Informática</v>
      </c>
      <c r="I28" s="31"/>
      <c r="J28" s="206">
        <v>39270</v>
      </c>
      <c r="K28" s="32">
        <f t="shared" si="0"/>
        <v>39270</v>
      </c>
    </row>
    <row r="29" spans="3:11" ht="19.5" customHeight="1" thickBot="1" x14ac:dyDescent="0.3">
      <c r="C29" s="320">
        <f t="shared" si="1"/>
        <v>21</v>
      </c>
      <c r="D29" s="321"/>
      <c r="E29" s="80" t="str">
        <f>Personal!C35</f>
        <v>LAURA ARROYO SANCHEZ</v>
      </c>
      <c r="F29" s="29" t="s">
        <v>253</v>
      </c>
      <c r="G29" s="215">
        <v>2024</v>
      </c>
      <c r="H29" s="213" t="str">
        <f>Personal!D35</f>
        <v>Licenciada en Ingenería Informática</v>
      </c>
      <c r="I29" s="31"/>
      <c r="J29" s="206">
        <v>23840</v>
      </c>
      <c r="K29" s="32">
        <f t="shared" si="0"/>
        <v>23840</v>
      </c>
    </row>
    <row r="30" spans="3:11" ht="19.5" customHeight="1" thickBot="1" x14ac:dyDescent="0.3">
      <c r="C30" s="320">
        <f t="shared" si="1"/>
        <v>22</v>
      </c>
      <c r="D30" s="321"/>
      <c r="E30" s="80" t="str">
        <f>Personal!C36</f>
        <v>LUCIANO BURGOS LOMBARDI</v>
      </c>
      <c r="F30" s="29" t="s">
        <v>253</v>
      </c>
      <c r="G30" s="215">
        <v>2024</v>
      </c>
      <c r="H30" s="213" t="str">
        <f>Personal!D36</f>
        <v>Graduado en Física</v>
      </c>
      <c r="I30" s="31"/>
      <c r="J30" s="206">
        <v>16946.3</v>
      </c>
      <c r="K30" s="32">
        <f t="shared" si="0"/>
        <v>16946.3</v>
      </c>
    </row>
    <row r="31" spans="3:11" ht="19.5" customHeight="1" thickBot="1" x14ac:dyDescent="0.3">
      <c r="C31" s="320">
        <f t="shared" si="1"/>
        <v>23</v>
      </c>
      <c r="D31" s="321"/>
      <c r="E31" s="80" t="str">
        <f>Personal!C37</f>
        <v>LUIS CASAMAJOR PALOMA</v>
      </c>
      <c r="F31" s="29" t="s">
        <v>253</v>
      </c>
      <c r="G31" s="215">
        <v>2024</v>
      </c>
      <c r="H31" s="213" t="str">
        <f>Personal!D37</f>
        <v>CFGS Desarrollo de Aplicaciones Multiplataforma</v>
      </c>
      <c r="I31" s="31"/>
      <c r="J31" s="206">
        <v>28186.5</v>
      </c>
      <c r="K31" s="32">
        <f t="shared" si="0"/>
        <v>28186.5</v>
      </c>
    </row>
    <row r="32" spans="3:11" ht="19.5" customHeight="1" thickBot="1" x14ac:dyDescent="0.3">
      <c r="C32" s="320">
        <f t="shared" si="1"/>
        <v>24</v>
      </c>
      <c r="D32" s="321"/>
      <c r="E32" s="80" t="str">
        <f>Personal!C38</f>
        <v>MARC MATEO PRATS</v>
      </c>
      <c r="F32" s="29" t="s">
        <v>253</v>
      </c>
      <c r="G32" s="215">
        <v>2024</v>
      </c>
      <c r="H32" s="213" t="str">
        <f>Personal!D38</f>
        <v>Grado en Ingenería Informática</v>
      </c>
      <c r="I32" s="31"/>
      <c r="J32" s="206">
        <v>16648.8</v>
      </c>
      <c r="K32" s="32">
        <f t="shared" si="0"/>
        <v>16648.8</v>
      </c>
    </row>
    <row r="33" spans="3:11" ht="19.5" customHeight="1" thickBot="1" x14ac:dyDescent="0.3">
      <c r="C33" s="320">
        <f t="shared" si="1"/>
        <v>25</v>
      </c>
      <c r="D33" s="321"/>
      <c r="E33" s="80" t="str">
        <f>Personal!C39</f>
        <v>MARTA TOMAS PARIS</v>
      </c>
      <c r="F33" s="29" t="s">
        <v>253</v>
      </c>
      <c r="G33" s="215">
        <v>2024</v>
      </c>
      <c r="H33" s="213" t="str">
        <f>Personal!D39</f>
        <v>Diplomado en Ingenería Informática</v>
      </c>
      <c r="I33" s="31"/>
      <c r="J33" s="206">
        <v>33888.400000000001</v>
      </c>
      <c r="K33" s="32">
        <f t="shared" si="0"/>
        <v>33888.400000000001</v>
      </c>
    </row>
    <row r="34" spans="3:11" ht="19.5" customHeight="1" thickBot="1" x14ac:dyDescent="0.3">
      <c r="C34" s="320">
        <f t="shared" si="1"/>
        <v>26</v>
      </c>
      <c r="D34" s="321"/>
      <c r="E34" s="80" t="str">
        <f>Personal!C40</f>
        <v>ORIOL BERNADAS CIURANA</v>
      </c>
      <c r="F34" s="29" t="s">
        <v>253</v>
      </c>
      <c r="G34" s="215">
        <v>2024</v>
      </c>
      <c r="H34" s="213" t="str">
        <f>Personal!D40</f>
        <v>Grado superior en aplicaciones web</v>
      </c>
      <c r="I34" s="31"/>
      <c r="J34" s="206">
        <v>33915</v>
      </c>
      <c r="K34" s="32">
        <f t="shared" si="0"/>
        <v>33915</v>
      </c>
    </row>
    <row r="35" spans="3:11" ht="19.5" customHeight="1" thickBot="1" x14ac:dyDescent="0.3">
      <c r="C35" s="320">
        <f t="shared" si="1"/>
        <v>27</v>
      </c>
      <c r="D35" s="321"/>
      <c r="E35" s="80" t="str">
        <f>Personal!C41</f>
        <v>POL CAMPS CASTRO</v>
      </c>
      <c r="F35" s="29" t="s">
        <v>253</v>
      </c>
      <c r="G35" s="215">
        <v>2024</v>
      </c>
      <c r="H35" s="213" t="str">
        <f>Personal!D41</f>
        <v>Grado de Ingeniería en Tecnologias Industriales</v>
      </c>
      <c r="I35" s="31"/>
      <c r="J35" s="206">
        <v>22762.95</v>
      </c>
      <c r="K35" s="32">
        <f t="shared" si="0"/>
        <v>22762.95</v>
      </c>
    </row>
    <row r="36" spans="3:11" ht="19.5" customHeight="1" thickBot="1" x14ac:dyDescent="0.3">
      <c r="C36" s="320">
        <f t="shared" si="1"/>
        <v>28</v>
      </c>
      <c r="D36" s="321"/>
      <c r="E36" s="80" t="str">
        <f>Personal!C42</f>
        <v>RAFAEL FRIAS TORIBIO</v>
      </c>
      <c r="F36" s="29" t="s">
        <v>253</v>
      </c>
      <c r="G36" s="215">
        <v>2024</v>
      </c>
      <c r="H36" s="213" t="str">
        <f>Personal!D42</f>
        <v>FP Administración de Sistemas</v>
      </c>
      <c r="I36" s="31"/>
      <c r="J36" s="206">
        <v>15636</v>
      </c>
      <c r="K36" s="32">
        <f t="shared" si="0"/>
        <v>15636</v>
      </c>
    </row>
    <row r="37" spans="3:11" ht="19.5" customHeight="1" thickBot="1" x14ac:dyDescent="0.3">
      <c r="C37" s="320">
        <f t="shared" si="1"/>
        <v>29</v>
      </c>
      <c r="D37" s="321"/>
      <c r="E37" s="80" t="str">
        <f>Personal!C43</f>
        <v>VICTOR GOMEZ REYES</v>
      </c>
      <c r="F37" s="29" t="s">
        <v>253</v>
      </c>
      <c r="G37" s="215">
        <v>2024</v>
      </c>
      <c r="H37" s="213" t="str">
        <f>Personal!D43</f>
        <v>Licenciado en Ingenería Informática</v>
      </c>
      <c r="I37" s="31"/>
      <c r="J37" s="206">
        <v>35958</v>
      </c>
      <c r="K37" s="32">
        <f t="shared" si="0"/>
        <v>35958</v>
      </c>
    </row>
    <row r="38" spans="3:11" s="21" customFormat="1" ht="19.5" customHeight="1" thickBot="1" x14ac:dyDescent="0.3">
      <c r="C38" s="216" t="s">
        <v>39</v>
      </c>
      <c r="D38" s="315"/>
      <c r="E38" s="315"/>
      <c r="F38" s="315"/>
      <c r="G38" s="315"/>
      <c r="H38" s="317"/>
      <c r="I38" s="166">
        <f>SUM(I9:I37)</f>
        <v>0</v>
      </c>
      <c r="J38" s="166">
        <f>SUM(J9:J37)</f>
        <v>884669.60000000009</v>
      </c>
      <c r="K38" s="166">
        <f>SUM(K9:K37)</f>
        <v>884669.60000000009</v>
      </c>
    </row>
    <row r="39" spans="3:11" s="20" customFormat="1" ht="17.25" customHeight="1" thickBot="1" x14ac:dyDescent="0.3">
      <c r="C39" s="324"/>
      <c r="D39" s="331"/>
      <c r="E39" s="331"/>
      <c r="F39" s="331"/>
      <c r="G39" s="331"/>
      <c r="H39" s="331"/>
      <c r="I39" s="331"/>
      <c r="J39" s="325"/>
      <c r="K39" s="326"/>
    </row>
    <row r="40" spans="3:11" s="20" customFormat="1" ht="17.25" hidden="1" customHeight="1" thickBot="1" x14ac:dyDescent="0.3">
      <c r="C40" s="329" t="s">
        <v>94</v>
      </c>
      <c r="D40" s="330"/>
      <c r="E40" s="330"/>
      <c r="F40" s="330"/>
      <c r="G40" s="330"/>
      <c r="H40" s="330"/>
      <c r="I40" s="330"/>
      <c r="J40" s="330"/>
      <c r="K40" s="330"/>
    </row>
    <row r="41" spans="3:11" ht="19.5" hidden="1" customHeight="1" x14ac:dyDescent="0.25">
      <c r="C41" s="322">
        <v>1</v>
      </c>
      <c r="D41" s="323"/>
      <c r="E41" s="25"/>
      <c r="F41" s="9"/>
      <c r="G41" s="8"/>
      <c r="H41" s="40"/>
      <c r="I41" s="34"/>
      <c r="J41" s="35"/>
      <c r="K41" s="32">
        <f>I41</f>
        <v>0</v>
      </c>
    </row>
    <row r="42" spans="3:11" ht="19.5" hidden="1" customHeight="1" x14ac:dyDescent="0.25">
      <c r="C42" s="332">
        <f t="shared" ref="C42:C50" si="2">C41+1</f>
        <v>2</v>
      </c>
      <c r="D42" s="333"/>
      <c r="E42" s="23"/>
      <c r="F42" s="9"/>
      <c r="G42" s="8"/>
      <c r="H42" s="41"/>
      <c r="I42" s="32"/>
      <c r="J42" s="36"/>
      <c r="K42" s="32">
        <f t="shared" ref="K42:K50" si="3">I42</f>
        <v>0</v>
      </c>
    </row>
    <row r="43" spans="3:11" ht="19.5" hidden="1" customHeight="1" x14ac:dyDescent="0.25">
      <c r="C43" s="332">
        <f t="shared" si="2"/>
        <v>3</v>
      </c>
      <c r="D43" s="333"/>
      <c r="E43" s="23"/>
      <c r="F43" s="9"/>
      <c r="G43" s="8"/>
      <c r="H43" s="30"/>
      <c r="I43" s="32"/>
      <c r="J43" s="36"/>
      <c r="K43" s="32">
        <f t="shared" si="3"/>
        <v>0</v>
      </c>
    </row>
    <row r="44" spans="3:11" ht="19.5" hidden="1" customHeight="1" x14ac:dyDescent="0.25">
      <c r="C44" s="332">
        <f t="shared" si="2"/>
        <v>4</v>
      </c>
      <c r="D44" s="333"/>
      <c r="E44" s="23"/>
      <c r="F44" s="9"/>
      <c r="G44" s="8"/>
      <c r="H44" s="30"/>
      <c r="I44" s="32"/>
      <c r="J44" s="36"/>
      <c r="K44" s="32">
        <f t="shared" si="3"/>
        <v>0</v>
      </c>
    </row>
    <row r="45" spans="3:11" ht="19.5" hidden="1" customHeight="1" x14ac:dyDescent="0.25">
      <c r="C45" s="332">
        <f t="shared" si="2"/>
        <v>5</v>
      </c>
      <c r="D45" s="333"/>
      <c r="E45" s="23"/>
      <c r="F45" s="9"/>
      <c r="G45" s="8"/>
      <c r="H45" s="30"/>
      <c r="I45" s="32"/>
      <c r="J45" s="36"/>
      <c r="K45" s="32">
        <f t="shared" si="3"/>
        <v>0</v>
      </c>
    </row>
    <row r="46" spans="3:11" ht="19.5" hidden="1" customHeight="1" x14ac:dyDescent="0.25">
      <c r="C46" s="332">
        <f t="shared" si="2"/>
        <v>6</v>
      </c>
      <c r="D46" s="333"/>
      <c r="E46" s="23"/>
      <c r="F46" s="9"/>
      <c r="G46" s="8"/>
      <c r="H46" s="30"/>
      <c r="I46" s="32"/>
      <c r="J46" s="36"/>
      <c r="K46" s="32">
        <f t="shared" si="3"/>
        <v>0</v>
      </c>
    </row>
    <row r="47" spans="3:11" ht="19.5" hidden="1" customHeight="1" x14ac:dyDescent="0.25">
      <c r="C47" s="332">
        <f t="shared" si="2"/>
        <v>7</v>
      </c>
      <c r="D47" s="333"/>
      <c r="E47" s="23"/>
      <c r="F47" s="9"/>
      <c r="G47" s="8"/>
      <c r="H47" s="30"/>
      <c r="I47" s="32"/>
      <c r="J47" s="36"/>
      <c r="K47" s="32">
        <f t="shared" si="3"/>
        <v>0</v>
      </c>
    </row>
    <row r="48" spans="3:11" ht="19.5" hidden="1" customHeight="1" x14ac:dyDescent="0.25">
      <c r="C48" s="332">
        <f t="shared" si="2"/>
        <v>8</v>
      </c>
      <c r="D48" s="333"/>
      <c r="E48" s="23"/>
      <c r="F48" s="9"/>
      <c r="G48" s="8"/>
      <c r="H48" s="30"/>
      <c r="I48" s="32"/>
      <c r="J48" s="36"/>
      <c r="K48" s="32">
        <f t="shared" si="3"/>
        <v>0</v>
      </c>
    </row>
    <row r="49" spans="3:11" ht="19.5" hidden="1" customHeight="1" x14ac:dyDescent="0.25">
      <c r="C49" s="332">
        <f t="shared" si="2"/>
        <v>9</v>
      </c>
      <c r="D49" s="333"/>
      <c r="E49" s="23"/>
      <c r="F49" s="9"/>
      <c r="G49" s="8"/>
      <c r="H49" s="30"/>
      <c r="I49" s="32"/>
      <c r="J49" s="36"/>
      <c r="K49" s="32">
        <f t="shared" si="3"/>
        <v>0</v>
      </c>
    </row>
    <row r="50" spans="3:11" ht="19.5" hidden="1" customHeight="1" thickBot="1" x14ac:dyDescent="0.3">
      <c r="C50" s="332">
        <f t="shared" si="2"/>
        <v>10</v>
      </c>
      <c r="D50" s="333"/>
      <c r="E50" s="24"/>
      <c r="F50" s="9"/>
      <c r="G50" s="8"/>
      <c r="H50" s="30"/>
      <c r="I50" s="37"/>
      <c r="J50" s="36"/>
      <c r="K50" s="32">
        <f t="shared" si="3"/>
        <v>0</v>
      </c>
    </row>
    <row r="51" spans="3:11" s="21" customFormat="1" ht="19.5" hidden="1" customHeight="1" thickBot="1" x14ac:dyDescent="0.3">
      <c r="C51" s="216" t="s">
        <v>39</v>
      </c>
      <c r="D51" s="282"/>
      <c r="E51" s="282"/>
      <c r="F51" s="282"/>
      <c r="G51" s="282"/>
      <c r="H51" s="283"/>
      <c r="I51" s="166">
        <f>SUM(I41:I50)</f>
        <v>0</v>
      </c>
      <c r="J51" s="38"/>
      <c r="K51" s="166">
        <f>SUM(K41:K50)</f>
        <v>0</v>
      </c>
    </row>
    <row r="52" spans="3:11" s="21" customFormat="1" ht="19.5" hidden="1" customHeight="1" thickBot="1" x14ac:dyDescent="0.3">
      <c r="C52" s="293"/>
      <c r="D52" s="294"/>
      <c r="E52" s="294"/>
      <c r="F52" s="294"/>
      <c r="G52" s="294"/>
      <c r="H52" s="294"/>
      <c r="I52" s="294"/>
      <c r="J52" s="295"/>
      <c r="K52" s="295"/>
    </row>
    <row r="53" spans="3:11" s="21" customFormat="1" ht="32.25" hidden="1" customHeight="1" thickBot="1" x14ac:dyDescent="0.3">
      <c r="C53" s="289" t="s">
        <v>112</v>
      </c>
      <c r="D53" s="289"/>
      <c r="E53" s="289" t="s">
        <v>46</v>
      </c>
      <c r="F53" s="289" t="s">
        <v>47</v>
      </c>
      <c r="G53" s="289" t="s">
        <v>42</v>
      </c>
      <c r="H53" s="289" t="s">
        <v>33</v>
      </c>
      <c r="I53" s="289" t="s">
        <v>44</v>
      </c>
      <c r="J53" s="290"/>
      <c r="K53" s="290"/>
    </row>
    <row r="54" spans="3:11" s="21" customFormat="1" ht="30.75" hidden="1" customHeight="1" thickBot="1" x14ac:dyDescent="0.3">
      <c r="C54" s="290"/>
      <c r="D54" s="290"/>
      <c r="E54" s="290"/>
      <c r="F54" s="290"/>
      <c r="G54" s="290"/>
      <c r="H54" s="290"/>
      <c r="I54" s="165" t="s">
        <v>15</v>
      </c>
      <c r="J54" s="165" t="s">
        <v>45</v>
      </c>
      <c r="K54" s="165" t="s">
        <v>3</v>
      </c>
    </row>
    <row r="55" spans="3:11" s="20" customFormat="1" ht="17.25" hidden="1" customHeight="1" thickBot="1" x14ac:dyDescent="0.3">
      <c r="C55" s="293"/>
      <c r="D55" s="294"/>
      <c r="E55" s="294"/>
      <c r="F55" s="294"/>
      <c r="G55" s="294"/>
      <c r="H55" s="294"/>
      <c r="I55" s="294"/>
      <c r="J55" s="295"/>
      <c r="K55" s="295"/>
    </row>
    <row r="56" spans="3:11" s="20" customFormat="1" ht="17.25" hidden="1" customHeight="1" thickBot="1" x14ac:dyDescent="0.3">
      <c r="C56" s="284" t="s">
        <v>95</v>
      </c>
      <c r="D56" s="285"/>
      <c r="E56" s="285"/>
      <c r="F56" s="285"/>
      <c r="G56" s="285"/>
      <c r="H56" s="285"/>
      <c r="I56" s="285"/>
      <c r="J56" s="285"/>
      <c r="K56" s="286"/>
    </row>
    <row r="57" spans="3:11" ht="19.5" hidden="1" customHeight="1" x14ac:dyDescent="0.25">
      <c r="C57" s="301">
        <v>1</v>
      </c>
      <c r="D57" s="302"/>
      <c r="E57" s="25"/>
      <c r="F57" s="9"/>
      <c r="G57" s="8"/>
      <c r="H57" s="29"/>
      <c r="I57" s="34"/>
      <c r="J57" s="32"/>
      <c r="K57" s="32">
        <f>I57+J57</f>
        <v>0</v>
      </c>
    </row>
    <row r="58" spans="3:11" ht="19.5" hidden="1" customHeight="1" x14ac:dyDescent="0.25">
      <c r="C58" s="287">
        <f t="shared" ref="C58:C66" si="4">C57+1</f>
        <v>2</v>
      </c>
      <c r="D58" s="288"/>
      <c r="E58" s="23"/>
      <c r="F58" s="9"/>
      <c r="G58" s="8"/>
      <c r="H58" s="29"/>
      <c r="I58" s="32"/>
      <c r="J58" s="33"/>
      <c r="K58" s="32">
        <f t="shared" ref="K58:K66" si="5">I58+J58</f>
        <v>0</v>
      </c>
    </row>
    <row r="59" spans="3:11" ht="19.5" hidden="1" customHeight="1" x14ac:dyDescent="0.25">
      <c r="C59" s="287">
        <f t="shared" si="4"/>
        <v>3</v>
      </c>
      <c r="D59" s="288"/>
      <c r="E59" s="23"/>
      <c r="F59" s="9"/>
      <c r="G59" s="8"/>
      <c r="H59" s="29"/>
      <c r="I59" s="32"/>
      <c r="J59" s="33"/>
      <c r="K59" s="32">
        <f t="shared" si="5"/>
        <v>0</v>
      </c>
    </row>
    <row r="60" spans="3:11" ht="19.5" hidden="1" customHeight="1" x14ac:dyDescent="0.25">
      <c r="C60" s="287">
        <f t="shared" si="4"/>
        <v>4</v>
      </c>
      <c r="D60" s="288"/>
      <c r="E60" s="23"/>
      <c r="F60" s="9"/>
      <c r="G60" s="8"/>
      <c r="H60" s="29"/>
      <c r="I60" s="32"/>
      <c r="J60" s="33"/>
      <c r="K60" s="32">
        <f t="shared" si="5"/>
        <v>0</v>
      </c>
    </row>
    <row r="61" spans="3:11" ht="19.5" hidden="1" customHeight="1" x14ac:dyDescent="0.25">
      <c r="C61" s="287">
        <f t="shared" si="4"/>
        <v>5</v>
      </c>
      <c r="D61" s="288"/>
      <c r="E61" s="23"/>
      <c r="F61" s="9"/>
      <c r="G61" s="8"/>
      <c r="H61" s="29"/>
      <c r="I61" s="32"/>
      <c r="J61" s="33"/>
      <c r="K61" s="32">
        <f t="shared" si="5"/>
        <v>0</v>
      </c>
    </row>
    <row r="62" spans="3:11" ht="19.5" hidden="1" customHeight="1" x14ac:dyDescent="0.25">
      <c r="C62" s="287">
        <f t="shared" si="4"/>
        <v>6</v>
      </c>
      <c r="D62" s="288"/>
      <c r="E62" s="23"/>
      <c r="F62" s="9"/>
      <c r="G62" s="8"/>
      <c r="H62" s="29"/>
      <c r="I62" s="32"/>
      <c r="J62" s="33"/>
      <c r="K62" s="32">
        <f t="shared" si="5"/>
        <v>0</v>
      </c>
    </row>
    <row r="63" spans="3:11" ht="19.5" hidden="1" customHeight="1" x14ac:dyDescent="0.25">
      <c r="C63" s="287">
        <f t="shared" si="4"/>
        <v>7</v>
      </c>
      <c r="D63" s="288"/>
      <c r="E63" s="23"/>
      <c r="F63" s="9"/>
      <c r="G63" s="8"/>
      <c r="H63" s="29"/>
      <c r="I63" s="32"/>
      <c r="J63" s="33"/>
      <c r="K63" s="32">
        <f t="shared" si="5"/>
        <v>0</v>
      </c>
    </row>
    <row r="64" spans="3:11" ht="19.5" hidden="1" customHeight="1" x14ac:dyDescent="0.25">
      <c r="C64" s="287">
        <f t="shared" si="4"/>
        <v>8</v>
      </c>
      <c r="D64" s="288"/>
      <c r="E64" s="23"/>
      <c r="F64" s="9"/>
      <c r="G64" s="8"/>
      <c r="H64" s="29"/>
      <c r="I64" s="32"/>
      <c r="J64" s="33"/>
      <c r="K64" s="32">
        <f t="shared" si="5"/>
        <v>0</v>
      </c>
    </row>
    <row r="65" spans="3:11" ht="19.5" hidden="1" customHeight="1" x14ac:dyDescent="0.25">
      <c r="C65" s="287">
        <f t="shared" si="4"/>
        <v>9</v>
      </c>
      <c r="D65" s="288"/>
      <c r="E65" s="23"/>
      <c r="F65" s="9"/>
      <c r="G65" s="8"/>
      <c r="H65" s="29"/>
      <c r="I65" s="32"/>
      <c r="J65" s="33"/>
      <c r="K65" s="32">
        <f t="shared" si="5"/>
        <v>0</v>
      </c>
    </row>
    <row r="66" spans="3:11" ht="19.5" hidden="1" customHeight="1" thickBot="1" x14ac:dyDescent="0.3">
      <c r="C66" s="287">
        <f t="shared" si="4"/>
        <v>10</v>
      </c>
      <c r="D66" s="288"/>
      <c r="E66" s="24"/>
      <c r="F66" s="9"/>
      <c r="G66" s="8"/>
      <c r="H66" s="29"/>
      <c r="I66" s="37"/>
      <c r="J66" s="33"/>
      <c r="K66" s="32">
        <f t="shared" si="5"/>
        <v>0</v>
      </c>
    </row>
    <row r="67" spans="3:11" s="21" customFormat="1" ht="19.5" hidden="1" customHeight="1" thickBot="1" x14ac:dyDescent="0.3">
      <c r="C67" s="216" t="s">
        <v>39</v>
      </c>
      <c r="D67" s="315"/>
      <c r="E67" s="316"/>
      <c r="F67" s="315"/>
      <c r="G67" s="315"/>
      <c r="H67" s="317"/>
      <c r="I67" s="166">
        <f>SUM(I57:I66)</f>
        <v>0</v>
      </c>
      <c r="J67" s="166">
        <f>SUM(J57:J66)</f>
        <v>0</v>
      </c>
      <c r="K67" s="166">
        <f>SUM(K57:K66)</f>
        <v>0</v>
      </c>
    </row>
    <row r="68" spans="3:11" s="21" customFormat="1" ht="19.5" hidden="1" customHeight="1" thickBot="1" x14ac:dyDescent="0.3">
      <c r="C68" s="293"/>
      <c r="D68" s="294"/>
      <c r="E68" s="294"/>
      <c r="F68" s="294"/>
      <c r="G68" s="294"/>
      <c r="H68" s="294"/>
      <c r="I68" s="294"/>
      <c r="J68" s="295"/>
      <c r="K68" s="295"/>
    </row>
    <row r="69" spans="3:11" s="21" customFormat="1" ht="19.5" hidden="1" customHeight="1" thickBot="1" x14ac:dyDescent="0.3">
      <c r="C69" s="284" t="s">
        <v>48</v>
      </c>
      <c r="D69" s="285"/>
      <c r="E69" s="285"/>
      <c r="F69" s="285"/>
      <c r="G69" s="285"/>
      <c r="H69" s="285"/>
      <c r="I69" s="285"/>
      <c r="J69" s="285"/>
      <c r="K69" s="286"/>
    </row>
    <row r="70" spans="3:11" ht="19.5" hidden="1" customHeight="1" x14ac:dyDescent="0.25">
      <c r="C70" s="318">
        <v>1</v>
      </c>
      <c r="D70" s="319"/>
      <c r="E70" s="42"/>
      <c r="F70" s="10"/>
      <c r="G70" s="8"/>
      <c r="H70" s="29"/>
      <c r="I70" s="34"/>
      <c r="J70" s="32"/>
      <c r="K70" s="32">
        <f>I70+J70</f>
        <v>0</v>
      </c>
    </row>
    <row r="71" spans="3:11" ht="19.5" hidden="1" customHeight="1" x14ac:dyDescent="0.25">
      <c r="C71" s="280">
        <f t="shared" ref="C71:C79" si="6">C70+1</f>
        <v>2</v>
      </c>
      <c r="D71" s="281"/>
      <c r="E71" s="42"/>
      <c r="F71" s="10"/>
      <c r="G71" s="8"/>
      <c r="H71" s="29"/>
      <c r="I71" s="32"/>
      <c r="J71" s="33"/>
      <c r="K71" s="32">
        <f t="shared" ref="K71:K79" si="7">I71+J71</f>
        <v>0</v>
      </c>
    </row>
    <row r="72" spans="3:11" ht="19.5" hidden="1" customHeight="1" x14ac:dyDescent="0.25">
      <c r="C72" s="280">
        <f t="shared" si="6"/>
        <v>3</v>
      </c>
      <c r="D72" s="281"/>
      <c r="E72" s="23"/>
      <c r="F72" s="10"/>
      <c r="G72" s="8"/>
      <c r="H72" s="29"/>
      <c r="I72" s="32"/>
      <c r="J72" s="33"/>
      <c r="K72" s="32">
        <f t="shared" si="7"/>
        <v>0</v>
      </c>
    </row>
    <row r="73" spans="3:11" ht="19.5" hidden="1" customHeight="1" x14ac:dyDescent="0.25">
      <c r="C73" s="280">
        <f>C72+1</f>
        <v>4</v>
      </c>
      <c r="D73" s="281"/>
      <c r="E73" s="23"/>
      <c r="F73" s="10"/>
      <c r="G73" s="8"/>
      <c r="H73" s="29"/>
      <c r="I73" s="32"/>
      <c r="J73" s="33"/>
      <c r="K73" s="32">
        <f t="shared" si="7"/>
        <v>0</v>
      </c>
    </row>
    <row r="74" spans="3:11" ht="19.5" hidden="1" customHeight="1" x14ac:dyDescent="0.25">
      <c r="C74" s="280">
        <f t="shared" si="6"/>
        <v>5</v>
      </c>
      <c r="D74" s="281"/>
      <c r="E74" s="23"/>
      <c r="F74" s="10"/>
      <c r="G74" s="8"/>
      <c r="H74" s="29"/>
      <c r="I74" s="32"/>
      <c r="J74" s="33"/>
      <c r="K74" s="32">
        <f t="shared" si="7"/>
        <v>0</v>
      </c>
    </row>
    <row r="75" spans="3:11" ht="19.5" hidden="1" customHeight="1" x14ac:dyDescent="0.25">
      <c r="C75" s="280">
        <f t="shared" si="6"/>
        <v>6</v>
      </c>
      <c r="D75" s="281"/>
      <c r="E75" s="23"/>
      <c r="F75" s="10"/>
      <c r="G75" s="8"/>
      <c r="H75" s="29"/>
      <c r="I75" s="32"/>
      <c r="J75" s="33"/>
      <c r="K75" s="32">
        <f t="shared" si="7"/>
        <v>0</v>
      </c>
    </row>
    <row r="76" spans="3:11" ht="19.5" hidden="1" customHeight="1" x14ac:dyDescent="0.25">
      <c r="C76" s="280">
        <f t="shared" si="6"/>
        <v>7</v>
      </c>
      <c r="D76" s="281"/>
      <c r="E76" s="23"/>
      <c r="F76" s="10"/>
      <c r="G76" s="8"/>
      <c r="H76" s="29"/>
      <c r="I76" s="32"/>
      <c r="J76" s="33"/>
      <c r="K76" s="32">
        <f t="shared" si="7"/>
        <v>0</v>
      </c>
    </row>
    <row r="77" spans="3:11" ht="19.5" hidden="1" customHeight="1" x14ac:dyDescent="0.25">
      <c r="C77" s="280">
        <f t="shared" si="6"/>
        <v>8</v>
      </c>
      <c r="D77" s="281"/>
      <c r="E77" s="23"/>
      <c r="F77" s="10"/>
      <c r="G77" s="8"/>
      <c r="H77" s="29"/>
      <c r="I77" s="32"/>
      <c r="J77" s="33"/>
      <c r="K77" s="32">
        <f t="shared" si="7"/>
        <v>0</v>
      </c>
    </row>
    <row r="78" spans="3:11" ht="19.5" hidden="1" customHeight="1" x14ac:dyDescent="0.25">
      <c r="C78" s="280">
        <f t="shared" si="6"/>
        <v>9</v>
      </c>
      <c r="D78" s="281"/>
      <c r="E78" s="23"/>
      <c r="F78" s="10"/>
      <c r="G78" s="8"/>
      <c r="H78" s="29"/>
      <c r="I78" s="32"/>
      <c r="J78" s="33"/>
      <c r="K78" s="32">
        <f t="shared" si="7"/>
        <v>0</v>
      </c>
    </row>
    <row r="79" spans="3:11" ht="19.5" hidden="1" customHeight="1" thickBot="1" x14ac:dyDescent="0.3">
      <c r="C79" s="280">
        <f t="shared" si="6"/>
        <v>10</v>
      </c>
      <c r="D79" s="281"/>
      <c r="E79" s="24"/>
      <c r="F79" s="10"/>
      <c r="G79" s="8"/>
      <c r="H79" s="29"/>
      <c r="I79" s="37"/>
      <c r="J79" s="33"/>
      <c r="K79" s="32">
        <f t="shared" si="7"/>
        <v>0</v>
      </c>
    </row>
    <row r="80" spans="3:11" s="21" customFormat="1" ht="19.5" hidden="1" customHeight="1" thickBot="1" x14ac:dyDescent="0.3">
      <c r="C80" s="216" t="s">
        <v>39</v>
      </c>
      <c r="D80" s="282"/>
      <c r="E80" s="282"/>
      <c r="F80" s="282"/>
      <c r="G80" s="282"/>
      <c r="H80" s="283"/>
      <c r="I80" s="166">
        <f>SUM(I70:I79)</f>
        <v>0</v>
      </c>
      <c r="J80" s="166">
        <f>SUM(J70:J79)</f>
        <v>0</v>
      </c>
      <c r="K80" s="166">
        <f>SUM(K70:K79)</f>
        <v>0</v>
      </c>
    </row>
    <row r="81" spans="3:11" s="21" customFormat="1" ht="19.5" hidden="1" customHeight="1" thickBot="1" x14ac:dyDescent="0.3">
      <c r="C81" s="293"/>
      <c r="D81" s="294"/>
      <c r="E81" s="294"/>
      <c r="F81" s="294"/>
      <c r="G81" s="294"/>
      <c r="H81" s="294"/>
      <c r="I81" s="294"/>
      <c r="J81" s="295"/>
      <c r="K81" s="295"/>
    </row>
    <row r="82" spans="3:11" s="21" customFormat="1" ht="19.5" hidden="1" customHeight="1" thickBot="1" x14ac:dyDescent="0.3">
      <c r="C82" s="284" t="s">
        <v>133</v>
      </c>
      <c r="D82" s="296"/>
      <c r="E82" s="296"/>
      <c r="F82" s="296"/>
      <c r="G82" s="296"/>
      <c r="H82" s="296"/>
      <c r="I82" s="296"/>
      <c r="J82" s="296"/>
      <c r="K82" s="297"/>
    </row>
    <row r="83" spans="3:11" s="21" customFormat="1" ht="19.5" hidden="1" customHeight="1" thickBot="1" x14ac:dyDescent="0.3">
      <c r="C83" s="276" t="s">
        <v>49</v>
      </c>
      <c r="D83" s="277"/>
      <c r="E83" s="83"/>
      <c r="F83" s="84"/>
      <c r="G83" s="84"/>
      <c r="H83" s="84"/>
      <c r="I83" s="34"/>
      <c r="J83" s="32"/>
      <c r="K83" s="32">
        <f>I83+J83</f>
        <v>0</v>
      </c>
    </row>
    <row r="84" spans="3:11" s="21" customFormat="1" ht="19.5" hidden="1" customHeight="1" thickBot="1" x14ac:dyDescent="0.3">
      <c r="C84" s="276" t="s">
        <v>50</v>
      </c>
      <c r="D84" s="277"/>
      <c r="E84" s="85"/>
      <c r="F84" s="86"/>
      <c r="G84" s="86"/>
      <c r="H84" s="86"/>
      <c r="I84" s="32"/>
      <c r="J84" s="33"/>
      <c r="K84" s="32">
        <f t="shared" ref="K84:K92" si="8">I84+J84</f>
        <v>0</v>
      </c>
    </row>
    <row r="85" spans="3:11" s="21" customFormat="1" ht="19.5" hidden="1" customHeight="1" thickBot="1" x14ac:dyDescent="0.3">
      <c r="C85" s="276" t="s">
        <v>51</v>
      </c>
      <c r="D85" s="277"/>
      <c r="E85" s="85"/>
      <c r="F85" s="86"/>
      <c r="G85" s="86"/>
      <c r="H85" s="86"/>
      <c r="I85" s="32"/>
      <c r="J85" s="33"/>
      <c r="K85" s="32">
        <f t="shared" si="8"/>
        <v>0</v>
      </c>
    </row>
    <row r="86" spans="3:11" s="21" customFormat="1" ht="19.5" hidden="1" customHeight="1" thickBot="1" x14ac:dyDescent="0.3">
      <c r="C86" s="276" t="s">
        <v>52</v>
      </c>
      <c r="D86" s="277"/>
      <c r="E86" s="85"/>
      <c r="F86" s="86"/>
      <c r="G86" s="86"/>
      <c r="H86" s="86"/>
      <c r="I86" s="32"/>
      <c r="J86" s="33"/>
      <c r="K86" s="32">
        <f t="shared" si="8"/>
        <v>0</v>
      </c>
    </row>
    <row r="87" spans="3:11" s="21" customFormat="1" ht="19.5" hidden="1" customHeight="1" thickBot="1" x14ac:dyDescent="0.3">
      <c r="C87" s="276" t="s">
        <v>53</v>
      </c>
      <c r="D87" s="277"/>
      <c r="E87" s="85"/>
      <c r="F87" s="86"/>
      <c r="G87" s="86"/>
      <c r="H87" s="86"/>
      <c r="I87" s="32"/>
      <c r="J87" s="33"/>
      <c r="K87" s="32">
        <f t="shared" si="8"/>
        <v>0</v>
      </c>
    </row>
    <row r="88" spans="3:11" s="21" customFormat="1" ht="19.5" hidden="1" customHeight="1" thickBot="1" x14ac:dyDescent="0.3">
      <c r="C88" s="276" t="s">
        <v>54</v>
      </c>
      <c r="D88" s="277"/>
      <c r="E88" s="85"/>
      <c r="F88" s="86"/>
      <c r="G88" s="86"/>
      <c r="H88" s="86"/>
      <c r="I88" s="32"/>
      <c r="J88" s="33"/>
      <c r="K88" s="32">
        <f t="shared" si="8"/>
        <v>0</v>
      </c>
    </row>
    <row r="89" spans="3:11" s="21" customFormat="1" ht="19.5" hidden="1" customHeight="1" thickBot="1" x14ac:dyDescent="0.3">
      <c r="C89" s="276" t="s">
        <v>55</v>
      </c>
      <c r="D89" s="277"/>
      <c r="E89" s="85"/>
      <c r="F89" s="86"/>
      <c r="G89" s="86"/>
      <c r="H89" s="86"/>
      <c r="I89" s="32"/>
      <c r="J89" s="33"/>
      <c r="K89" s="32">
        <f t="shared" si="8"/>
        <v>0</v>
      </c>
    </row>
    <row r="90" spans="3:11" s="21" customFormat="1" ht="19.5" hidden="1" customHeight="1" thickBot="1" x14ac:dyDescent="0.3">
      <c r="C90" s="276" t="s">
        <v>56</v>
      </c>
      <c r="D90" s="277"/>
      <c r="E90" s="85"/>
      <c r="F90" s="86"/>
      <c r="G90" s="86"/>
      <c r="H90" s="86"/>
      <c r="I90" s="32"/>
      <c r="J90" s="33"/>
      <c r="K90" s="32">
        <f t="shared" si="8"/>
        <v>0</v>
      </c>
    </row>
    <row r="91" spans="3:11" s="21" customFormat="1" ht="19.5" hidden="1" customHeight="1" thickBot="1" x14ac:dyDescent="0.3">
      <c r="C91" s="276" t="s">
        <v>57</v>
      </c>
      <c r="D91" s="277"/>
      <c r="E91" s="85"/>
      <c r="F91" s="86"/>
      <c r="G91" s="86"/>
      <c r="H91" s="86"/>
      <c r="I91" s="32"/>
      <c r="J91" s="33"/>
      <c r="K91" s="32">
        <f t="shared" si="8"/>
        <v>0</v>
      </c>
    </row>
    <row r="92" spans="3:11" s="21" customFormat="1" ht="19.5" hidden="1" customHeight="1" thickBot="1" x14ac:dyDescent="0.3">
      <c r="C92" s="276" t="s">
        <v>58</v>
      </c>
      <c r="D92" s="277"/>
      <c r="E92" s="85"/>
      <c r="F92" s="86"/>
      <c r="G92" s="86"/>
      <c r="H92" s="86"/>
      <c r="I92" s="37"/>
      <c r="J92" s="33"/>
      <c r="K92" s="32">
        <f t="shared" si="8"/>
        <v>0</v>
      </c>
    </row>
    <row r="93" spans="3:11" s="21" customFormat="1" ht="19.5" hidden="1" customHeight="1" thickBot="1" x14ac:dyDescent="0.3">
      <c r="C93" s="216" t="s">
        <v>39</v>
      </c>
      <c r="D93" s="282"/>
      <c r="E93" s="282"/>
      <c r="F93" s="282"/>
      <c r="G93" s="282"/>
      <c r="H93" s="283"/>
      <c r="I93" s="166">
        <f>SUM(I83:I92)</f>
        <v>0</v>
      </c>
      <c r="J93" s="166">
        <f>SUM(J83:J92)</f>
        <v>0</v>
      </c>
      <c r="K93" s="166">
        <f>SUM(K83:K92)</f>
        <v>0</v>
      </c>
    </row>
    <row r="94" spans="3:11" s="21" customFormat="1" ht="19.5" hidden="1" customHeight="1" thickBot="1" x14ac:dyDescent="0.3">
      <c r="C94" s="293"/>
      <c r="D94" s="294"/>
      <c r="E94" s="294"/>
      <c r="F94" s="294"/>
      <c r="G94" s="294"/>
      <c r="H94" s="294"/>
      <c r="I94" s="294"/>
      <c r="J94" s="295"/>
      <c r="K94" s="295"/>
    </row>
    <row r="95" spans="3:11" ht="19.5" customHeight="1" thickBot="1" x14ac:dyDescent="0.3">
      <c r="C95" s="284" t="s">
        <v>69</v>
      </c>
      <c r="D95" s="285"/>
      <c r="E95" s="285"/>
      <c r="F95" s="285"/>
      <c r="G95" s="285"/>
      <c r="H95" s="285"/>
      <c r="I95" s="285"/>
      <c r="J95" s="285"/>
      <c r="K95" s="286"/>
    </row>
    <row r="96" spans="3:11" ht="15.5" x14ac:dyDescent="0.25">
      <c r="C96" s="278" t="s">
        <v>59</v>
      </c>
      <c r="D96" s="279"/>
      <c r="E96" s="204" t="s">
        <v>282</v>
      </c>
      <c r="F96" s="211" t="s">
        <v>284</v>
      </c>
      <c r="G96" s="205">
        <v>45415</v>
      </c>
      <c r="H96" s="207" t="s">
        <v>285</v>
      </c>
      <c r="I96" s="31"/>
      <c r="J96" s="32">
        <v>4275.04</v>
      </c>
      <c r="K96" s="206">
        <f>I96+J96</f>
        <v>4275.04</v>
      </c>
    </row>
    <row r="97" spans="3:11" ht="15.5" x14ac:dyDescent="0.25">
      <c r="C97" s="278" t="s">
        <v>60</v>
      </c>
      <c r="D97" s="279"/>
      <c r="E97" s="204" t="s">
        <v>282</v>
      </c>
      <c r="F97" s="211" t="s">
        <v>286</v>
      </c>
      <c r="G97" s="205">
        <v>45369</v>
      </c>
      <c r="H97" s="207" t="s">
        <v>285</v>
      </c>
      <c r="I97" s="31"/>
      <c r="J97" s="32">
        <v>2182.4</v>
      </c>
      <c r="K97" s="206">
        <f t="shared" ref="K97:K159" si="9">I97+J97</f>
        <v>2182.4</v>
      </c>
    </row>
    <row r="98" spans="3:11" ht="15.5" x14ac:dyDescent="0.25">
      <c r="C98" s="278" t="s">
        <v>61</v>
      </c>
      <c r="D98" s="279"/>
      <c r="E98" s="204" t="s">
        <v>283</v>
      </c>
      <c r="F98" s="211" t="s">
        <v>287</v>
      </c>
      <c r="G98" s="205">
        <v>45331</v>
      </c>
      <c r="H98" s="207" t="s">
        <v>288</v>
      </c>
      <c r="I98" s="31"/>
      <c r="J98" s="32">
        <v>6018.52</v>
      </c>
      <c r="K98" s="206">
        <f t="shared" si="9"/>
        <v>6018.52</v>
      </c>
    </row>
    <row r="99" spans="3:11" ht="15.5" x14ac:dyDescent="0.25">
      <c r="C99" s="278" t="s">
        <v>62</v>
      </c>
      <c r="D99" s="279"/>
      <c r="E99" s="204" t="s">
        <v>283</v>
      </c>
      <c r="F99" s="211" t="s">
        <v>289</v>
      </c>
      <c r="G99" s="205">
        <v>45376</v>
      </c>
      <c r="H99" s="207" t="s">
        <v>290</v>
      </c>
      <c r="I99" s="31"/>
      <c r="J99" s="32">
        <v>2962.74</v>
      </c>
      <c r="K99" s="206">
        <f t="shared" si="9"/>
        <v>2962.74</v>
      </c>
    </row>
    <row r="100" spans="3:11" ht="15.5" x14ac:dyDescent="0.25">
      <c r="C100" s="278" t="s">
        <v>63</v>
      </c>
      <c r="D100" s="279"/>
      <c r="E100" s="204" t="s">
        <v>283</v>
      </c>
      <c r="F100" s="211" t="s">
        <v>291</v>
      </c>
      <c r="G100" s="205">
        <v>45393</v>
      </c>
      <c r="H100" s="207" t="s">
        <v>292</v>
      </c>
      <c r="I100" s="31"/>
      <c r="J100" s="32">
        <v>2109.83</v>
      </c>
      <c r="K100" s="206">
        <f t="shared" si="9"/>
        <v>2109.83</v>
      </c>
    </row>
    <row r="101" spans="3:11" ht="15.5" x14ac:dyDescent="0.25">
      <c r="C101" s="278" t="s">
        <v>64</v>
      </c>
      <c r="D101" s="279"/>
      <c r="E101" s="204" t="s">
        <v>283</v>
      </c>
      <c r="F101" s="211" t="s">
        <v>293</v>
      </c>
      <c r="G101" s="205">
        <v>45482</v>
      </c>
      <c r="H101" s="207" t="s">
        <v>294</v>
      </c>
      <c r="I101" s="31"/>
      <c r="J101" s="32">
        <v>1525.75</v>
      </c>
      <c r="K101" s="206">
        <f t="shared" si="9"/>
        <v>1525.75</v>
      </c>
    </row>
    <row r="102" spans="3:11" ht="16" thickBot="1" x14ac:dyDescent="0.3">
      <c r="C102" s="278" t="s">
        <v>65</v>
      </c>
      <c r="D102" s="279"/>
      <c r="E102" s="204" t="s">
        <v>283</v>
      </c>
      <c r="F102" s="211" t="s">
        <v>295</v>
      </c>
      <c r="G102" s="205">
        <v>45536</v>
      </c>
      <c r="H102" s="207" t="s">
        <v>296</v>
      </c>
      <c r="I102" s="31"/>
      <c r="J102" s="32">
        <v>1256.5</v>
      </c>
      <c r="K102" s="206">
        <f t="shared" si="9"/>
        <v>1256.5</v>
      </c>
    </row>
    <row r="103" spans="3:11" ht="15.5" hidden="1" x14ac:dyDescent="0.25">
      <c r="C103" s="278" t="s">
        <v>66</v>
      </c>
      <c r="D103" s="279"/>
      <c r="E103" s="204"/>
      <c r="F103" s="211"/>
      <c r="G103" s="205"/>
      <c r="H103" s="207"/>
      <c r="I103" s="31"/>
      <c r="J103" s="32"/>
      <c r="K103" s="206">
        <f t="shared" si="9"/>
        <v>0</v>
      </c>
    </row>
    <row r="104" spans="3:11" ht="15.5" hidden="1" x14ac:dyDescent="0.25">
      <c r="C104" s="278" t="s">
        <v>67</v>
      </c>
      <c r="D104" s="279"/>
      <c r="E104" s="204"/>
      <c r="F104" s="211"/>
      <c r="G104" s="205"/>
      <c r="H104" s="207"/>
      <c r="I104" s="31"/>
      <c r="J104" s="32"/>
      <c r="K104" s="206">
        <f t="shared" si="9"/>
        <v>0</v>
      </c>
    </row>
    <row r="105" spans="3:11" ht="15.5" hidden="1" x14ac:dyDescent="0.25">
      <c r="C105" s="278" t="s">
        <v>68</v>
      </c>
      <c r="D105" s="279"/>
      <c r="E105" s="204"/>
      <c r="F105" s="211"/>
      <c r="G105" s="205"/>
      <c r="H105" s="207"/>
      <c r="I105" s="31"/>
      <c r="J105" s="32"/>
      <c r="K105" s="206">
        <f t="shared" si="9"/>
        <v>0</v>
      </c>
    </row>
    <row r="106" spans="3:11" ht="15.5" hidden="1" x14ac:dyDescent="0.25">
      <c r="C106" s="278" t="s">
        <v>171</v>
      </c>
      <c r="D106" s="279"/>
      <c r="E106" s="204"/>
      <c r="F106" s="211"/>
      <c r="G106" s="205"/>
      <c r="H106" s="207"/>
      <c r="I106" s="31"/>
      <c r="J106" s="32"/>
      <c r="K106" s="206">
        <f t="shared" si="9"/>
        <v>0</v>
      </c>
    </row>
    <row r="107" spans="3:11" ht="15.5" hidden="1" x14ac:dyDescent="0.25">
      <c r="C107" s="278" t="s">
        <v>172</v>
      </c>
      <c r="D107" s="279"/>
      <c r="E107" s="204"/>
      <c r="F107" s="211"/>
      <c r="G107" s="205"/>
      <c r="H107" s="207"/>
      <c r="I107" s="31"/>
      <c r="J107" s="32"/>
      <c r="K107" s="206">
        <f t="shared" si="9"/>
        <v>0</v>
      </c>
    </row>
    <row r="108" spans="3:11" ht="15.5" hidden="1" x14ac:dyDescent="0.25">
      <c r="C108" s="278" t="s">
        <v>197</v>
      </c>
      <c r="D108" s="279"/>
      <c r="E108" s="204"/>
      <c r="F108" s="211"/>
      <c r="G108" s="205"/>
      <c r="H108" s="207"/>
      <c r="I108" s="31"/>
      <c r="J108" s="32"/>
      <c r="K108" s="206">
        <f t="shared" si="9"/>
        <v>0</v>
      </c>
    </row>
    <row r="109" spans="3:11" ht="15.5" hidden="1" x14ac:dyDescent="0.25">
      <c r="C109" s="278" t="s">
        <v>198</v>
      </c>
      <c r="D109" s="279"/>
      <c r="E109" s="204"/>
      <c r="F109" s="211"/>
      <c r="G109" s="205"/>
      <c r="H109" s="207"/>
      <c r="I109" s="31"/>
      <c r="J109" s="32"/>
      <c r="K109" s="206">
        <f t="shared" si="9"/>
        <v>0</v>
      </c>
    </row>
    <row r="110" spans="3:11" ht="15.5" hidden="1" x14ac:dyDescent="0.25">
      <c r="C110" s="278" t="s">
        <v>199</v>
      </c>
      <c r="D110" s="279"/>
      <c r="E110" s="204"/>
      <c r="F110" s="211"/>
      <c r="G110" s="205"/>
      <c r="H110" s="207"/>
      <c r="I110" s="31"/>
      <c r="J110" s="32"/>
      <c r="K110" s="206">
        <f t="shared" si="9"/>
        <v>0</v>
      </c>
    </row>
    <row r="111" spans="3:11" ht="15.5" hidden="1" x14ac:dyDescent="0.25">
      <c r="C111" s="278" t="s">
        <v>200</v>
      </c>
      <c r="D111" s="279"/>
      <c r="E111" s="204"/>
      <c r="F111" s="211"/>
      <c r="G111" s="205"/>
      <c r="H111" s="207"/>
      <c r="I111" s="31"/>
      <c r="J111" s="32"/>
      <c r="K111" s="206">
        <f t="shared" si="9"/>
        <v>0</v>
      </c>
    </row>
    <row r="112" spans="3:11" ht="15.5" hidden="1" x14ac:dyDescent="0.25">
      <c r="C112" s="278" t="s">
        <v>201</v>
      </c>
      <c r="D112" s="279"/>
      <c r="E112" s="204"/>
      <c r="F112" s="211"/>
      <c r="G112" s="205"/>
      <c r="H112" s="207"/>
      <c r="I112" s="31"/>
      <c r="J112" s="32"/>
      <c r="K112" s="206">
        <f t="shared" si="9"/>
        <v>0</v>
      </c>
    </row>
    <row r="113" spans="3:13" ht="15.5" hidden="1" x14ac:dyDescent="0.25">
      <c r="C113" s="278" t="s">
        <v>202</v>
      </c>
      <c r="D113" s="279"/>
      <c r="E113" s="204"/>
      <c r="F113" s="211"/>
      <c r="G113" s="205"/>
      <c r="H113" s="207"/>
      <c r="I113" s="31"/>
      <c r="J113" s="32"/>
      <c r="K113" s="206">
        <f t="shared" si="9"/>
        <v>0</v>
      </c>
    </row>
    <row r="114" spans="3:13" ht="15.5" hidden="1" x14ac:dyDescent="0.25">
      <c r="C114" s="278" t="s">
        <v>203</v>
      </c>
      <c r="D114" s="279"/>
      <c r="E114" s="204"/>
      <c r="F114" s="211"/>
      <c r="G114" s="205"/>
      <c r="H114" s="207"/>
      <c r="I114" s="31"/>
      <c r="J114" s="32"/>
      <c r="K114" s="206">
        <f t="shared" si="9"/>
        <v>0</v>
      </c>
    </row>
    <row r="115" spans="3:13" ht="15.5" hidden="1" x14ac:dyDescent="0.25">
      <c r="C115" s="278" t="s">
        <v>204</v>
      </c>
      <c r="D115" s="279"/>
      <c r="E115" s="204"/>
      <c r="F115" s="211"/>
      <c r="G115" s="205"/>
      <c r="H115" s="207"/>
      <c r="I115" s="31"/>
      <c r="J115" s="32"/>
      <c r="K115" s="206">
        <f t="shared" si="9"/>
        <v>0</v>
      </c>
    </row>
    <row r="116" spans="3:13" ht="15.5" hidden="1" x14ac:dyDescent="0.25">
      <c r="C116" s="278" t="s">
        <v>205</v>
      </c>
      <c r="D116" s="279"/>
      <c r="E116" s="204"/>
      <c r="F116" s="211"/>
      <c r="G116" s="205"/>
      <c r="H116" s="207"/>
      <c r="I116" s="31"/>
      <c r="J116" s="32"/>
      <c r="K116" s="206">
        <f t="shared" si="9"/>
        <v>0</v>
      </c>
    </row>
    <row r="117" spans="3:13" ht="15.5" hidden="1" x14ac:dyDescent="0.25">
      <c r="C117" s="278" t="s">
        <v>206</v>
      </c>
      <c r="D117" s="279"/>
      <c r="E117" s="204"/>
      <c r="F117" s="211"/>
      <c r="G117" s="205"/>
      <c r="H117" s="207"/>
      <c r="I117" s="31"/>
      <c r="J117" s="32"/>
      <c r="K117" s="206">
        <f t="shared" si="9"/>
        <v>0</v>
      </c>
    </row>
    <row r="118" spans="3:13" ht="15.5" hidden="1" x14ac:dyDescent="0.25">
      <c r="C118" s="278" t="s">
        <v>207</v>
      </c>
      <c r="D118" s="279"/>
      <c r="E118" s="204"/>
      <c r="F118" s="211"/>
      <c r="G118" s="205"/>
      <c r="H118" s="207"/>
      <c r="I118" s="31"/>
      <c r="J118" s="32"/>
      <c r="K118" s="206">
        <f t="shared" si="9"/>
        <v>0</v>
      </c>
    </row>
    <row r="119" spans="3:13" ht="15.5" hidden="1" x14ac:dyDescent="0.25">
      <c r="C119" s="278" t="s">
        <v>208</v>
      </c>
      <c r="D119" s="279"/>
      <c r="E119" s="204"/>
      <c r="F119" s="211"/>
      <c r="G119" s="205"/>
      <c r="H119" s="207"/>
      <c r="I119" s="31"/>
      <c r="J119" s="32"/>
      <c r="K119" s="206">
        <f t="shared" si="9"/>
        <v>0</v>
      </c>
    </row>
    <row r="120" spans="3:13" ht="15.5" hidden="1" x14ac:dyDescent="0.25">
      <c r="C120" s="278" t="s">
        <v>209</v>
      </c>
      <c r="D120" s="279"/>
      <c r="E120" s="204"/>
      <c r="F120" s="211"/>
      <c r="G120" s="205"/>
      <c r="H120" s="207"/>
      <c r="I120" s="31"/>
      <c r="J120" s="32"/>
      <c r="K120" s="206">
        <f t="shared" si="9"/>
        <v>0</v>
      </c>
      <c r="L120" s="183"/>
      <c r="M120" s="208"/>
    </row>
    <row r="121" spans="3:13" ht="15.5" hidden="1" x14ac:dyDescent="0.25">
      <c r="C121" s="278" t="s">
        <v>210</v>
      </c>
      <c r="D121" s="279"/>
      <c r="E121" s="204"/>
      <c r="F121" s="211"/>
      <c r="G121" s="205"/>
      <c r="H121" s="207"/>
      <c r="I121" s="31"/>
      <c r="J121" s="32"/>
      <c r="K121" s="206">
        <f t="shared" si="9"/>
        <v>0</v>
      </c>
      <c r="L121" s="183"/>
      <c r="M121" s="208"/>
    </row>
    <row r="122" spans="3:13" ht="15.5" hidden="1" x14ac:dyDescent="0.25">
      <c r="C122" s="278" t="s">
        <v>211</v>
      </c>
      <c r="D122" s="279"/>
      <c r="E122" s="204"/>
      <c r="F122" s="211"/>
      <c r="G122" s="205"/>
      <c r="H122" s="207"/>
      <c r="I122" s="31"/>
      <c r="J122" s="32"/>
      <c r="K122" s="206">
        <f t="shared" si="9"/>
        <v>0</v>
      </c>
      <c r="L122" s="183"/>
    </row>
    <row r="123" spans="3:13" ht="15.5" hidden="1" x14ac:dyDescent="0.25">
      <c r="C123" s="278" t="s">
        <v>212</v>
      </c>
      <c r="D123" s="279"/>
      <c r="E123" s="204"/>
      <c r="F123" s="211"/>
      <c r="G123" s="205"/>
      <c r="H123" s="207"/>
      <c r="I123" s="31"/>
      <c r="J123" s="32"/>
      <c r="K123" s="206">
        <f t="shared" si="9"/>
        <v>0</v>
      </c>
      <c r="L123" s="183"/>
    </row>
    <row r="124" spans="3:13" ht="15.5" hidden="1" x14ac:dyDescent="0.25">
      <c r="C124" s="278" t="s">
        <v>213</v>
      </c>
      <c r="D124" s="279"/>
      <c r="E124" s="204"/>
      <c r="F124" s="211"/>
      <c r="G124" s="205"/>
      <c r="H124" s="207"/>
      <c r="I124" s="31"/>
      <c r="J124" s="32"/>
      <c r="K124" s="206">
        <f t="shared" si="9"/>
        <v>0</v>
      </c>
      <c r="L124" s="183"/>
    </row>
    <row r="125" spans="3:13" ht="15.5" hidden="1" x14ac:dyDescent="0.25">
      <c r="C125" s="278" t="s">
        <v>214</v>
      </c>
      <c r="D125" s="279"/>
      <c r="E125" s="204"/>
      <c r="F125" s="211"/>
      <c r="G125" s="205"/>
      <c r="H125" s="207"/>
      <c r="I125" s="31"/>
      <c r="J125" s="32"/>
      <c r="K125" s="206">
        <f t="shared" si="9"/>
        <v>0</v>
      </c>
      <c r="L125" s="183"/>
    </row>
    <row r="126" spans="3:13" ht="15.5" hidden="1" x14ac:dyDescent="0.25">
      <c r="C126" s="278" t="s">
        <v>215</v>
      </c>
      <c r="D126" s="279"/>
      <c r="E126" s="204"/>
      <c r="F126" s="211"/>
      <c r="G126" s="205"/>
      <c r="H126" s="207"/>
      <c r="I126" s="31"/>
      <c r="J126" s="32"/>
      <c r="K126" s="206">
        <f t="shared" si="9"/>
        <v>0</v>
      </c>
      <c r="L126" s="183"/>
    </row>
    <row r="127" spans="3:13" ht="15.5" hidden="1" x14ac:dyDescent="0.25">
      <c r="C127" s="278" t="s">
        <v>216</v>
      </c>
      <c r="D127" s="279"/>
      <c r="E127" s="204"/>
      <c r="F127" s="211"/>
      <c r="G127" s="205"/>
      <c r="H127" s="207"/>
      <c r="I127" s="31"/>
      <c r="J127" s="32"/>
      <c r="K127" s="206">
        <f t="shared" si="9"/>
        <v>0</v>
      </c>
      <c r="L127" s="183"/>
    </row>
    <row r="128" spans="3:13" ht="15.5" hidden="1" x14ac:dyDescent="0.25">
      <c r="C128" s="278" t="s">
        <v>217</v>
      </c>
      <c r="D128" s="279"/>
      <c r="E128" s="204"/>
      <c r="F128" s="211"/>
      <c r="G128" s="205"/>
      <c r="H128" s="207"/>
      <c r="I128" s="31"/>
      <c r="J128" s="32"/>
      <c r="K128" s="206">
        <f t="shared" si="9"/>
        <v>0</v>
      </c>
      <c r="L128" s="183"/>
    </row>
    <row r="129" spans="3:12" ht="15.5" hidden="1" x14ac:dyDescent="0.25">
      <c r="C129" s="278" t="s">
        <v>218</v>
      </c>
      <c r="D129" s="279"/>
      <c r="E129" s="204"/>
      <c r="F129" s="211"/>
      <c r="G129" s="205"/>
      <c r="H129" s="207"/>
      <c r="I129" s="31"/>
      <c r="J129" s="32"/>
      <c r="K129" s="206">
        <f t="shared" si="9"/>
        <v>0</v>
      </c>
      <c r="L129" s="183"/>
    </row>
    <row r="130" spans="3:12" ht="15.5" hidden="1" x14ac:dyDescent="0.25">
      <c r="C130" s="278" t="s">
        <v>219</v>
      </c>
      <c r="D130" s="279"/>
      <c r="E130" s="204"/>
      <c r="F130" s="211"/>
      <c r="G130" s="205"/>
      <c r="H130" s="207"/>
      <c r="I130" s="31"/>
      <c r="J130" s="32"/>
      <c r="K130" s="206">
        <f t="shared" si="9"/>
        <v>0</v>
      </c>
      <c r="L130" s="183"/>
    </row>
    <row r="131" spans="3:12" ht="15.5" hidden="1" x14ac:dyDescent="0.25">
      <c r="C131" s="278" t="s">
        <v>220</v>
      </c>
      <c r="D131" s="279"/>
      <c r="E131" s="204"/>
      <c r="F131" s="211"/>
      <c r="G131" s="205"/>
      <c r="H131" s="207"/>
      <c r="I131" s="31"/>
      <c r="J131" s="32"/>
      <c r="K131" s="206">
        <f t="shared" si="9"/>
        <v>0</v>
      </c>
      <c r="L131" s="183"/>
    </row>
    <row r="132" spans="3:12" ht="15.5" hidden="1" x14ac:dyDescent="0.25">
      <c r="C132" s="278" t="s">
        <v>221</v>
      </c>
      <c r="D132" s="279"/>
      <c r="E132" s="204"/>
      <c r="F132" s="211"/>
      <c r="G132" s="205"/>
      <c r="H132" s="207"/>
      <c r="I132" s="31"/>
      <c r="J132" s="32"/>
      <c r="K132" s="206">
        <f t="shared" si="9"/>
        <v>0</v>
      </c>
      <c r="L132" s="183"/>
    </row>
    <row r="133" spans="3:12" ht="15.5" hidden="1" x14ac:dyDescent="0.25">
      <c r="C133" s="278" t="s">
        <v>222</v>
      </c>
      <c r="D133" s="279"/>
      <c r="E133" s="204"/>
      <c r="F133" s="211"/>
      <c r="G133" s="205"/>
      <c r="H133" s="207"/>
      <c r="I133" s="31"/>
      <c r="J133" s="32"/>
      <c r="K133" s="206">
        <f t="shared" si="9"/>
        <v>0</v>
      </c>
      <c r="L133" s="183"/>
    </row>
    <row r="134" spans="3:12" ht="15.5" hidden="1" x14ac:dyDescent="0.25">
      <c r="C134" s="278" t="s">
        <v>223</v>
      </c>
      <c r="D134" s="279"/>
      <c r="E134" s="204"/>
      <c r="F134" s="211"/>
      <c r="G134" s="205"/>
      <c r="H134" s="207"/>
      <c r="I134" s="31"/>
      <c r="J134" s="32"/>
      <c r="K134" s="206">
        <f t="shared" si="9"/>
        <v>0</v>
      </c>
      <c r="L134" s="183"/>
    </row>
    <row r="135" spans="3:12" ht="15.5" hidden="1" x14ac:dyDescent="0.25">
      <c r="C135" s="278" t="s">
        <v>224</v>
      </c>
      <c r="D135" s="279"/>
      <c r="E135" s="204"/>
      <c r="F135" s="211"/>
      <c r="G135" s="205"/>
      <c r="H135" s="207"/>
      <c r="I135" s="31"/>
      <c r="J135" s="32"/>
      <c r="K135" s="206">
        <f t="shared" si="9"/>
        <v>0</v>
      </c>
      <c r="L135" s="183"/>
    </row>
    <row r="136" spans="3:12" ht="15.5" hidden="1" x14ac:dyDescent="0.25">
      <c r="C136" s="278" t="s">
        <v>225</v>
      </c>
      <c r="D136" s="279"/>
      <c r="E136" s="204"/>
      <c r="F136" s="211"/>
      <c r="G136" s="205"/>
      <c r="H136" s="207"/>
      <c r="I136" s="31"/>
      <c r="J136" s="32"/>
      <c r="K136" s="206">
        <f t="shared" si="9"/>
        <v>0</v>
      </c>
      <c r="L136" s="183"/>
    </row>
    <row r="137" spans="3:12" ht="15.5" hidden="1" x14ac:dyDescent="0.25">
      <c r="C137" s="278" t="s">
        <v>226</v>
      </c>
      <c r="D137" s="279"/>
      <c r="E137" s="204"/>
      <c r="F137" s="211"/>
      <c r="G137" s="205"/>
      <c r="H137" s="207"/>
      <c r="I137" s="31"/>
      <c r="J137" s="32"/>
      <c r="K137" s="206">
        <f t="shared" si="9"/>
        <v>0</v>
      </c>
      <c r="L137" s="183"/>
    </row>
    <row r="138" spans="3:12" ht="15.5" hidden="1" x14ac:dyDescent="0.25">
      <c r="C138" s="278" t="s">
        <v>227</v>
      </c>
      <c r="D138" s="279"/>
      <c r="E138" s="204"/>
      <c r="F138" s="211"/>
      <c r="G138" s="205"/>
      <c r="H138" s="207"/>
      <c r="I138" s="31"/>
      <c r="J138" s="32"/>
      <c r="K138" s="206">
        <f t="shared" si="9"/>
        <v>0</v>
      </c>
      <c r="L138" s="183"/>
    </row>
    <row r="139" spans="3:12" ht="15.5" hidden="1" x14ac:dyDescent="0.25">
      <c r="C139" s="278" t="s">
        <v>228</v>
      </c>
      <c r="D139" s="279"/>
      <c r="E139" s="204"/>
      <c r="F139" s="211"/>
      <c r="G139" s="205"/>
      <c r="H139" s="207"/>
      <c r="I139" s="31"/>
      <c r="J139" s="32"/>
      <c r="K139" s="206">
        <f t="shared" si="9"/>
        <v>0</v>
      </c>
      <c r="L139" s="183"/>
    </row>
    <row r="140" spans="3:12" ht="15.5" hidden="1" x14ac:dyDescent="0.25">
      <c r="C140" s="278" t="s">
        <v>229</v>
      </c>
      <c r="D140" s="279"/>
      <c r="E140" s="204"/>
      <c r="F140" s="211"/>
      <c r="G140" s="205"/>
      <c r="H140" s="207"/>
      <c r="I140" s="31"/>
      <c r="J140" s="32"/>
      <c r="K140" s="206">
        <f t="shared" si="9"/>
        <v>0</v>
      </c>
      <c r="L140" s="183"/>
    </row>
    <row r="141" spans="3:12" ht="15.5" hidden="1" x14ac:dyDescent="0.25">
      <c r="C141" s="278" t="s">
        <v>230</v>
      </c>
      <c r="D141" s="279"/>
      <c r="E141" s="204"/>
      <c r="F141" s="211"/>
      <c r="G141" s="205"/>
      <c r="H141" s="207"/>
      <c r="I141" s="31"/>
      <c r="J141" s="32"/>
      <c r="K141" s="206">
        <f t="shared" si="9"/>
        <v>0</v>
      </c>
      <c r="L141" s="183"/>
    </row>
    <row r="142" spans="3:12" ht="15.5" hidden="1" x14ac:dyDescent="0.25">
      <c r="C142" s="278" t="s">
        <v>231</v>
      </c>
      <c r="D142" s="279"/>
      <c r="E142" s="204"/>
      <c r="F142" s="211"/>
      <c r="G142" s="205"/>
      <c r="H142" s="207"/>
      <c r="I142" s="31"/>
      <c r="J142" s="32"/>
      <c r="K142" s="206">
        <f t="shared" si="9"/>
        <v>0</v>
      </c>
      <c r="L142" s="183"/>
    </row>
    <row r="143" spans="3:12" ht="15.5" hidden="1" x14ac:dyDescent="0.25">
      <c r="C143" s="278" t="s">
        <v>232</v>
      </c>
      <c r="D143" s="279"/>
      <c r="E143" s="204"/>
      <c r="F143" s="211"/>
      <c r="G143" s="205"/>
      <c r="H143" s="207"/>
      <c r="I143" s="31"/>
      <c r="J143" s="32"/>
      <c r="K143" s="206">
        <f t="shared" si="9"/>
        <v>0</v>
      </c>
      <c r="L143" s="183"/>
    </row>
    <row r="144" spans="3:12" ht="15.5" hidden="1" x14ac:dyDescent="0.25">
      <c r="C144" s="278" t="s">
        <v>233</v>
      </c>
      <c r="D144" s="279"/>
      <c r="E144" s="204"/>
      <c r="F144" s="211"/>
      <c r="G144" s="205"/>
      <c r="H144" s="207"/>
      <c r="I144" s="31"/>
      <c r="J144" s="32"/>
      <c r="K144" s="206">
        <f t="shared" si="9"/>
        <v>0</v>
      </c>
      <c r="L144" s="183"/>
    </row>
    <row r="145" spans="3:12" ht="15.5" hidden="1" x14ac:dyDescent="0.25">
      <c r="C145" s="278" t="s">
        <v>234</v>
      </c>
      <c r="D145" s="279"/>
      <c r="E145" s="204"/>
      <c r="F145" s="211"/>
      <c r="G145" s="205"/>
      <c r="H145" s="207"/>
      <c r="I145" s="31"/>
      <c r="J145" s="32"/>
      <c r="K145" s="206">
        <f t="shared" si="9"/>
        <v>0</v>
      </c>
      <c r="L145" s="183"/>
    </row>
    <row r="146" spans="3:12" ht="15.5" hidden="1" x14ac:dyDescent="0.25">
      <c r="C146" s="278" t="s">
        <v>235</v>
      </c>
      <c r="D146" s="279"/>
      <c r="E146" s="204"/>
      <c r="F146" s="211"/>
      <c r="G146" s="205"/>
      <c r="H146" s="207"/>
      <c r="I146" s="31"/>
      <c r="J146" s="32"/>
      <c r="K146" s="206">
        <f t="shared" si="9"/>
        <v>0</v>
      </c>
      <c r="L146" s="183"/>
    </row>
    <row r="147" spans="3:12" ht="15.5" hidden="1" x14ac:dyDescent="0.25">
      <c r="C147" s="278" t="s">
        <v>236</v>
      </c>
      <c r="D147" s="279"/>
      <c r="E147" s="204"/>
      <c r="F147" s="211"/>
      <c r="G147" s="205"/>
      <c r="H147" s="207"/>
      <c r="I147" s="31"/>
      <c r="J147" s="32"/>
      <c r="K147" s="206">
        <f t="shared" si="9"/>
        <v>0</v>
      </c>
      <c r="L147" s="183"/>
    </row>
    <row r="148" spans="3:12" ht="15.5" hidden="1" x14ac:dyDescent="0.25">
      <c r="C148" s="278" t="s">
        <v>237</v>
      </c>
      <c r="D148" s="279"/>
      <c r="E148" s="204"/>
      <c r="F148" s="211"/>
      <c r="G148" s="205"/>
      <c r="H148" s="207"/>
      <c r="I148" s="31"/>
      <c r="J148" s="32"/>
      <c r="K148" s="206">
        <f t="shared" si="9"/>
        <v>0</v>
      </c>
      <c r="L148" s="183"/>
    </row>
    <row r="149" spans="3:12" ht="15.5" hidden="1" x14ac:dyDescent="0.25">
      <c r="C149" s="278" t="s">
        <v>238</v>
      </c>
      <c r="D149" s="279"/>
      <c r="E149" s="204"/>
      <c r="F149" s="211"/>
      <c r="G149" s="205"/>
      <c r="H149" s="207"/>
      <c r="I149" s="31"/>
      <c r="J149" s="32"/>
      <c r="K149" s="206">
        <f t="shared" si="9"/>
        <v>0</v>
      </c>
      <c r="L149" s="183"/>
    </row>
    <row r="150" spans="3:12" ht="15.5" hidden="1" x14ac:dyDescent="0.25">
      <c r="C150" s="278" t="s">
        <v>239</v>
      </c>
      <c r="D150" s="279"/>
      <c r="E150" s="204"/>
      <c r="F150" s="211"/>
      <c r="G150" s="205"/>
      <c r="H150" s="207"/>
      <c r="I150" s="31"/>
      <c r="J150" s="32"/>
      <c r="K150" s="206">
        <f t="shared" si="9"/>
        <v>0</v>
      </c>
      <c r="L150" s="183"/>
    </row>
    <row r="151" spans="3:12" ht="15.5" hidden="1" x14ac:dyDescent="0.25">
      <c r="C151" s="278" t="s">
        <v>240</v>
      </c>
      <c r="D151" s="279"/>
      <c r="E151" s="204"/>
      <c r="F151" s="211"/>
      <c r="G151" s="205"/>
      <c r="H151" s="207"/>
      <c r="I151" s="31"/>
      <c r="J151" s="32"/>
      <c r="K151" s="206">
        <f t="shared" si="9"/>
        <v>0</v>
      </c>
      <c r="L151" s="183"/>
    </row>
    <row r="152" spans="3:12" ht="15.5" hidden="1" x14ac:dyDescent="0.25">
      <c r="C152" s="278" t="s">
        <v>241</v>
      </c>
      <c r="D152" s="279"/>
      <c r="E152" s="204"/>
      <c r="F152" s="211"/>
      <c r="G152" s="205"/>
      <c r="H152" s="207"/>
      <c r="I152" s="31"/>
      <c r="J152" s="32"/>
      <c r="K152" s="206">
        <f>I152+J152</f>
        <v>0</v>
      </c>
      <c r="L152" s="183"/>
    </row>
    <row r="153" spans="3:12" ht="15.5" hidden="1" x14ac:dyDescent="0.25">
      <c r="C153" s="278" t="s">
        <v>242</v>
      </c>
      <c r="D153" s="279"/>
      <c r="E153" s="204"/>
      <c r="F153" s="211"/>
      <c r="G153" s="205"/>
      <c r="H153" s="207"/>
      <c r="I153" s="31"/>
      <c r="J153" s="32"/>
      <c r="K153" s="206">
        <f t="shared" si="9"/>
        <v>0</v>
      </c>
      <c r="L153" s="183"/>
    </row>
    <row r="154" spans="3:12" ht="15.5" hidden="1" x14ac:dyDescent="0.25">
      <c r="C154" s="278" t="s">
        <v>243</v>
      </c>
      <c r="D154" s="279"/>
      <c r="E154" s="204"/>
      <c r="F154" s="211"/>
      <c r="G154" s="205"/>
      <c r="H154" s="207"/>
      <c r="I154" s="31"/>
      <c r="J154" s="32"/>
      <c r="K154" s="206">
        <f t="shared" si="9"/>
        <v>0</v>
      </c>
      <c r="L154" s="183"/>
    </row>
    <row r="155" spans="3:12" ht="15.5" hidden="1" x14ac:dyDescent="0.25">
      <c r="C155" s="278" t="s">
        <v>244</v>
      </c>
      <c r="D155" s="279"/>
      <c r="E155" s="204"/>
      <c r="F155" s="211"/>
      <c r="G155" s="205"/>
      <c r="H155" s="207"/>
      <c r="I155" s="31"/>
      <c r="J155" s="32"/>
      <c r="K155" s="206">
        <f t="shared" si="9"/>
        <v>0</v>
      </c>
      <c r="L155" s="183"/>
    </row>
    <row r="156" spans="3:12" ht="15.5" hidden="1" x14ac:dyDescent="0.25">
      <c r="C156" s="278" t="s">
        <v>245</v>
      </c>
      <c r="D156" s="279"/>
      <c r="E156" s="204"/>
      <c r="F156" s="211"/>
      <c r="G156" s="205"/>
      <c r="H156" s="207"/>
      <c r="I156" s="31"/>
      <c r="J156" s="32"/>
      <c r="K156" s="206">
        <f t="shared" si="9"/>
        <v>0</v>
      </c>
      <c r="L156" s="183"/>
    </row>
    <row r="157" spans="3:12" ht="15.5" hidden="1" x14ac:dyDescent="0.25">
      <c r="C157" s="278" t="s">
        <v>246</v>
      </c>
      <c r="D157" s="279"/>
      <c r="E157" s="204"/>
      <c r="F157" s="211"/>
      <c r="G157" s="205"/>
      <c r="H157" s="207"/>
      <c r="I157" s="31"/>
      <c r="J157" s="32"/>
      <c r="K157" s="206">
        <f t="shared" si="9"/>
        <v>0</v>
      </c>
      <c r="L157" s="183"/>
    </row>
    <row r="158" spans="3:12" ht="15.5" hidden="1" x14ac:dyDescent="0.25">
      <c r="C158" s="278" t="s">
        <v>247</v>
      </c>
      <c r="D158" s="279"/>
      <c r="E158" s="204"/>
      <c r="F158" s="211"/>
      <c r="G158" s="205"/>
      <c r="H158" s="207"/>
      <c r="I158" s="31"/>
      <c r="J158" s="32"/>
      <c r="K158" s="206">
        <f t="shared" si="9"/>
        <v>0</v>
      </c>
      <c r="L158" s="183"/>
    </row>
    <row r="159" spans="3:12" ht="16" hidden="1" thickBot="1" x14ac:dyDescent="0.3">
      <c r="C159" s="278" t="s">
        <v>248</v>
      </c>
      <c r="D159" s="279"/>
      <c r="E159" s="204"/>
      <c r="F159" s="211"/>
      <c r="G159" s="205"/>
      <c r="H159" s="207"/>
      <c r="I159" s="31"/>
      <c r="J159" s="32"/>
      <c r="K159" s="206">
        <f t="shared" si="9"/>
        <v>0</v>
      </c>
      <c r="L159" s="183"/>
    </row>
    <row r="160" spans="3:12" ht="19.5" hidden="1" customHeight="1" thickBot="1" x14ac:dyDescent="0.3">
      <c r="C160" s="216" t="s">
        <v>39</v>
      </c>
      <c r="D160" s="282"/>
      <c r="E160" s="282"/>
      <c r="F160" s="282"/>
      <c r="G160" s="282"/>
      <c r="H160" s="283"/>
      <c r="I160" s="166">
        <f>SUM(I96:I159)</f>
        <v>0</v>
      </c>
      <c r="J160" s="166">
        <f>SUM(J96:J159)</f>
        <v>20330.78</v>
      </c>
      <c r="K160" s="166">
        <f>SUM(K96:K159)</f>
        <v>20330.78</v>
      </c>
    </row>
    <row r="161" spans="2:12" ht="19.5" customHeight="1" thickBot="1" x14ac:dyDescent="0.3">
      <c r="C161" s="293"/>
      <c r="D161" s="294"/>
      <c r="E161" s="294"/>
      <c r="F161" s="294"/>
      <c r="G161" s="294"/>
      <c r="H161" s="294"/>
      <c r="I161" s="294"/>
      <c r="J161" s="295"/>
      <c r="K161" s="295"/>
    </row>
    <row r="162" spans="2:12" ht="19.5" customHeight="1" thickBot="1" x14ac:dyDescent="0.3">
      <c r="C162" s="284" t="s">
        <v>31</v>
      </c>
      <c r="D162" s="285"/>
      <c r="E162" s="285"/>
      <c r="F162" s="285"/>
      <c r="G162" s="285"/>
      <c r="H162" s="285"/>
      <c r="I162" s="285"/>
      <c r="J162" s="285"/>
      <c r="K162" s="286"/>
    </row>
    <row r="163" spans="2:12" ht="19.5" customHeight="1" x14ac:dyDescent="0.25">
      <c r="C163" s="278" t="s">
        <v>70</v>
      </c>
      <c r="D163" s="279"/>
      <c r="E163" s="42" t="s">
        <v>297</v>
      </c>
      <c r="F163" s="26" t="s">
        <v>298</v>
      </c>
      <c r="G163" s="27">
        <v>45626</v>
      </c>
      <c r="H163" s="26" t="s">
        <v>299</v>
      </c>
      <c r="I163" s="34"/>
      <c r="J163" s="32">
        <v>61683.39</v>
      </c>
      <c r="K163" s="32">
        <f>I163+J163</f>
        <v>61683.39</v>
      </c>
    </row>
    <row r="164" spans="2:12" ht="19.5" customHeight="1" x14ac:dyDescent="0.25">
      <c r="C164" s="278" t="s">
        <v>71</v>
      </c>
      <c r="D164" s="279"/>
      <c r="E164" s="42"/>
      <c r="F164" s="26"/>
      <c r="G164" s="27"/>
      <c r="H164" s="26"/>
      <c r="I164" s="32"/>
      <c r="J164" s="33"/>
      <c r="K164" s="32">
        <f t="shared" ref="K164:K172" si="10">I164+J164</f>
        <v>0</v>
      </c>
    </row>
    <row r="165" spans="2:12" ht="19.5" customHeight="1" x14ac:dyDescent="0.25">
      <c r="C165" s="278" t="s">
        <v>72</v>
      </c>
      <c r="D165" s="279"/>
      <c r="E165" s="42"/>
      <c r="F165" s="26"/>
      <c r="G165" s="27"/>
      <c r="H165" s="26"/>
      <c r="I165" s="32"/>
      <c r="J165" s="33"/>
      <c r="K165" s="32">
        <f t="shared" si="10"/>
        <v>0</v>
      </c>
    </row>
    <row r="166" spans="2:12" ht="19.5" customHeight="1" x14ac:dyDescent="0.25">
      <c r="C166" s="278" t="s">
        <v>73</v>
      </c>
      <c r="D166" s="279"/>
      <c r="E166" s="42"/>
      <c r="F166" s="26"/>
      <c r="G166" s="27"/>
      <c r="H166" s="26"/>
      <c r="I166" s="32"/>
      <c r="J166" s="33"/>
      <c r="K166" s="32">
        <f t="shared" si="10"/>
        <v>0</v>
      </c>
    </row>
    <row r="167" spans="2:12" ht="19.5" customHeight="1" x14ac:dyDescent="0.25">
      <c r="C167" s="278" t="s">
        <v>74</v>
      </c>
      <c r="D167" s="279"/>
      <c r="E167" s="42"/>
      <c r="F167" s="26"/>
      <c r="G167" s="27"/>
      <c r="H167" s="26"/>
      <c r="I167" s="32"/>
      <c r="J167" s="33"/>
      <c r="K167" s="32">
        <f t="shared" si="10"/>
        <v>0</v>
      </c>
    </row>
    <row r="168" spans="2:12" ht="19.5" customHeight="1" x14ac:dyDescent="0.25">
      <c r="C168" s="278" t="s">
        <v>75</v>
      </c>
      <c r="D168" s="279"/>
      <c r="E168" s="42"/>
      <c r="F168" s="26"/>
      <c r="G168" s="27"/>
      <c r="H168" s="26"/>
      <c r="I168" s="32"/>
      <c r="J168" s="33"/>
      <c r="K168" s="32">
        <f t="shared" si="10"/>
        <v>0</v>
      </c>
    </row>
    <row r="169" spans="2:12" ht="19.5" customHeight="1" x14ac:dyDescent="0.25">
      <c r="C169" s="278" t="s">
        <v>76</v>
      </c>
      <c r="D169" s="279"/>
      <c r="E169" s="42"/>
      <c r="F169" s="26"/>
      <c r="G169" s="27"/>
      <c r="H169" s="26"/>
      <c r="I169" s="32"/>
      <c r="J169" s="33"/>
      <c r="K169" s="32">
        <f t="shared" si="10"/>
        <v>0</v>
      </c>
    </row>
    <row r="170" spans="2:12" ht="19.5" customHeight="1" x14ac:dyDescent="0.25">
      <c r="C170" s="278" t="s">
        <v>77</v>
      </c>
      <c r="D170" s="279"/>
      <c r="E170" s="42"/>
      <c r="F170" s="26"/>
      <c r="G170" s="27"/>
      <c r="H170" s="26"/>
      <c r="I170" s="32"/>
      <c r="J170" s="33"/>
      <c r="K170" s="32">
        <f t="shared" si="10"/>
        <v>0</v>
      </c>
    </row>
    <row r="171" spans="2:12" ht="19.5" customHeight="1" x14ac:dyDescent="0.25">
      <c r="C171" s="278" t="s">
        <v>78</v>
      </c>
      <c r="D171" s="279"/>
      <c r="E171" s="42"/>
      <c r="F171" s="26"/>
      <c r="G171" s="27"/>
      <c r="H171" s="26"/>
      <c r="I171" s="32"/>
      <c r="J171" s="33"/>
      <c r="K171" s="32">
        <f t="shared" si="10"/>
        <v>0</v>
      </c>
    </row>
    <row r="172" spans="2:12" ht="19.5" customHeight="1" thickBot="1" x14ac:dyDescent="0.3">
      <c r="C172" s="278" t="s">
        <v>79</v>
      </c>
      <c r="D172" s="279"/>
      <c r="E172" s="42"/>
      <c r="F172" s="26"/>
      <c r="G172" s="27"/>
      <c r="H172" s="26"/>
      <c r="I172" s="37"/>
      <c r="J172" s="33"/>
      <c r="K172" s="32">
        <f t="shared" si="10"/>
        <v>0</v>
      </c>
    </row>
    <row r="173" spans="2:12" ht="19.5" customHeight="1" thickBot="1" x14ac:dyDescent="0.3">
      <c r="C173" s="216" t="s">
        <v>39</v>
      </c>
      <c r="D173" s="282"/>
      <c r="E173" s="282"/>
      <c r="F173" s="282"/>
      <c r="G173" s="282"/>
      <c r="H173" s="283"/>
      <c r="I173" s="166">
        <f>SUM(I163:I172)</f>
        <v>0</v>
      </c>
      <c r="J173" s="166">
        <f>SUM(J163:J172)</f>
        <v>61683.39</v>
      </c>
      <c r="K173" s="166">
        <f>SUM(K163:K172)</f>
        <v>61683.39</v>
      </c>
    </row>
    <row r="174" spans="2:12" ht="19.5" customHeight="1" thickBot="1" x14ac:dyDescent="0.3">
      <c r="C174" s="293"/>
      <c r="D174" s="294"/>
      <c r="E174" s="294"/>
      <c r="F174" s="294"/>
      <c r="G174" s="294"/>
      <c r="H174" s="294"/>
      <c r="I174" s="294"/>
      <c r="J174" s="295"/>
      <c r="K174" s="295"/>
    </row>
    <row r="175" spans="2:12" s="21" customFormat="1" ht="19.5" customHeight="1" thickBot="1" x14ac:dyDescent="0.3">
      <c r="C175" s="303" t="s">
        <v>32</v>
      </c>
      <c r="D175" s="304"/>
      <c r="E175" s="305"/>
      <c r="F175" s="305"/>
      <c r="G175" s="305"/>
      <c r="H175" s="306"/>
      <c r="I175" s="39">
        <f>I38+I51+I67+I80+I93+I160+I173</f>
        <v>0</v>
      </c>
      <c r="J175" s="39">
        <f>J38+J51+J67+J80+J93+J160+J173</f>
        <v>966683.77000000014</v>
      </c>
      <c r="K175" s="39">
        <f>K38+K51+K67+K80+K93+K160+K173</f>
        <v>966683.77000000014</v>
      </c>
    </row>
    <row r="176" spans="2:12" ht="6" customHeight="1" x14ac:dyDescent="0.25">
      <c r="B176" s="22"/>
      <c r="C176" s="22"/>
      <c r="D176" s="22"/>
      <c r="E176" s="22"/>
      <c r="F176" s="212"/>
      <c r="G176" s="22"/>
      <c r="H176" s="22"/>
      <c r="I176" s="22"/>
      <c r="J176" s="22"/>
      <c r="K176" s="22"/>
      <c r="L176" s="22"/>
    </row>
    <row r="177" spans="3:11" hidden="1" x14ac:dyDescent="0.25">
      <c r="C177" s="16"/>
      <c r="D177" s="16"/>
      <c r="E177" s="16"/>
      <c r="F177" s="19"/>
      <c r="G177" s="19"/>
      <c r="H177" s="16"/>
      <c r="I177" s="16"/>
      <c r="J177" s="16"/>
      <c r="K177" s="16"/>
    </row>
    <row r="178" spans="3:11" s="16" customFormat="1" hidden="1" x14ac:dyDescent="0.25">
      <c r="F178" s="19"/>
      <c r="G178" s="19"/>
    </row>
    <row r="179" spans="3:11" s="16" customFormat="1" ht="15.5" hidden="1" x14ac:dyDescent="0.25">
      <c r="C179" s="96" t="s">
        <v>147</v>
      </c>
      <c r="F179" s="19"/>
      <c r="G179" s="19"/>
    </row>
    <row r="180" spans="3:11" s="16" customFormat="1" ht="14.5" hidden="1" thickBot="1" x14ac:dyDescent="0.3">
      <c r="F180" s="19"/>
      <c r="G180" s="19"/>
    </row>
    <row r="181" spans="3:11" s="21" customFormat="1" ht="32.25" hidden="1" customHeight="1" thickBot="1" x14ac:dyDescent="0.3">
      <c r="C181" s="289" t="s">
        <v>112</v>
      </c>
      <c r="D181" s="289"/>
      <c r="E181" s="289" t="s">
        <v>46</v>
      </c>
      <c r="F181" s="289" t="s">
        <v>47</v>
      </c>
      <c r="G181" s="289" t="s">
        <v>42</v>
      </c>
      <c r="H181" s="248" t="s">
        <v>33</v>
      </c>
      <c r="I181" s="310"/>
      <c r="J181" s="310"/>
      <c r="K181" s="307" t="s">
        <v>44</v>
      </c>
    </row>
    <row r="182" spans="3:11" s="21" customFormat="1" ht="30.75" hidden="1" customHeight="1" thickBot="1" x14ac:dyDescent="0.3">
      <c r="C182" s="290"/>
      <c r="D182" s="290"/>
      <c r="E182" s="290"/>
      <c r="F182" s="290"/>
      <c r="G182" s="290"/>
      <c r="H182" s="249"/>
      <c r="I182" s="311"/>
      <c r="J182" s="311"/>
      <c r="K182" s="308"/>
    </row>
    <row r="183" spans="3:11" s="20" customFormat="1" ht="17.25" hidden="1" customHeight="1" thickBot="1" x14ac:dyDescent="0.3">
      <c r="C183" s="293"/>
      <c r="D183" s="294"/>
      <c r="E183" s="294"/>
      <c r="F183" s="294"/>
      <c r="G183" s="294"/>
      <c r="H183" s="294"/>
      <c r="I183" s="294"/>
      <c r="J183" s="295"/>
      <c r="K183" s="295"/>
    </row>
    <row r="184" spans="3:11" s="20" customFormat="1" ht="17.25" hidden="1" customHeight="1" thickBot="1" x14ac:dyDescent="0.3">
      <c r="C184" s="284" t="s">
        <v>106</v>
      </c>
      <c r="D184" s="285"/>
      <c r="E184" s="285"/>
      <c r="F184" s="285"/>
      <c r="G184" s="285"/>
      <c r="H184" s="285"/>
      <c r="I184" s="285"/>
      <c r="J184" s="285"/>
      <c r="K184" s="286"/>
    </row>
    <row r="185" spans="3:11" ht="19.5" hidden="1" customHeight="1" x14ac:dyDescent="0.25">
      <c r="C185" s="301" t="s">
        <v>96</v>
      </c>
      <c r="D185" s="302"/>
      <c r="E185" s="25"/>
      <c r="F185" s="9"/>
      <c r="G185" s="8"/>
      <c r="H185" s="312"/>
      <c r="I185" s="313"/>
      <c r="J185" s="314"/>
      <c r="K185" s="32">
        <f>I185+J185</f>
        <v>0</v>
      </c>
    </row>
    <row r="186" spans="3:11" ht="19.5" hidden="1" customHeight="1" x14ac:dyDescent="0.25">
      <c r="C186" s="287" t="s">
        <v>97</v>
      </c>
      <c r="D186" s="288"/>
      <c r="E186" s="23"/>
      <c r="F186" s="9"/>
      <c r="G186" s="8"/>
      <c r="H186" s="291"/>
      <c r="I186" s="219"/>
      <c r="J186" s="292"/>
      <c r="K186" s="32">
        <f t="shared" ref="K186:K194" si="11">I186+J186</f>
        <v>0</v>
      </c>
    </row>
    <row r="187" spans="3:11" ht="19.5" hidden="1" customHeight="1" x14ac:dyDescent="0.25">
      <c r="C187" s="287" t="s">
        <v>98</v>
      </c>
      <c r="D187" s="288"/>
      <c r="E187" s="23"/>
      <c r="F187" s="9"/>
      <c r="G187" s="8"/>
      <c r="H187" s="291"/>
      <c r="I187" s="219"/>
      <c r="J187" s="292"/>
      <c r="K187" s="32">
        <f t="shared" si="11"/>
        <v>0</v>
      </c>
    </row>
    <row r="188" spans="3:11" ht="19.5" hidden="1" customHeight="1" x14ac:dyDescent="0.25">
      <c r="C188" s="287" t="s">
        <v>99</v>
      </c>
      <c r="D188" s="288"/>
      <c r="E188" s="23"/>
      <c r="F188" s="9"/>
      <c r="G188" s="8"/>
      <c r="H188" s="291"/>
      <c r="I188" s="219"/>
      <c r="J188" s="292"/>
      <c r="K188" s="32">
        <f t="shared" si="11"/>
        <v>0</v>
      </c>
    </row>
    <row r="189" spans="3:11" ht="19.5" hidden="1" customHeight="1" x14ac:dyDescent="0.25">
      <c r="C189" s="287" t="s">
        <v>100</v>
      </c>
      <c r="D189" s="288"/>
      <c r="E189" s="23"/>
      <c r="F189" s="9"/>
      <c r="G189" s="8"/>
      <c r="H189" s="291"/>
      <c r="I189" s="219"/>
      <c r="J189" s="292"/>
      <c r="K189" s="32">
        <f t="shared" si="11"/>
        <v>0</v>
      </c>
    </row>
    <row r="190" spans="3:11" ht="19.5" hidden="1" customHeight="1" x14ac:dyDescent="0.25">
      <c r="C190" s="287" t="s">
        <v>101</v>
      </c>
      <c r="D190" s="288"/>
      <c r="E190" s="23"/>
      <c r="F190" s="9"/>
      <c r="G190" s="8"/>
      <c r="H190" s="291"/>
      <c r="I190" s="219"/>
      <c r="J190" s="292"/>
      <c r="K190" s="32">
        <f t="shared" si="11"/>
        <v>0</v>
      </c>
    </row>
    <row r="191" spans="3:11" ht="19.5" hidden="1" customHeight="1" x14ac:dyDescent="0.25">
      <c r="C191" s="287" t="s">
        <v>102</v>
      </c>
      <c r="D191" s="288"/>
      <c r="E191" s="23"/>
      <c r="F191" s="9"/>
      <c r="G191" s="8"/>
      <c r="H191" s="291"/>
      <c r="I191" s="219"/>
      <c r="J191" s="292"/>
      <c r="K191" s="32">
        <f t="shared" si="11"/>
        <v>0</v>
      </c>
    </row>
    <row r="192" spans="3:11" ht="19.5" hidden="1" customHeight="1" x14ac:dyDescent="0.25">
      <c r="C192" s="287" t="s">
        <v>103</v>
      </c>
      <c r="D192" s="288"/>
      <c r="E192" s="23"/>
      <c r="F192" s="9"/>
      <c r="G192" s="8"/>
      <c r="H192" s="291"/>
      <c r="I192" s="219"/>
      <c r="J192" s="292"/>
      <c r="K192" s="32">
        <f t="shared" si="11"/>
        <v>0</v>
      </c>
    </row>
    <row r="193" spans="3:11" ht="19.5" hidden="1" customHeight="1" x14ac:dyDescent="0.25">
      <c r="C193" s="287" t="s">
        <v>104</v>
      </c>
      <c r="D193" s="288"/>
      <c r="E193" s="23"/>
      <c r="F193" s="9"/>
      <c r="G193" s="8"/>
      <c r="H193" s="291"/>
      <c r="I193" s="219"/>
      <c r="J193" s="292"/>
      <c r="K193" s="32">
        <f t="shared" si="11"/>
        <v>0</v>
      </c>
    </row>
    <row r="194" spans="3:11" ht="19.5" hidden="1" customHeight="1" thickBot="1" x14ac:dyDescent="0.3">
      <c r="C194" s="287" t="s">
        <v>105</v>
      </c>
      <c r="D194" s="288"/>
      <c r="E194" s="24"/>
      <c r="F194" s="9"/>
      <c r="G194" s="8"/>
      <c r="H194" s="298"/>
      <c r="I194" s="299"/>
      <c r="J194" s="300"/>
      <c r="K194" s="32">
        <f t="shared" si="11"/>
        <v>0</v>
      </c>
    </row>
    <row r="195" spans="3:11" s="21" customFormat="1" ht="19.5" hidden="1" customHeight="1" thickBot="1" x14ac:dyDescent="0.3">
      <c r="C195" s="216" t="s">
        <v>3</v>
      </c>
      <c r="D195" s="309"/>
      <c r="E195" s="309"/>
      <c r="F195" s="309"/>
      <c r="G195" s="309"/>
      <c r="H195" s="309"/>
      <c r="I195" s="309"/>
      <c r="J195" s="217"/>
      <c r="K195" s="166">
        <f>SUM(K185:K194)</f>
        <v>0</v>
      </c>
    </row>
    <row r="196" spans="3:11" s="16" customFormat="1" x14ac:dyDescent="0.25">
      <c r="F196" s="19"/>
      <c r="G196" s="19"/>
    </row>
    <row r="197" spans="3:11" s="16" customFormat="1" x14ac:dyDescent="0.25">
      <c r="F197" s="19"/>
      <c r="G197" s="19"/>
    </row>
    <row r="198" spans="3:11" s="16" customFormat="1" x14ac:dyDescent="0.25">
      <c r="F198" s="19"/>
      <c r="G198" s="19"/>
    </row>
    <row r="199" spans="3:11" s="16" customFormat="1" x14ac:dyDescent="0.25">
      <c r="F199" s="19"/>
      <c r="G199" s="19"/>
    </row>
    <row r="200" spans="3:11" s="16" customFormat="1" x14ac:dyDescent="0.25">
      <c r="F200" s="19"/>
      <c r="G200" s="19"/>
    </row>
    <row r="201" spans="3:11" s="16" customFormat="1" x14ac:dyDescent="0.25">
      <c r="F201" s="19"/>
      <c r="G201" s="19"/>
    </row>
    <row r="202" spans="3:11" s="16" customFormat="1" x14ac:dyDescent="0.25">
      <c r="F202" s="19"/>
      <c r="G202" s="19"/>
    </row>
    <row r="203" spans="3:11" s="16" customFormat="1" x14ac:dyDescent="0.25">
      <c r="F203" s="19"/>
      <c r="G203" s="19"/>
    </row>
    <row r="204" spans="3:11" s="16" customFormat="1" x14ac:dyDescent="0.25">
      <c r="F204" s="19"/>
      <c r="G204" s="19"/>
    </row>
    <row r="205" spans="3:11" s="16" customFormat="1" x14ac:dyDescent="0.25">
      <c r="F205" s="19"/>
      <c r="G205" s="19"/>
    </row>
    <row r="206" spans="3:11" s="16" customFormat="1" x14ac:dyDescent="0.25">
      <c r="F206" s="19"/>
      <c r="G206" s="19"/>
    </row>
    <row r="207" spans="3:11" s="16" customFormat="1" x14ac:dyDescent="0.25">
      <c r="F207" s="19"/>
      <c r="G207" s="19"/>
    </row>
    <row r="208" spans="3:11" s="16" customFormat="1" x14ac:dyDescent="0.25">
      <c r="F208" s="19"/>
      <c r="G208" s="19"/>
    </row>
    <row r="209" spans="6:7" s="16" customFormat="1" x14ac:dyDescent="0.25">
      <c r="F209" s="19"/>
      <c r="G209" s="19"/>
    </row>
    <row r="210" spans="6:7" s="16" customFormat="1" x14ac:dyDescent="0.25">
      <c r="F210" s="19"/>
      <c r="G210" s="19"/>
    </row>
    <row r="211" spans="6:7" s="16" customFormat="1" x14ac:dyDescent="0.25">
      <c r="F211" s="19"/>
      <c r="G211" s="19"/>
    </row>
    <row r="212" spans="6:7" s="16" customFormat="1" x14ac:dyDescent="0.25">
      <c r="F212" s="19"/>
      <c r="G212" s="19"/>
    </row>
    <row r="213" spans="6:7" s="16" customFormat="1" x14ac:dyDescent="0.25">
      <c r="F213" s="19"/>
      <c r="G213" s="19"/>
    </row>
    <row r="214" spans="6:7" s="16" customFormat="1" x14ac:dyDescent="0.25">
      <c r="F214" s="19"/>
      <c r="G214" s="19"/>
    </row>
    <row r="215" spans="6:7" s="16" customFormat="1" x14ac:dyDescent="0.25">
      <c r="F215" s="19"/>
      <c r="G215" s="19"/>
    </row>
    <row r="216" spans="6:7" s="16" customFormat="1" x14ac:dyDescent="0.25">
      <c r="F216" s="19"/>
      <c r="G216" s="19"/>
    </row>
    <row r="217" spans="6:7" s="16" customFormat="1" x14ac:dyDescent="0.25">
      <c r="F217" s="19"/>
      <c r="G217" s="19"/>
    </row>
    <row r="218" spans="6:7" s="16" customFormat="1" x14ac:dyDescent="0.25">
      <c r="F218" s="19"/>
      <c r="G218" s="19"/>
    </row>
    <row r="219" spans="6:7" s="16" customFormat="1" x14ac:dyDescent="0.25">
      <c r="F219" s="19"/>
      <c r="G219" s="19"/>
    </row>
    <row r="220" spans="6:7" s="16" customFormat="1" x14ac:dyDescent="0.25">
      <c r="F220" s="19"/>
      <c r="G220" s="19"/>
    </row>
    <row r="221" spans="6:7" s="16" customFormat="1" x14ac:dyDescent="0.25">
      <c r="F221" s="19"/>
      <c r="G221" s="19"/>
    </row>
  </sheetData>
  <sheetProtection insertRows="0"/>
  <protectedRanges>
    <protectedRange password="CC9E" sqref="A38:IV40 A51:IV56 A67:IV69 A80:IV82 A181:IV184 A195:IV195 A160:IV162 A173:B180 C173:C177 C179:C180 A196:C354 A93:IV95 E176:AO65605 D173:IV354 A1:IV8 E38:AO174 F9:G37 I9:AO37 A1:A65605" name="Rango1"/>
    <protectedRange password="CC9E" sqref="E9:E37 H9:H37" name="Rango2"/>
    <protectedRange password="CC9E" sqref="E9:E37 H9:H37" name="Rango1_1"/>
  </protectedRanges>
  <mergeCells count="209">
    <mergeCell ref="C43:D43"/>
    <mergeCell ref="C45:D45"/>
    <mergeCell ref="C48:D48"/>
    <mergeCell ref="C44:D44"/>
    <mergeCell ref="C51:H51"/>
    <mergeCell ref="C42:D42"/>
    <mergeCell ref="C47:D47"/>
    <mergeCell ref="C60:D60"/>
    <mergeCell ref="C55:K55"/>
    <mergeCell ref="C56:K56"/>
    <mergeCell ref="C57:D57"/>
    <mergeCell ref="C58:D58"/>
    <mergeCell ref="C59:D59"/>
    <mergeCell ref="C52:K52"/>
    <mergeCell ref="C53:D54"/>
    <mergeCell ref="E53:E54"/>
    <mergeCell ref="F53:F54"/>
    <mergeCell ref="G53:G54"/>
    <mergeCell ref="C50:D50"/>
    <mergeCell ref="C49:D49"/>
    <mergeCell ref="I53:K53"/>
    <mergeCell ref="H53:H54"/>
    <mergeCell ref="C46:D46"/>
    <mergeCell ref="C20:D20"/>
    <mergeCell ref="C21:D21"/>
    <mergeCell ref="C22:D22"/>
    <mergeCell ref="C23:D23"/>
    <mergeCell ref="C24:D24"/>
    <mergeCell ref="C25:D25"/>
    <mergeCell ref="C26:D26"/>
    <mergeCell ref="C27:D27"/>
    <mergeCell ref="C28:D28"/>
    <mergeCell ref="C29:D29"/>
    <mergeCell ref="C30:D30"/>
    <mergeCell ref="C31:D31"/>
    <mergeCell ref="C32:D32"/>
    <mergeCell ref="C33:D33"/>
    <mergeCell ref="C34:D34"/>
    <mergeCell ref="C35:D35"/>
    <mergeCell ref="C36:D36"/>
    <mergeCell ref="C37:D37"/>
    <mergeCell ref="F1:H1"/>
    <mergeCell ref="C16:D16"/>
    <mergeCell ref="C15:D15"/>
    <mergeCell ref="C41:D41"/>
    <mergeCell ref="C11:D11"/>
    <mergeCell ref="C12:D12"/>
    <mergeCell ref="C8:K8"/>
    <mergeCell ref="F5:F6"/>
    <mergeCell ref="G5:G6"/>
    <mergeCell ref="H5:H6"/>
    <mergeCell ref="E5:E6"/>
    <mergeCell ref="C5:D6"/>
    <mergeCell ref="C7:K7"/>
    <mergeCell ref="I5:K5"/>
    <mergeCell ref="C9:D9"/>
    <mergeCell ref="C10:D10"/>
    <mergeCell ref="C17:D17"/>
    <mergeCell ref="C40:K40"/>
    <mergeCell ref="C39:K39"/>
    <mergeCell ref="C18:D18"/>
    <mergeCell ref="C38:H38"/>
    <mergeCell ref="C13:D13"/>
    <mergeCell ref="C14:D14"/>
    <mergeCell ref="C19:D19"/>
    <mergeCell ref="C61:D61"/>
    <mergeCell ref="C62:D62"/>
    <mergeCell ref="C63:D63"/>
    <mergeCell ref="C156:D156"/>
    <mergeCell ref="C83:D83"/>
    <mergeCell ref="C84:D84"/>
    <mergeCell ref="C85:D85"/>
    <mergeCell ref="C87:D87"/>
    <mergeCell ref="C88:D88"/>
    <mergeCell ref="C68:K68"/>
    <mergeCell ref="C69:K69"/>
    <mergeCell ref="C64:D64"/>
    <mergeCell ref="C65:D65"/>
    <mergeCell ref="C71:D71"/>
    <mergeCell ref="C67:H67"/>
    <mergeCell ref="C66:D66"/>
    <mergeCell ref="C70:D70"/>
    <mergeCell ref="C72:D72"/>
    <mergeCell ref="C73:D73"/>
    <mergeCell ref="C91:D91"/>
    <mergeCell ref="C76:D76"/>
    <mergeCell ref="C77:D77"/>
    <mergeCell ref="C86:D86"/>
    <mergeCell ref="C78:D78"/>
    <mergeCell ref="C157:D157"/>
    <mergeCell ref="C158:D158"/>
    <mergeCell ref="C166:D166"/>
    <mergeCell ref="C160:H160"/>
    <mergeCell ref="C159:D159"/>
    <mergeCell ref="C161:K161"/>
    <mergeCell ref="C162:K162"/>
    <mergeCell ref="C163:D163"/>
    <mergeCell ref="C181:D182"/>
    <mergeCell ref="E181:E182"/>
    <mergeCell ref="F181:F182"/>
    <mergeCell ref="C168:D168"/>
    <mergeCell ref="C172:D172"/>
    <mergeCell ref="H189:J189"/>
    <mergeCell ref="H190:J190"/>
    <mergeCell ref="H194:J194"/>
    <mergeCell ref="C185:D185"/>
    <mergeCell ref="C173:H173"/>
    <mergeCell ref="C174:K174"/>
    <mergeCell ref="C175:H175"/>
    <mergeCell ref="K181:K182"/>
    <mergeCell ref="C195:J195"/>
    <mergeCell ref="H181:J182"/>
    <mergeCell ref="H193:J193"/>
    <mergeCell ref="C190:D190"/>
    <mergeCell ref="C191:D191"/>
    <mergeCell ref="C193:D193"/>
    <mergeCell ref="C194:D194"/>
    <mergeCell ref="C183:K183"/>
    <mergeCell ref="C184:K184"/>
    <mergeCell ref="H185:J185"/>
    <mergeCell ref="H186:J186"/>
    <mergeCell ref="H187:J187"/>
    <mergeCell ref="H188:J188"/>
    <mergeCell ref="C192:D192"/>
    <mergeCell ref="H191:J191"/>
    <mergeCell ref="C189:D189"/>
    <mergeCell ref="C188:D188"/>
    <mergeCell ref="G181:G182"/>
    <mergeCell ref="C186:D186"/>
    <mergeCell ref="C187:D187"/>
    <mergeCell ref="H192:J192"/>
    <mergeCell ref="C81:K81"/>
    <mergeCell ref="C82:K82"/>
    <mergeCell ref="C93:H93"/>
    <mergeCell ref="C169:D169"/>
    <mergeCell ref="C170:D170"/>
    <mergeCell ref="C164:D164"/>
    <mergeCell ref="C165:D165"/>
    <mergeCell ref="C167:D167"/>
    <mergeCell ref="C101:D101"/>
    <mergeCell ref="C102:D102"/>
    <mergeCell ref="C103:D103"/>
    <mergeCell ref="C104:D104"/>
    <mergeCell ref="C105:D105"/>
    <mergeCell ref="C106:D106"/>
    <mergeCell ref="C108:D108"/>
    <mergeCell ref="C109:D109"/>
    <mergeCell ref="C110:D110"/>
    <mergeCell ref="C171:D171"/>
    <mergeCell ref="C94:K94"/>
    <mergeCell ref="C152:D152"/>
    <mergeCell ref="C153:D153"/>
    <mergeCell ref="C154:D154"/>
    <mergeCell ref="C155:D155"/>
    <mergeCell ref="C149:D149"/>
    <mergeCell ref="C150:D150"/>
    <mergeCell ref="C151:D151"/>
    <mergeCell ref="C138:D138"/>
    <mergeCell ref="C139:D139"/>
    <mergeCell ref="C140:D140"/>
    <mergeCell ref="C144:D144"/>
    <mergeCell ref="C145:D145"/>
    <mergeCell ref="C146:D146"/>
    <mergeCell ref="C147:D147"/>
    <mergeCell ref="C148:D148"/>
    <mergeCell ref="C141:D141"/>
    <mergeCell ref="C142:D142"/>
    <mergeCell ref="C143:D143"/>
    <mergeCell ref="C135:D135"/>
    <mergeCell ref="C136:D136"/>
    <mergeCell ref="C137:D137"/>
    <mergeCell ref="C131:D131"/>
    <mergeCell ref="C132:D132"/>
    <mergeCell ref="C133:D133"/>
    <mergeCell ref="C134:D134"/>
    <mergeCell ref="C95:K95"/>
    <mergeCell ref="C96:D96"/>
    <mergeCell ref="C129:D129"/>
    <mergeCell ref="C130:D130"/>
    <mergeCell ref="C107:D107"/>
    <mergeCell ref="C123:D123"/>
    <mergeCell ref="C118:D118"/>
    <mergeCell ref="C119:D119"/>
    <mergeCell ref="C120:D120"/>
    <mergeCell ref="C121:D121"/>
    <mergeCell ref="C122:D122"/>
    <mergeCell ref="C113:D113"/>
    <mergeCell ref="C126:D126"/>
    <mergeCell ref="C127:D127"/>
    <mergeCell ref="C128:D128"/>
    <mergeCell ref="C124:D124"/>
    <mergeCell ref="C125:D125"/>
    <mergeCell ref="C92:D92"/>
    <mergeCell ref="C114:D114"/>
    <mergeCell ref="C115:D115"/>
    <mergeCell ref="C116:D116"/>
    <mergeCell ref="C117:D117"/>
    <mergeCell ref="C74:D74"/>
    <mergeCell ref="C75:D75"/>
    <mergeCell ref="C89:D89"/>
    <mergeCell ref="C90:D90"/>
    <mergeCell ref="C111:D111"/>
    <mergeCell ref="C112:D112"/>
    <mergeCell ref="C79:D79"/>
    <mergeCell ref="C97:D97"/>
    <mergeCell ref="C98:D98"/>
    <mergeCell ref="C99:D99"/>
    <mergeCell ref="C100:D100"/>
    <mergeCell ref="C80:H80"/>
  </mergeCells>
  <phoneticPr fontId="2" type="noConversion"/>
  <conditionalFormatting sqref="G163:H172 I70:K80 G41:H50 I163:K173 G57:H66 G70:H79 I57:K67 I83:K93 I41:K51 I175:K175 I9:K9 I160:K160 G96:H96 K96:K159 I38:K38 I10:I17 J10:K37 G9:G37">
    <cfRule type="cellIs" dxfId="6" priority="13" stopIfTrue="1" operator="equal">
      <formula>"X"</formula>
    </cfRule>
  </conditionalFormatting>
  <conditionalFormatting sqref="G185:H194 K185:K195">
    <cfRule type="cellIs" dxfId="5" priority="12" stopIfTrue="1" operator="equal">
      <formula>"X"</formula>
    </cfRule>
  </conditionalFormatting>
  <conditionalFormatting sqref="I18:I37">
    <cfRule type="cellIs" dxfId="4" priority="11" stopIfTrue="1" operator="equal">
      <formula>"X"</formula>
    </cfRule>
  </conditionalFormatting>
  <conditionalFormatting sqref="G141:H159">
    <cfRule type="cellIs" dxfId="3" priority="9" stopIfTrue="1" operator="equal">
      <formula>"X"</formula>
    </cfRule>
  </conditionalFormatting>
  <conditionalFormatting sqref="G97:H140">
    <cfRule type="cellIs" dxfId="2" priority="8" stopIfTrue="1" operator="equal">
      <formula>"X"</formula>
    </cfRule>
  </conditionalFormatting>
  <conditionalFormatting sqref="J96:J159">
    <cfRule type="cellIs" dxfId="1" priority="2" stopIfTrue="1" operator="equal">
      <formula>"X"</formula>
    </cfRule>
  </conditionalFormatting>
  <conditionalFormatting sqref="I96:I159">
    <cfRule type="cellIs" dxfId="0" priority="3" stopIfTrue="1" operator="equal">
      <formula>"X"</formula>
    </cfRule>
  </conditionalFormatting>
  <pageMargins left="0.78" right="0.39370078740157483" top="0.38" bottom="0.62" header="0" footer="0.3"/>
  <pageSetup paperSize="9" scale="40" fitToHeight="0" orientation="portrait" r:id="rId1"/>
  <headerFooter alignWithMargins="0">
    <oddFooter xml:space="preserve">&amp;CP. &amp;P / &amp;N
</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14</vt:i4>
      </vt:variant>
    </vt:vector>
  </HeadingPairs>
  <TitlesOfParts>
    <vt:vector size="28" baseType="lpstr">
      <vt:lpstr>Datos solicitud</vt:lpstr>
      <vt:lpstr>Instrucciones</vt:lpstr>
      <vt:lpstr>Personal</vt:lpstr>
      <vt:lpstr>C.Externas (OPIS)</vt:lpstr>
      <vt:lpstr>C.Externas (Otros)</vt:lpstr>
      <vt:lpstr>El._inmovilizado (AMORTIZACIÓN)</vt:lpstr>
      <vt:lpstr>El._inmovilizado (INVERSIÓN)</vt:lpstr>
      <vt:lpstr>Fungibles</vt:lpstr>
      <vt:lpstr>Otros Gastos</vt:lpstr>
      <vt:lpstr>I+D</vt:lpstr>
      <vt:lpstr>iT</vt:lpstr>
      <vt:lpstr>TOTAL</vt:lpstr>
      <vt:lpstr>DESVIACIONES</vt:lpstr>
      <vt:lpstr>DOC JUSTIFICATIVOS</vt:lpstr>
      <vt:lpstr>DESVIACIONES!Área_de_impresión</vt:lpstr>
      <vt:lpstr>'I+D'!Área_de_impresión</vt:lpstr>
      <vt:lpstr>iT!Área_de_impresión</vt:lpstr>
      <vt:lpstr>TOTAL!Área_de_impresión</vt:lpstr>
      <vt:lpstr>'C.Externas (OPIS)'!Títulos_a_imprimir</vt:lpstr>
      <vt:lpstr>'C.Externas (Otros)'!Títulos_a_imprimir</vt:lpstr>
      <vt:lpstr>'Datos solicitud'!Títulos_a_imprimir</vt:lpstr>
      <vt:lpstr>DESVIACIONES!Títulos_a_imprimir</vt:lpstr>
      <vt:lpstr>'DOC JUSTIFICATIVOS'!Títulos_a_imprimir</vt:lpstr>
      <vt:lpstr>'El._inmovilizado (AMORTIZACIÓN)'!Títulos_a_imprimir</vt:lpstr>
      <vt:lpstr>'El._inmovilizado (INVERSIÓN)'!Títulos_a_imprimir</vt:lpstr>
      <vt:lpstr>Fungibles!Títulos_a_imprimir</vt:lpstr>
      <vt:lpstr>'Otros Gastos'!Títulos_a_imprimir</vt:lpstr>
      <vt:lpstr>Personal!Títulos_a_imprimir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MINECO</dc:creator>
  <cp:lastModifiedBy>Eric MORCILLO</cp:lastModifiedBy>
  <cp:lastPrinted>2023-03-29T15:00:05Z</cp:lastPrinted>
  <dcterms:created xsi:type="dcterms:W3CDTF">2004-10-21T15:52:29Z</dcterms:created>
  <dcterms:modified xsi:type="dcterms:W3CDTF">2025-09-10T11:44:03Z</dcterms:modified>
</cp:coreProperties>
</file>